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6.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filterPrivacy="1"/>
  <xr:revisionPtr revIDLastSave="0" documentId="13_ncr:1_{B6E031B9-3BF4-4DFD-9D3A-E0F1E995D8D9}" xr6:coauthVersionLast="47" xr6:coauthVersionMax="47" xr10:uidLastSave="{00000000-0000-0000-0000-000000000000}"/>
  <bookViews>
    <workbookView xWindow="-120" yWindow="-120" windowWidth="24240" windowHeight="13140" tabRatio="940" activeTab="1" xr2:uid="{00000000-000D-0000-FFFF-FFFF00000000}"/>
  </bookViews>
  <sheets>
    <sheet name="D" sheetId="51" r:id="rId1"/>
    <sheet name="S | 01 " sheetId="14" r:id="rId2"/>
    <sheet name="S | 02" sheetId="75" r:id="rId3"/>
    <sheet name="S | 03" sheetId="80" r:id="rId4"/>
    <sheet name="NAV" sheetId="37" r:id="rId5"/>
    <sheet name="CF (Equity, Debt)" sheetId="17" r:id="rId6"/>
    <sheet name="CF (Funds)" sheetId="40" r:id="rId7"/>
    <sheet name="5. Glossary" sheetId="81" state="hidden" r:id="rId8"/>
    <sheet name="6. %" sheetId="44" r:id="rId9"/>
    <sheet name="7. Board" sheetId="28" r:id="rId10"/>
    <sheet name="8. Log" sheetId="68" r:id="rId11"/>
    <sheet name="D S | 01" sheetId="86" state="hidden" r:id="rId12"/>
    <sheet name="5. CF Profile" sheetId="50" state="hidden" r:id="rId13"/>
    <sheet name="8. NewSpace" sheetId="77" r:id="rId14"/>
    <sheet name="1.1 Geo" sheetId="63" state="hidden" r:id="rId15"/>
    <sheet name="1.2 Attribution" sheetId="60" state="hidden" r:id="rId16"/>
  </sheets>
  <externalReferences>
    <externalReference r:id="rId17"/>
    <externalReference r:id="rId18"/>
    <externalReference r:id="rId19"/>
  </externalReferences>
  <definedNames>
    <definedName name="_xlnm._FilterDatabase" localSheetId="12" hidden="1">'5. CF Profile'!$C$5:$H$99</definedName>
    <definedName name="CIQWBGuid" hidden="1">"30a4d636-7e5a-4be6-b336-6a264c95dcbd"</definedName>
    <definedName name="CIQWBInfo" hidden="1">"{ ""CIQVersion"":""9.48.1616.5174"" }"</definedName>
    <definedName name="Company">[1]UEL!$B$18:$B$20</definedName>
    <definedName name="Dates">[1]ONT!$N$2:$AN$2</definedName>
    <definedName name="DetailedCapShares">'[2]Current Cap'!$T$133</definedName>
    <definedName name="FAGroup">[1]UEL!$B$3:$B$15</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7">'5. Glossary'!$A$1:$D$30</definedName>
    <definedName name="_xlnm.Print_Area" localSheetId="0">D!$A$1:$O$23</definedName>
    <definedName name="_xlnm.Print_Area" localSheetId="4">NAV!$A$1:$H$46</definedName>
    <definedName name="_xlnm.Print_Area" localSheetId="2">'S | 02'!$A$1:$T$61</definedName>
    <definedName name="_xlnm.Print_Area" localSheetId="3">'S | 03'!$A$1:$S$101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7" l="1"/>
  <c r="M22" i="77"/>
  <c r="N20" i="77"/>
  <c r="E50" i="40"/>
  <c r="E51" i="40"/>
  <c r="H50" i="40"/>
  <c r="M9" i="77" l="1"/>
  <c r="L44" i="14"/>
  <c r="J42" i="14"/>
  <c r="P20" i="77"/>
  <c r="P26" i="77" s="1"/>
  <c r="H49" i="40"/>
  <c r="F49" i="40" s="1"/>
  <c r="E40" i="37" s="1"/>
  <c r="G28" i="37"/>
  <c r="L12" i="51"/>
  <c r="H12" i="51"/>
  <c r="G12" i="51"/>
  <c r="F12" i="51"/>
  <c r="E12" i="51"/>
  <c r="S46" i="75"/>
  <c r="F31" i="80"/>
  <c r="P48" i="75"/>
  <c r="M46" i="75"/>
  <c r="K46" i="75"/>
  <c r="J46" i="75"/>
  <c r="I46" i="75"/>
  <c r="H46" i="75"/>
  <c r="G46" i="75"/>
  <c r="F46" i="75"/>
  <c r="E46" i="75"/>
  <c r="H37" i="40" l="1"/>
  <c r="E37" i="40" s="1"/>
  <c r="C31" i="44"/>
  <c r="E32" i="37"/>
  <c r="D32" i="37"/>
  <c r="C32" i="37"/>
  <c r="B32" i="37"/>
  <c r="Q49" i="86" l="1"/>
  <c r="P49" i="86"/>
  <c r="O49" i="86"/>
  <c r="L49" i="86"/>
  <c r="J49" i="86"/>
  <c r="I49" i="86"/>
  <c r="Q48" i="86"/>
  <c r="I48" i="86"/>
  <c r="Q47" i="86"/>
  <c r="P47" i="86"/>
  <c r="O47" i="86"/>
  <c r="N47" i="86"/>
  <c r="M47" i="86"/>
  <c r="L47" i="86"/>
  <c r="K47" i="86"/>
  <c r="J47" i="86"/>
  <c r="I47" i="86"/>
  <c r="Q46" i="86"/>
  <c r="I46" i="86"/>
  <c r="Q45" i="86"/>
  <c r="M45" i="86"/>
  <c r="J45" i="86"/>
  <c r="I45" i="86"/>
  <c r="Q44" i="86"/>
  <c r="L44" i="86"/>
  <c r="J44" i="86"/>
  <c r="I44" i="86"/>
  <c r="Q43" i="86"/>
  <c r="I43" i="86"/>
  <c r="Q42" i="86"/>
  <c r="M42" i="86"/>
  <c r="L42" i="86"/>
  <c r="K42" i="86"/>
  <c r="I42" i="86"/>
  <c r="Q41" i="86"/>
  <c r="I41" i="86"/>
  <c r="Q40" i="86"/>
  <c r="P40" i="86"/>
  <c r="O40" i="86"/>
  <c r="N40" i="86"/>
  <c r="M40" i="86"/>
  <c r="L40" i="86"/>
  <c r="K40" i="86"/>
  <c r="J40" i="86"/>
  <c r="I40" i="86"/>
  <c r="Q39" i="86"/>
  <c r="P39" i="86"/>
  <c r="O39" i="86"/>
  <c r="N39" i="86"/>
  <c r="M39" i="86"/>
  <c r="L39" i="86"/>
  <c r="K39" i="86"/>
  <c r="J39" i="86"/>
  <c r="I39" i="86"/>
  <c r="Q38" i="86"/>
  <c r="I38" i="86"/>
  <c r="Q37" i="86"/>
  <c r="N37" i="86"/>
  <c r="L37" i="86"/>
  <c r="K37" i="86"/>
  <c r="J37" i="86"/>
  <c r="I37" i="86"/>
  <c r="Q36" i="86"/>
  <c r="M36" i="86"/>
  <c r="L36" i="86"/>
  <c r="J36" i="86"/>
  <c r="I36" i="86"/>
  <c r="Q35" i="86"/>
  <c r="N35" i="86"/>
  <c r="M35" i="86"/>
  <c r="L35" i="86"/>
  <c r="K35" i="86"/>
  <c r="J35" i="86"/>
  <c r="I35" i="86"/>
  <c r="Q34" i="86"/>
  <c r="P34" i="86"/>
  <c r="O34" i="86"/>
  <c r="N34" i="86"/>
  <c r="M34" i="86"/>
  <c r="L34" i="86"/>
  <c r="K34" i="86"/>
  <c r="J34" i="86"/>
  <c r="I34" i="86"/>
  <c r="Q33" i="86"/>
  <c r="P33" i="86"/>
  <c r="O33" i="86"/>
  <c r="N33" i="86"/>
  <c r="M33" i="86"/>
  <c r="L33" i="86"/>
  <c r="K33" i="86"/>
  <c r="J33" i="86"/>
  <c r="I33" i="86"/>
  <c r="Q32" i="86"/>
  <c r="I32" i="86"/>
  <c r="Q31" i="86"/>
  <c r="P31" i="86"/>
  <c r="O31" i="86"/>
  <c r="N31" i="86"/>
  <c r="M31" i="86"/>
  <c r="L31" i="86"/>
  <c r="K31" i="86"/>
  <c r="J31" i="86"/>
  <c r="I31" i="86"/>
  <c r="Q30" i="86"/>
  <c r="Q29" i="86"/>
  <c r="Q28" i="86"/>
  <c r="Q27" i="86"/>
  <c r="P27" i="86"/>
  <c r="Q26" i="86"/>
  <c r="Q25" i="86"/>
  <c r="M25" i="86"/>
  <c r="Q24" i="86"/>
  <c r="M24" i="86"/>
  <c r="J24" i="86"/>
  <c r="Q23" i="86"/>
  <c r="Q22" i="86"/>
  <c r="Q21" i="86"/>
  <c r="Q20" i="86"/>
  <c r="L20" i="86"/>
  <c r="Q19" i="86"/>
  <c r="L19" i="86"/>
  <c r="Q18" i="86"/>
  <c r="L18" i="86"/>
  <c r="Q17" i="86"/>
  <c r="L17" i="86"/>
  <c r="Q16" i="86"/>
  <c r="L16" i="86"/>
  <c r="Q15" i="86"/>
  <c r="L15" i="86"/>
  <c r="Q14" i="86"/>
  <c r="L14" i="86"/>
  <c r="Q13" i="86"/>
  <c r="L13" i="86"/>
  <c r="Q12" i="86"/>
  <c r="L12" i="86"/>
  <c r="Q11" i="86"/>
  <c r="L11" i="86"/>
  <c r="Q10" i="86"/>
  <c r="L10" i="86"/>
  <c r="Q9" i="86"/>
  <c r="L9" i="86"/>
  <c r="H37" i="77" l="1"/>
  <c r="H34" i="77"/>
  <c r="H36" i="77" s="1"/>
  <c r="L11" i="37" l="1"/>
  <c r="E14" i="37" s="1"/>
  <c r="N12" i="37"/>
  <c r="R12" i="37" s="1"/>
  <c r="L12" i="37"/>
  <c r="M12" i="37" s="1"/>
  <c r="Q11" i="37"/>
  <c r="Q10" i="37"/>
  <c r="R10" i="37" s="1"/>
  <c r="Q9" i="37"/>
  <c r="L9" i="37" s="1"/>
  <c r="M9" i="37" s="1"/>
  <c r="M11" i="37" l="1"/>
  <c r="E22" i="37"/>
  <c r="R9" i="37"/>
  <c r="R11" i="37"/>
  <c r="L10" i="37"/>
  <c r="M10" i="37" l="1"/>
  <c r="K20" i="77"/>
  <c r="J20" i="77"/>
  <c r="I20" i="77"/>
  <c r="L20" i="77"/>
  <c r="L26" i="77" s="1"/>
  <c r="I9" i="77"/>
  <c r="G36" i="77" l="1"/>
  <c r="G43" i="77"/>
  <c r="P53" i="75"/>
  <c r="F30" i="80"/>
  <c r="E22" i="44"/>
  <c r="H48" i="17"/>
  <c r="B49" i="17" l="1"/>
  <c r="F16" i="37"/>
  <c r="E49" i="17"/>
  <c r="F21" i="40"/>
  <c r="H21" i="40" s="1"/>
  <c r="D31" i="37"/>
  <c r="D30" i="37"/>
  <c r="D29" i="37"/>
  <c r="D28" i="37"/>
  <c r="D27" i="37"/>
  <c r="C31" i="37"/>
  <c r="C30" i="37"/>
  <c r="C29" i="37"/>
  <c r="B31" i="37"/>
  <c r="B30" i="37"/>
  <c r="B29" i="37"/>
  <c r="E31" i="37" l="1"/>
  <c r="I45" i="75"/>
  <c r="H45" i="75"/>
  <c r="G45" i="75"/>
  <c r="F45" i="75"/>
  <c r="E45" i="75"/>
  <c r="I30" i="14"/>
  <c r="I30" i="86" s="1"/>
  <c r="C30" i="44"/>
  <c r="L43" i="86" l="1"/>
  <c r="H26" i="77" l="1"/>
  <c r="G26" i="77"/>
  <c r="C36" i="77" l="1"/>
  <c r="D36" i="77"/>
  <c r="E36" i="77"/>
  <c r="F36" i="77"/>
  <c r="G37" i="77"/>
  <c r="D39" i="77"/>
  <c r="D40" i="77" s="1"/>
  <c r="D43" i="77"/>
  <c r="G18" i="77" l="1"/>
  <c r="G19" i="77" s="1"/>
  <c r="H18" i="77"/>
  <c r="H19" i="77" s="1"/>
  <c r="D24" i="77"/>
  <c r="E24" i="77"/>
  <c r="G24" i="77"/>
  <c r="H24" i="77"/>
  <c r="I24" i="77"/>
  <c r="N37" i="80"/>
  <c r="N38" i="80"/>
  <c r="J8" i="77" l="1"/>
  <c r="P30" i="75"/>
  <c r="J9" i="77" l="1"/>
  <c r="E48" i="17"/>
  <c r="B48" i="17"/>
  <c r="I51" i="75"/>
  <c r="H51" i="75"/>
  <c r="G51" i="75"/>
  <c r="F51" i="75"/>
  <c r="E51" i="75"/>
  <c r="I47" i="17"/>
  <c r="E47" i="17" s="1"/>
  <c r="B47" i="17"/>
  <c r="C29" i="44"/>
  <c r="C28" i="44"/>
  <c r="C27" i="44"/>
  <c r="F29" i="44"/>
  <c r="I29" i="14" s="1"/>
  <c r="J51" i="75" l="1"/>
  <c r="I29" i="86"/>
  <c r="F25" i="44"/>
  <c r="D22" i="44" l="1"/>
  <c r="J29" i="17" s="1"/>
  <c r="F36" i="40"/>
  <c r="E42" i="37" l="1"/>
  <c r="H73" i="50" l="1"/>
  <c r="G73" i="50"/>
  <c r="E73" i="50"/>
  <c r="F73" i="50" s="1"/>
  <c r="C73" i="50"/>
  <c r="H72" i="50"/>
  <c r="G72" i="50"/>
  <c r="E72" i="50"/>
  <c r="F72" i="50" s="1"/>
  <c r="C72" i="50"/>
  <c r="H48" i="50"/>
  <c r="G48" i="50"/>
  <c r="E48" i="50"/>
  <c r="F48" i="50" s="1"/>
  <c r="C48" i="50"/>
  <c r="H47" i="50"/>
  <c r="G47" i="50"/>
  <c r="E47" i="50"/>
  <c r="F47" i="50" s="1"/>
  <c r="C47" i="50"/>
  <c r="H46" i="50"/>
  <c r="G46" i="50"/>
  <c r="E46" i="50"/>
  <c r="F46" i="50" s="1"/>
  <c r="C46" i="50"/>
  <c r="H45" i="50"/>
  <c r="G45" i="50"/>
  <c r="E45" i="50"/>
  <c r="F45" i="50" s="1"/>
  <c r="C45" i="50"/>
  <c r="S27" i="75"/>
  <c r="S28" i="75"/>
  <c r="B46" i="17"/>
  <c r="B45" i="17"/>
  <c r="B44" i="17"/>
  <c r="B43" i="17"/>
  <c r="E14" i="44" l="1"/>
  <c r="E2" i="51" l="1"/>
  <c r="H71" i="50" l="1"/>
  <c r="G71" i="50"/>
  <c r="E71" i="50"/>
  <c r="F71" i="50" s="1"/>
  <c r="C71" i="50"/>
  <c r="H44" i="50"/>
  <c r="G44" i="50"/>
  <c r="E44" i="50"/>
  <c r="F44" i="50" s="1"/>
  <c r="C44" i="50"/>
  <c r="H43" i="50"/>
  <c r="E43" i="50"/>
  <c r="F43" i="50" s="1"/>
  <c r="C43" i="50"/>
  <c r="H42" i="50"/>
  <c r="G42" i="50"/>
  <c r="E42" i="50"/>
  <c r="F42" i="50" s="1"/>
  <c r="C42" i="50"/>
  <c r="E9" i="75"/>
  <c r="I9" i="75"/>
  <c r="H9" i="75"/>
  <c r="G9" i="75"/>
  <c r="F9" i="75"/>
  <c r="J42" i="17"/>
  <c r="E18" i="44"/>
  <c r="E41" i="17"/>
  <c r="G43" i="50" s="1"/>
  <c r="B42" i="17"/>
  <c r="B41" i="17"/>
  <c r="B40" i="17"/>
  <c r="L29" i="44"/>
  <c r="L32" i="44" s="1"/>
  <c r="E28" i="44" s="1"/>
  <c r="F28" i="44" s="1"/>
  <c r="I28" i="14" l="1"/>
  <c r="O28" i="80"/>
  <c r="J9" i="75" l="1"/>
  <c r="I28" i="86"/>
  <c r="G41" i="50"/>
  <c r="E41" i="50"/>
  <c r="F41" i="50" s="1"/>
  <c r="C41" i="50"/>
  <c r="H40" i="50"/>
  <c r="E40" i="50"/>
  <c r="F40" i="50" s="1"/>
  <c r="C40" i="50"/>
  <c r="H39" i="50"/>
  <c r="E39" i="50"/>
  <c r="F39" i="50" s="1"/>
  <c r="C39" i="50"/>
  <c r="H38" i="50"/>
  <c r="E38" i="50"/>
  <c r="F38" i="50" s="1"/>
  <c r="C38" i="50"/>
  <c r="C28" i="37"/>
  <c r="B28" i="37"/>
  <c r="I10" i="75"/>
  <c r="H10" i="75"/>
  <c r="G10" i="75"/>
  <c r="F10" i="75"/>
  <c r="E10" i="75"/>
  <c r="F27" i="44" l="1"/>
  <c r="I27" i="14" s="1"/>
  <c r="F17" i="44"/>
  <c r="F18" i="44"/>
  <c r="F39" i="17"/>
  <c r="E37" i="17"/>
  <c r="E38" i="17"/>
  <c r="E36" i="17"/>
  <c r="B39" i="17"/>
  <c r="B38" i="17"/>
  <c r="B37" i="17"/>
  <c r="B36" i="17"/>
  <c r="B35" i="17"/>
  <c r="B34" i="17"/>
  <c r="B33" i="17"/>
  <c r="J10" i="75" l="1"/>
  <c r="I27" i="86"/>
  <c r="G39" i="50"/>
  <c r="G38" i="50"/>
  <c r="G40" i="50"/>
  <c r="H41" i="50"/>
  <c r="E18" i="40"/>
  <c r="G70" i="50" s="1"/>
  <c r="H70" i="50"/>
  <c r="E70" i="50"/>
  <c r="F70" i="50" s="1"/>
  <c r="C70" i="50"/>
  <c r="D23" i="44" l="1"/>
  <c r="D37" i="44" l="1"/>
  <c r="F37" i="44"/>
  <c r="F36" i="44"/>
  <c r="E3" i="60"/>
  <c r="L24" i="60"/>
  <c r="F40" i="44" l="1"/>
  <c r="F39" i="44"/>
  <c r="F38" i="44"/>
  <c r="H93" i="50" l="1"/>
  <c r="E93" i="50"/>
  <c r="F93" i="50" s="1"/>
  <c r="C93" i="50"/>
  <c r="H37" i="50" l="1"/>
  <c r="E37" i="50"/>
  <c r="F37" i="50" s="1"/>
  <c r="C37" i="50"/>
  <c r="F20" i="44" l="1"/>
  <c r="F21" i="44" l="1"/>
  <c r="C27" i="37"/>
  <c r="I11" i="75"/>
  <c r="H11" i="75"/>
  <c r="G11" i="75"/>
  <c r="F11" i="75"/>
  <c r="E11" i="75"/>
  <c r="I24" i="14"/>
  <c r="I24" i="86" s="1"/>
  <c r="I25" i="14"/>
  <c r="I25" i="86" s="1"/>
  <c r="C25" i="44"/>
  <c r="C26" i="44"/>
  <c r="C10" i="44"/>
  <c r="C11" i="44"/>
  <c r="C12" i="44"/>
  <c r="C13" i="44"/>
  <c r="C14" i="44"/>
  <c r="C15" i="44"/>
  <c r="C16" i="44"/>
  <c r="C17" i="44"/>
  <c r="C18" i="44"/>
  <c r="C19" i="44"/>
  <c r="C20" i="44"/>
  <c r="C21" i="44"/>
  <c r="C22" i="44"/>
  <c r="C23" i="44"/>
  <c r="C24" i="44"/>
  <c r="C9" i="44"/>
  <c r="I12" i="14"/>
  <c r="I12" i="86" s="1"/>
  <c r="I15" i="14"/>
  <c r="I15" i="86" s="1"/>
  <c r="I16" i="14"/>
  <c r="I16" i="86" s="1"/>
  <c r="I17" i="14"/>
  <c r="I17" i="86" s="1"/>
  <c r="I21" i="14"/>
  <c r="I21" i="86" s="1"/>
  <c r="B27" i="37"/>
  <c r="B26" i="37"/>
  <c r="I35" i="17"/>
  <c r="E35" i="17" s="1"/>
  <c r="M26" i="86"/>
  <c r="F32" i="37" l="1"/>
  <c r="F31" i="37"/>
  <c r="F30" i="37"/>
  <c r="F29" i="37"/>
  <c r="F28" i="37"/>
  <c r="E28" i="37" s="1"/>
  <c r="F27" i="37"/>
  <c r="F26" i="37"/>
  <c r="E26" i="37" s="1"/>
  <c r="G37" i="50"/>
  <c r="M11" i="75"/>
  <c r="M27" i="86" l="1"/>
  <c r="M10" i="75"/>
  <c r="M9" i="75"/>
  <c r="M28" i="86" l="1"/>
  <c r="C69" i="50"/>
  <c r="E69" i="50"/>
  <c r="F69" i="50" s="1"/>
  <c r="H69" i="50"/>
  <c r="C36" i="50"/>
  <c r="E36" i="50"/>
  <c r="F36" i="50" s="1"/>
  <c r="H36" i="50"/>
  <c r="E17" i="40"/>
  <c r="I34" i="17"/>
  <c r="E34" i="17" s="1"/>
  <c r="M29" i="86" l="1"/>
  <c r="M30" i="86"/>
  <c r="M51" i="75"/>
  <c r="M53" i="75" s="1"/>
  <c r="G36" i="50"/>
  <c r="G69" i="50"/>
  <c r="H43" i="40" l="1"/>
  <c r="E43" i="40"/>
  <c r="G93" i="50" s="1"/>
  <c r="F44" i="40"/>
  <c r="M42" i="14" s="1"/>
  <c r="U15" i="77"/>
  <c r="M41" i="86" l="1"/>
  <c r="U17" i="77"/>
  <c r="U16" i="77"/>
  <c r="V15" i="77"/>
  <c r="V16" i="77" l="1"/>
  <c r="V17" i="77"/>
  <c r="C68" i="50"/>
  <c r="E68" i="50"/>
  <c r="F68" i="50" s="1"/>
  <c r="H68" i="50"/>
  <c r="E16" i="40"/>
  <c r="G68" i="50" l="1"/>
  <c r="H94" i="50" l="1"/>
  <c r="G94" i="50"/>
  <c r="E94" i="50"/>
  <c r="F94" i="50" s="1"/>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s="1"/>
  <c r="J45" i="75" l="1"/>
  <c r="I23" i="86"/>
  <c r="K31" i="37"/>
  <c r="D9" i="51" l="1"/>
  <c r="P42" i="75" l="1"/>
  <c r="P55" i="75" s="1"/>
  <c r="G54" i="50" l="1"/>
  <c r="E54" i="50"/>
  <c r="F54" i="50" s="1"/>
  <c r="C54" i="50"/>
  <c r="I55" i="17" l="1"/>
  <c r="H56" i="17"/>
  <c r="I56" i="17" s="1"/>
  <c r="F58" i="17"/>
  <c r="H54" i="50" s="1"/>
  <c r="M38" i="14" l="1"/>
  <c r="H58" i="17"/>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M38" i="75"/>
  <c r="R38" i="75"/>
  <c r="J38" i="75"/>
  <c r="I38" i="75"/>
  <c r="H38" i="75"/>
  <c r="G38" i="75"/>
  <c r="F38" i="75"/>
  <c r="E38" i="75"/>
  <c r="M40" i="75"/>
  <c r="K40" i="75"/>
  <c r="J40" i="75"/>
  <c r="I40" i="75"/>
  <c r="H40" i="75"/>
  <c r="G40" i="75"/>
  <c r="F40" i="75"/>
  <c r="E40" i="75"/>
  <c r="K39" i="75"/>
  <c r="J39" i="75"/>
  <c r="I39" i="75"/>
  <c r="H39" i="75"/>
  <c r="G39" i="75"/>
  <c r="F39" i="75"/>
  <c r="E39" i="75"/>
  <c r="M37" i="75"/>
  <c r="J37" i="75"/>
  <c r="I37" i="75"/>
  <c r="H37" i="75"/>
  <c r="G37" i="75"/>
  <c r="F37" i="75"/>
  <c r="E37" i="75"/>
  <c r="R36" i="75"/>
  <c r="J36" i="75"/>
  <c r="I36" i="75"/>
  <c r="H36" i="75"/>
  <c r="G36" i="75"/>
  <c r="F36" i="75"/>
  <c r="E36" i="75"/>
  <c r="I35" i="75"/>
  <c r="H35" i="75"/>
  <c r="G35" i="75"/>
  <c r="F35" i="75"/>
  <c r="E35" i="75"/>
  <c r="I34" i="75"/>
  <c r="H34" i="75"/>
  <c r="G34" i="75"/>
  <c r="F34" i="75"/>
  <c r="E34" i="75"/>
  <c r="I33" i="75"/>
  <c r="H33" i="75"/>
  <c r="G33" i="75"/>
  <c r="F33" i="75"/>
  <c r="E33" i="75"/>
  <c r="N27" i="75"/>
  <c r="M27" i="75"/>
  <c r="M15" i="75"/>
  <c r="M12" i="75"/>
  <c r="M13" i="75"/>
  <c r="R28" i="75"/>
  <c r="I28" i="75"/>
  <c r="H28" i="75"/>
  <c r="G28" i="75"/>
  <c r="F28" i="75"/>
  <c r="R27" i="75"/>
  <c r="L27" i="75"/>
  <c r="K27" i="75"/>
  <c r="J27" i="75"/>
  <c r="I27" i="75"/>
  <c r="H27" i="75"/>
  <c r="G27" i="75"/>
  <c r="F27" i="75"/>
  <c r="R15" i="75"/>
  <c r="K15" i="75"/>
  <c r="J15" i="75"/>
  <c r="I15" i="75"/>
  <c r="H15" i="75"/>
  <c r="G15" i="75"/>
  <c r="F15" i="75"/>
  <c r="R16" i="75"/>
  <c r="L16" i="75"/>
  <c r="K16" i="75"/>
  <c r="J16" i="75"/>
  <c r="I16" i="75"/>
  <c r="H16" i="75"/>
  <c r="G16" i="75"/>
  <c r="F16" i="75"/>
  <c r="R21" i="75"/>
  <c r="I21" i="75"/>
  <c r="H21" i="75"/>
  <c r="G21" i="75"/>
  <c r="F21" i="75"/>
  <c r="R17" i="75"/>
  <c r="I17" i="75"/>
  <c r="H17" i="75"/>
  <c r="G17" i="75"/>
  <c r="F17" i="75"/>
  <c r="R18" i="75"/>
  <c r="I18" i="75"/>
  <c r="H18" i="75"/>
  <c r="G18" i="75"/>
  <c r="F18" i="75"/>
  <c r="R19" i="75"/>
  <c r="I19" i="75"/>
  <c r="H19" i="75"/>
  <c r="G19" i="75"/>
  <c r="F19" i="75"/>
  <c r="J12" i="75"/>
  <c r="I12" i="75"/>
  <c r="H12" i="75"/>
  <c r="G12" i="75"/>
  <c r="F12" i="75"/>
  <c r="K13" i="75"/>
  <c r="J13" i="75"/>
  <c r="I13" i="75"/>
  <c r="H13" i="75"/>
  <c r="G13" i="75"/>
  <c r="F13" i="75"/>
  <c r="R14" i="75"/>
  <c r="I14" i="75"/>
  <c r="H14" i="75"/>
  <c r="G14" i="75"/>
  <c r="F14" i="75"/>
  <c r="R20" i="75"/>
  <c r="I20" i="75"/>
  <c r="H20" i="75"/>
  <c r="G20" i="75"/>
  <c r="F20" i="75"/>
  <c r="R26" i="75"/>
  <c r="I26" i="75"/>
  <c r="H26" i="75"/>
  <c r="G26" i="75"/>
  <c r="F26" i="75"/>
  <c r="R25" i="75"/>
  <c r="I25" i="75"/>
  <c r="H25" i="75"/>
  <c r="G25" i="75"/>
  <c r="F25" i="75"/>
  <c r="R22" i="75"/>
  <c r="I22" i="75"/>
  <c r="H22" i="75"/>
  <c r="G22" i="75"/>
  <c r="F22" i="75"/>
  <c r="R23" i="75"/>
  <c r="I23" i="75"/>
  <c r="H23" i="75"/>
  <c r="G23" i="75"/>
  <c r="F23" i="75"/>
  <c r="R24" i="75"/>
  <c r="I24" i="75"/>
  <c r="H24" i="75"/>
  <c r="G24" i="75"/>
  <c r="F24" i="75"/>
  <c r="E28" i="75"/>
  <c r="E27" i="75"/>
  <c r="E15" i="75"/>
  <c r="E16" i="75"/>
  <c r="E21" i="75"/>
  <c r="E17" i="75"/>
  <c r="E18" i="75"/>
  <c r="E19" i="75"/>
  <c r="E12" i="75"/>
  <c r="E13" i="75"/>
  <c r="E14" i="75"/>
  <c r="E20" i="75"/>
  <c r="E26" i="75"/>
  <c r="E25" i="75"/>
  <c r="E22" i="75"/>
  <c r="E23" i="75"/>
  <c r="E24" i="75"/>
  <c r="I33" i="17"/>
  <c r="E33" i="17" s="1"/>
  <c r="M16" i="75" l="1"/>
  <c r="M37" i="86"/>
  <c r="G35" i="50"/>
  <c r="L31" i="60"/>
  <c r="O31" i="60"/>
  <c r="G15" i="37"/>
  <c r="G23" i="37"/>
  <c r="K33" i="37"/>
  <c r="K34" i="37" s="1"/>
  <c r="D26" i="37"/>
  <c r="C26" i="37" l="1"/>
  <c r="B25" i="37"/>
  <c r="B24" i="37"/>
  <c r="B23" i="37"/>
  <c r="B22" i="37"/>
  <c r="B21" i="37"/>
  <c r="B20" i="37"/>
  <c r="B19" i="37"/>
  <c r="B18" i="37"/>
  <c r="B17" i="37"/>
  <c r="B16" i="37"/>
  <c r="B15" i="37"/>
  <c r="B14" i="37"/>
  <c r="B13" i="37"/>
  <c r="B12" i="37"/>
  <c r="B11" i="37"/>
  <c r="B10" i="37"/>
  <c r="N31" i="14" s="1"/>
  <c r="N46" i="75" s="1"/>
  <c r="F10" i="37" l="1"/>
  <c r="F13" i="37"/>
  <c r="F22" i="37"/>
  <c r="F23" i="37"/>
  <c r="F15" i="37"/>
  <c r="F17" i="37"/>
  <c r="F25" i="37"/>
  <c r="F21" i="37"/>
  <c r="F24" i="37"/>
  <c r="F19" i="37"/>
  <c r="F14" i="37"/>
  <c r="F18" i="37"/>
  <c r="E18" i="37" s="1"/>
  <c r="F11" i="37"/>
  <c r="F12" i="37"/>
  <c r="F20" i="37"/>
  <c r="N30" i="14"/>
  <c r="N30" i="86" s="1"/>
  <c r="N37" i="14"/>
  <c r="N36" i="86" s="1"/>
  <c r="N45" i="14"/>
  <c r="N44" i="86" s="1"/>
  <c r="N44" i="14"/>
  <c r="N43" i="86" s="1"/>
  <c r="N42" i="14"/>
  <c r="N41" i="86" s="1"/>
  <c r="N25" i="14"/>
  <c r="N25" i="86" s="1"/>
  <c r="E12" i="37" l="1"/>
  <c r="F50" i="37"/>
  <c r="F51" i="37" s="1"/>
  <c r="N37" i="75"/>
  <c r="N36" i="75"/>
  <c r="N39" i="75"/>
  <c r="N12" i="75"/>
  <c r="N12" i="14"/>
  <c r="N12" i="86" s="1"/>
  <c r="N10" i="14"/>
  <c r="N10" i="86" s="1"/>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E99" i="50"/>
  <c r="E98" i="50"/>
  <c r="E97" i="50"/>
  <c r="E96" i="50"/>
  <c r="E95" i="50"/>
  <c r="E92" i="50"/>
  <c r="E91" i="50"/>
  <c r="E90" i="50"/>
  <c r="E89" i="50"/>
  <c r="E88" i="50"/>
  <c r="E87" i="50"/>
  <c r="E86" i="50"/>
  <c r="E85" i="50"/>
  <c r="E84" i="50"/>
  <c r="E83" i="50"/>
  <c r="E82" i="50"/>
  <c r="E81" i="50"/>
  <c r="E80" i="50"/>
  <c r="E79" i="50"/>
  <c r="E78" i="50"/>
  <c r="E77" i="50"/>
  <c r="E76" i="50"/>
  <c r="E75" i="50"/>
  <c r="E74" i="50"/>
  <c r="E67" i="50"/>
  <c r="E66" i="50"/>
  <c r="E65" i="50"/>
  <c r="E64" i="50"/>
  <c r="E63" i="50"/>
  <c r="E62" i="50"/>
  <c r="E61" i="50"/>
  <c r="E60" i="50"/>
  <c r="E59" i="50"/>
  <c r="E58" i="50"/>
  <c r="E57" i="50"/>
  <c r="E56" i="50"/>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N26" i="75" l="1"/>
  <c r="N21" i="75"/>
  <c r="I31" i="17" l="1"/>
  <c r="E31" i="17" s="1"/>
  <c r="E16" i="37"/>
  <c r="G33" i="50" l="1"/>
  <c r="N15" i="14"/>
  <c r="N15" i="86" s="1"/>
  <c r="N23" i="14"/>
  <c r="N23" i="86" s="1"/>
  <c r="O36" i="14"/>
  <c r="O35" i="86" s="1"/>
  <c r="N22" i="75" l="1"/>
  <c r="N33" i="75"/>
  <c r="N45" i="75"/>
  <c r="N48" i="75" s="1"/>
  <c r="O27" i="75"/>
  <c r="F11" i="60"/>
  <c r="D2" i="75"/>
  <c r="O38" i="14" l="1"/>
  <c r="N16" i="75"/>
  <c r="O16" i="75" l="1"/>
  <c r="O37" i="86"/>
  <c r="F100" i="50"/>
  <c r="F34" i="50"/>
  <c r="I32" i="17" l="1"/>
  <c r="E32" i="17" s="1"/>
  <c r="E25" i="37" s="1"/>
  <c r="D25" i="37"/>
  <c r="E56" i="40"/>
  <c r="N24" i="14" l="1"/>
  <c r="N24" i="86" s="1"/>
  <c r="G100" i="50"/>
  <c r="G34" i="50"/>
  <c r="N13" i="75" l="1"/>
  <c r="N46" i="14"/>
  <c r="N45" i="86" s="1"/>
  <c r="I20" i="14"/>
  <c r="I20" i="86" s="1"/>
  <c r="N40" i="75" l="1"/>
  <c r="E15" i="37"/>
  <c r="N14" i="14" l="1"/>
  <c r="N14" i="86" s="1"/>
  <c r="D2" i="14"/>
  <c r="N24" i="75" l="1"/>
  <c r="C2" i="37"/>
  <c r="K16" i="37" s="1"/>
  <c r="D2" i="80"/>
  <c r="D3" i="44"/>
  <c r="K18" i="63"/>
  <c r="E7" i="37" l="1"/>
  <c r="G7" i="37"/>
  <c r="N5" i="63"/>
  <c r="J28" i="63" l="1"/>
  <c r="K28" i="63"/>
  <c r="I28" i="63"/>
  <c r="H28" i="63"/>
  <c r="G28" i="63"/>
  <c r="F10" i="44" l="1"/>
  <c r="I10" i="14" l="1"/>
  <c r="I10" i="86" s="1"/>
  <c r="D15" i="51" l="1"/>
  <c r="D12" i="51"/>
  <c r="F99" i="50"/>
  <c r="F98" i="50"/>
  <c r="F97" i="50"/>
  <c r="F96" i="50"/>
  <c r="F95" i="50"/>
  <c r="F92" i="50"/>
  <c r="F91" i="50"/>
  <c r="F90" i="50"/>
  <c r="F89" i="50"/>
  <c r="F88" i="50"/>
  <c r="F87" i="50"/>
  <c r="F86" i="50"/>
  <c r="F85" i="50"/>
  <c r="F84" i="50"/>
  <c r="F83" i="50"/>
  <c r="F82" i="50"/>
  <c r="F81" i="50"/>
  <c r="F80" i="50"/>
  <c r="F79" i="50"/>
  <c r="F78" i="50"/>
  <c r="F77" i="50"/>
  <c r="F76" i="50"/>
  <c r="F75" i="50"/>
  <c r="F74" i="50"/>
  <c r="F67" i="50"/>
  <c r="F66" i="50"/>
  <c r="F65" i="50"/>
  <c r="F64" i="50"/>
  <c r="F63" i="50"/>
  <c r="F62" i="50"/>
  <c r="F61" i="50"/>
  <c r="F60" i="50"/>
  <c r="F59" i="50"/>
  <c r="F58" i="50"/>
  <c r="F57" i="50"/>
  <c r="F56" i="50"/>
  <c r="F53" i="50"/>
  <c r="F52" i="50"/>
  <c r="F51"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E57" i="17"/>
  <c r="H42" i="40"/>
  <c r="E42" i="40" s="1"/>
  <c r="H41" i="40"/>
  <c r="E41" i="40" s="1"/>
  <c r="H40" i="40"/>
  <c r="E40" i="40" s="1"/>
  <c r="L26" i="50" l="1"/>
  <c r="R26" i="50"/>
  <c r="Q26" i="50"/>
  <c r="K26" i="50"/>
  <c r="S26" i="50"/>
  <c r="M26" i="50"/>
  <c r="S25" i="50"/>
  <c r="M25" i="50"/>
  <c r="R25" i="50"/>
  <c r="L25" i="50"/>
  <c r="Q25" i="50"/>
  <c r="K25" i="50"/>
  <c r="M24" i="50"/>
  <c r="S24" i="50"/>
  <c r="R24" i="50"/>
  <c r="L24" i="50"/>
  <c r="Q24" i="50"/>
  <c r="K24" i="50"/>
  <c r="K23" i="50"/>
  <c r="Q23" i="50"/>
  <c r="R23" i="50"/>
  <c r="L23" i="50"/>
  <c r="S23" i="50"/>
  <c r="M23" i="50"/>
  <c r="G92" i="50"/>
  <c r="M21" i="50" s="1"/>
  <c r="G90" i="50"/>
  <c r="G91" i="50"/>
  <c r="G53" i="50"/>
  <c r="L13" i="50"/>
  <c r="R22" i="50"/>
  <c r="L22" i="50"/>
  <c r="S22" i="50"/>
  <c r="M22" i="50"/>
  <c r="Q22" i="50"/>
  <c r="K22" i="50"/>
  <c r="M10" i="50"/>
  <c r="M8" i="50"/>
  <c r="M7" i="50"/>
  <c r="Q14" i="50"/>
  <c r="S13" i="50"/>
  <c r="Q15" i="50"/>
  <c r="R14" i="50"/>
  <c r="L21" i="50"/>
  <c r="R21" i="50"/>
  <c r="R13" i="50"/>
  <c r="S12" i="50"/>
  <c r="L14" i="50"/>
  <c r="Q21" i="50"/>
  <c r="Q13" i="50"/>
  <c r="R20" i="50"/>
  <c r="R12" i="50"/>
  <c r="S19" i="50"/>
  <c r="S11" i="50"/>
  <c r="Q7" i="50"/>
  <c r="L7" i="50"/>
  <c r="L15" i="50"/>
  <c r="Q20" i="50"/>
  <c r="Q12" i="50"/>
  <c r="R19" i="50"/>
  <c r="R11" i="50"/>
  <c r="S10" i="50"/>
  <c r="K15" i="50"/>
  <c r="L8" i="50"/>
  <c r="L16" i="50"/>
  <c r="Q19" i="50"/>
  <c r="Q11" i="50"/>
  <c r="R18" i="50"/>
  <c r="R10" i="50"/>
  <c r="S9" i="50"/>
  <c r="L9" i="50"/>
  <c r="L17" i="50"/>
  <c r="Q18" i="50"/>
  <c r="Q10" i="50"/>
  <c r="R17" i="50"/>
  <c r="R9" i="50"/>
  <c r="S16" i="50"/>
  <c r="S8" i="50"/>
  <c r="K17" i="50"/>
  <c r="L10" i="50"/>
  <c r="L18" i="50"/>
  <c r="Q17" i="50"/>
  <c r="Q9" i="50"/>
  <c r="R16" i="50"/>
  <c r="R8" i="50"/>
  <c r="K10" i="50"/>
  <c r="L11" i="50"/>
  <c r="L19" i="50"/>
  <c r="Q16" i="50"/>
  <c r="Q8" i="50"/>
  <c r="R15" i="50"/>
  <c r="S7" i="50"/>
  <c r="L12" i="50"/>
  <c r="L20" i="50"/>
  <c r="R7" i="50"/>
  <c r="S21" i="50"/>
  <c r="D18" i="51"/>
  <c r="Q27" i="50" l="1"/>
  <c r="L27" i="50"/>
  <c r="R27" i="50"/>
  <c r="J43" i="14" l="1"/>
  <c r="J42" i="86" s="1"/>
  <c r="E38" i="40"/>
  <c r="J34" i="75"/>
  <c r="J14" i="75"/>
  <c r="J19" i="75"/>
  <c r="J17" i="75"/>
  <c r="J22" i="75"/>
  <c r="J21" i="75"/>
  <c r="J26" i="75"/>
  <c r="E15" i="44"/>
  <c r="K38" i="75" l="1"/>
  <c r="I18" i="14"/>
  <c r="J33" i="75"/>
  <c r="G88" i="50"/>
  <c r="J20" i="75" l="1"/>
  <c r="I18" i="86"/>
  <c r="F19" i="44"/>
  <c r="I19" i="14" l="1"/>
  <c r="F22" i="44"/>
  <c r="J18" i="75" l="1"/>
  <c r="I19" i="86"/>
  <c r="I22" i="14"/>
  <c r="I22" i="86" s="1"/>
  <c r="F13" i="44"/>
  <c r="J35" i="75" l="1"/>
  <c r="I13" i="14"/>
  <c r="F11" i="44"/>
  <c r="F14" i="44"/>
  <c r="F9" i="44"/>
  <c r="J23" i="75" l="1"/>
  <c r="I13" i="86"/>
  <c r="I9" i="14"/>
  <c r="I14" i="14"/>
  <c r="I11" i="14"/>
  <c r="K37" i="14"/>
  <c r="K36" i="86" s="1"/>
  <c r="J25" i="75" l="1"/>
  <c r="I11" i="86"/>
  <c r="J28" i="75"/>
  <c r="I9" i="86"/>
  <c r="J24" i="75"/>
  <c r="I14" i="86"/>
  <c r="O37" i="14"/>
  <c r="O36" i="86" s="1"/>
  <c r="L15" i="75"/>
  <c r="O15" i="75" l="1"/>
  <c r="N15" i="75"/>
  <c r="N11" i="14"/>
  <c r="N11" i="86" s="1"/>
  <c r="E32" i="40"/>
  <c r="E10" i="40"/>
  <c r="E55" i="40"/>
  <c r="E54" i="40"/>
  <c r="E53" i="40"/>
  <c r="E52" i="40"/>
  <c r="E35" i="40"/>
  <c r="E34" i="40"/>
  <c r="F33" i="40"/>
  <c r="E31" i="40"/>
  <c r="F30" i="40"/>
  <c r="M44" i="14" s="1"/>
  <c r="M43" i="86" s="1"/>
  <c r="E29" i="40"/>
  <c r="E28" i="40"/>
  <c r="E27" i="40"/>
  <c r="E26" i="40"/>
  <c r="E25" i="40"/>
  <c r="E24" i="40"/>
  <c r="E23" i="40"/>
  <c r="E22" i="40"/>
  <c r="F15" i="40"/>
  <c r="E14" i="40"/>
  <c r="F13" i="40"/>
  <c r="E12" i="40"/>
  <c r="E11" i="40"/>
  <c r="F9" i="40"/>
  <c r="E8" i="40"/>
  <c r="E7" i="40"/>
  <c r="F6" i="40"/>
  <c r="E5" i="40"/>
  <c r="E4" i="40"/>
  <c r="M36" i="75" l="1"/>
  <c r="N25" i="75"/>
  <c r="M45" i="14"/>
  <c r="M44" i="86" s="1"/>
  <c r="H58" i="50"/>
  <c r="G62" i="50"/>
  <c r="G74" i="50"/>
  <c r="M9" i="50" s="1"/>
  <c r="H82" i="50"/>
  <c r="S14" i="50" s="1"/>
  <c r="G60" i="50"/>
  <c r="G75" i="50"/>
  <c r="H61" i="50"/>
  <c r="G76" i="50"/>
  <c r="M11" i="50" s="1"/>
  <c r="H85" i="50"/>
  <c r="S17" i="50" s="1"/>
  <c r="G84" i="50"/>
  <c r="M17" i="50" s="1"/>
  <c r="G59" i="50"/>
  <c r="G99" i="50"/>
  <c r="G83" i="50"/>
  <c r="M16" i="50" s="1"/>
  <c r="G63" i="50"/>
  <c r="G77" i="50"/>
  <c r="G86" i="50"/>
  <c r="G64" i="50"/>
  <c r="G87" i="50"/>
  <c r="G56" i="50"/>
  <c r="G79" i="50"/>
  <c r="G96" i="50"/>
  <c r="G78" i="50"/>
  <c r="H65" i="50"/>
  <c r="S18" i="50" s="1"/>
  <c r="G57" i="50"/>
  <c r="G66" i="50"/>
  <c r="G80" i="50"/>
  <c r="G97" i="50"/>
  <c r="M19" i="50" s="1"/>
  <c r="H67" i="50"/>
  <c r="S20" i="50" s="1"/>
  <c r="G81" i="50"/>
  <c r="G98" i="50"/>
  <c r="M39" i="75" l="1"/>
  <c r="M20" i="50"/>
  <c r="M12" i="50"/>
  <c r="S15" i="50"/>
  <c r="S27" i="50" s="1"/>
  <c r="M14" i="50"/>
  <c r="M15" i="50"/>
  <c r="M18" i="50"/>
  <c r="E25" i="17" l="1"/>
  <c r="E24" i="17"/>
  <c r="E20" i="37" s="1"/>
  <c r="E17" i="17"/>
  <c r="E16" i="17"/>
  <c r="I30" i="17"/>
  <c r="E30" i="17" s="1"/>
  <c r="G32" i="50" s="1"/>
  <c r="K21" i="50" s="1"/>
  <c r="I29" i="17"/>
  <c r="E29" i="17" s="1"/>
  <c r="I27" i="17"/>
  <c r="E27" i="17" s="1"/>
  <c r="I26" i="17"/>
  <c r="E26" i="17" s="1"/>
  <c r="I23" i="17"/>
  <c r="E23" i="17" s="1"/>
  <c r="E19" i="3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G23" i="50"/>
  <c r="G19" i="50"/>
  <c r="G24" i="50"/>
  <c r="G26" i="50"/>
  <c r="G25" i="50"/>
  <c r="G27" i="50"/>
  <c r="G17" i="50"/>
  <c r="G6" i="50"/>
  <c r="G14" i="50"/>
  <c r="G29" i="50"/>
  <c r="G28" i="50"/>
  <c r="G7" i="50"/>
  <c r="G15" i="50"/>
  <c r="G31" i="50"/>
  <c r="G12" i="50"/>
  <c r="G13" i="50"/>
  <c r="G8" i="50"/>
  <c r="G16" i="50"/>
  <c r="K13" i="50" s="1"/>
  <c r="G9" i="50"/>
  <c r="G22" i="50"/>
  <c r="K14" i="50" s="1"/>
  <c r="G18" i="50"/>
  <c r="D24" i="37"/>
  <c r="E23" i="37"/>
  <c r="D23" i="37"/>
  <c r="D22" i="37"/>
  <c r="D21" i="37"/>
  <c r="D20" i="37"/>
  <c r="D19" i="37"/>
  <c r="D18" i="37"/>
  <c r="G17" i="37"/>
  <c r="D17" i="37"/>
  <c r="D16" i="37"/>
  <c r="D15" i="37"/>
  <c r="D14" i="37"/>
  <c r="D13" i="37"/>
  <c r="D12" i="37"/>
  <c r="D11" i="37"/>
  <c r="E10" i="37"/>
  <c r="D10" i="37"/>
  <c r="K19" i="50" l="1"/>
  <c r="K8" i="50"/>
  <c r="K18" i="50"/>
  <c r="N18" i="14"/>
  <c r="N18" i="86" s="1"/>
  <c r="N17" i="14"/>
  <c r="N17" i="86" s="1"/>
  <c r="K9" i="50"/>
  <c r="K7" i="50"/>
  <c r="N20" i="14"/>
  <c r="N20" i="86" s="1"/>
  <c r="K20" i="50"/>
  <c r="N13" i="14"/>
  <c r="N13" i="86" s="1"/>
  <c r="N19" i="14"/>
  <c r="N19" i="86" s="1"/>
  <c r="N9" i="14"/>
  <c r="N9" i="86" s="1"/>
  <c r="N16" i="14"/>
  <c r="N16" i="86" s="1"/>
  <c r="N21" i="14"/>
  <c r="N21" i="86" s="1"/>
  <c r="N23" i="75" l="1"/>
  <c r="N14" i="75"/>
  <c r="N20" i="75"/>
  <c r="N19" i="75"/>
  <c r="N18" i="75"/>
  <c r="N34" i="75"/>
  <c r="N17" i="75"/>
  <c r="N28" i="75"/>
  <c r="F24" i="60"/>
  <c r="N22" i="14"/>
  <c r="N22" i="86" s="1"/>
  <c r="N35" i="75" l="1"/>
  <c r="F16" i="60"/>
  <c r="E19" i="17"/>
  <c r="E18" i="17"/>
  <c r="H9" i="17"/>
  <c r="I9" i="17" s="1"/>
  <c r="E9" i="17" s="1"/>
  <c r="K31" i="14" s="1"/>
  <c r="L46" i="75" l="1"/>
  <c r="P31" i="14"/>
  <c r="Q46" i="75" s="1"/>
  <c r="L31" i="14"/>
  <c r="R46" i="75" s="1"/>
  <c r="O31" i="14"/>
  <c r="O46" i="75" s="1"/>
  <c r="K28" i="14"/>
  <c r="K30" i="14"/>
  <c r="P30" i="14" s="1"/>
  <c r="P30" i="86" s="1"/>
  <c r="K29" i="14"/>
  <c r="K27" i="14"/>
  <c r="K12" i="14"/>
  <c r="K20" i="14"/>
  <c r="K25" i="14"/>
  <c r="K16" i="14"/>
  <c r="K14" i="14"/>
  <c r="K23" i="14"/>
  <c r="K13" i="14"/>
  <c r="K24" i="14"/>
  <c r="K18" i="14"/>
  <c r="K17" i="14"/>
  <c r="K10" i="14"/>
  <c r="K11" i="14"/>
  <c r="K26" i="14"/>
  <c r="K19" i="14"/>
  <c r="K22" i="14"/>
  <c r="K15" i="14"/>
  <c r="K21" i="14"/>
  <c r="G20" i="50"/>
  <c r="K12" i="50" s="1"/>
  <c r="G21" i="50"/>
  <c r="K16" i="50" s="1"/>
  <c r="G11" i="50"/>
  <c r="K9" i="14"/>
  <c r="M22" i="14"/>
  <c r="M20" i="14"/>
  <c r="M17" i="14"/>
  <c r="M14" i="14"/>
  <c r="M9" i="14"/>
  <c r="M12" i="14"/>
  <c r="M23" i="14"/>
  <c r="M11" i="14"/>
  <c r="M18" i="14"/>
  <c r="M19" i="14"/>
  <c r="M15" i="14"/>
  <c r="M21" i="14"/>
  <c r="M10" i="14"/>
  <c r="M13" i="14"/>
  <c r="M16" i="14"/>
  <c r="L21" i="14"/>
  <c r="J39" i="14"/>
  <c r="J38" i="86" s="1"/>
  <c r="K39" i="14"/>
  <c r="L39" i="14"/>
  <c r="L38" i="86" s="1"/>
  <c r="M39" i="14"/>
  <c r="M38" i="86" s="1"/>
  <c r="M33" i="14" l="1"/>
  <c r="K33" i="14"/>
  <c r="L28" i="50"/>
  <c r="K38" i="86"/>
  <c r="R34" i="75"/>
  <c r="L21" i="86"/>
  <c r="M12" i="86"/>
  <c r="K11" i="86"/>
  <c r="K16" i="86"/>
  <c r="K23" i="86"/>
  <c r="M10" i="86"/>
  <c r="M9" i="86"/>
  <c r="K10" i="86"/>
  <c r="K25" i="86"/>
  <c r="M13" i="86"/>
  <c r="M21" i="86"/>
  <c r="M14" i="86"/>
  <c r="K17" i="86"/>
  <c r="K20" i="86"/>
  <c r="K9" i="86"/>
  <c r="M15" i="86"/>
  <c r="M17" i="86"/>
  <c r="K21" i="86"/>
  <c r="K18" i="86"/>
  <c r="K12" i="86"/>
  <c r="M11" i="86"/>
  <c r="M19" i="86"/>
  <c r="M20" i="86"/>
  <c r="K15" i="86"/>
  <c r="K24" i="86"/>
  <c r="K27" i="86"/>
  <c r="K19" i="86"/>
  <c r="M18" i="86"/>
  <c r="M22" i="86"/>
  <c r="K22" i="86"/>
  <c r="K13" i="86"/>
  <c r="K29" i="86"/>
  <c r="K30" i="86"/>
  <c r="M16" i="86"/>
  <c r="M23" i="86"/>
  <c r="K26" i="86"/>
  <c r="K14" i="86"/>
  <c r="K28" i="86"/>
  <c r="J11" i="14"/>
  <c r="J10" i="14"/>
  <c r="J25" i="14"/>
  <c r="J16" i="14"/>
  <c r="J17" i="14"/>
  <c r="J20" i="14"/>
  <c r="J18" i="14"/>
  <c r="J12" i="14"/>
  <c r="J15" i="14"/>
  <c r="J27" i="14"/>
  <c r="J13" i="14"/>
  <c r="J29" i="14"/>
  <c r="J19" i="14"/>
  <c r="J26" i="14"/>
  <c r="J14" i="14"/>
  <c r="L51" i="75"/>
  <c r="L53" i="75" s="1"/>
  <c r="E30" i="37"/>
  <c r="O30" i="14"/>
  <c r="J30" i="14"/>
  <c r="L9" i="75"/>
  <c r="E29" i="37"/>
  <c r="J28" i="14"/>
  <c r="J9" i="14"/>
  <c r="M45" i="75"/>
  <c r="M48" i="75" s="1"/>
  <c r="J22" i="14"/>
  <c r="J23" i="14"/>
  <c r="L45" i="75"/>
  <c r="L48" i="75" s="1"/>
  <c r="J21" i="14"/>
  <c r="R28" i="50"/>
  <c r="L12" i="75"/>
  <c r="P25" i="14"/>
  <c r="O25" i="14"/>
  <c r="E27" i="37"/>
  <c r="L11" i="75"/>
  <c r="L13" i="75"/>
  <c r="L24" i="14"/>
  <c r="O24" i="14"/>
  <c r="P24" i="14"/>
  <c r="L10" i="75"/>
  <c r="L26" i="75"/>
  <c r="L14" i="75"/>
  <c r="L24" i="75"/>
  <c r="L23" i="75"/>
  <c r="L34" i="75"/>
  <c r="L22" i="75"/>
  <c r="L21" i="75"/>
  <c r="L19" i="75"/>
  <c r="L18" i="75"/>
  <c r="L20" i="75"/>
  <c r="L25" i="75"/>
  <c r="L17" i="75"/>
  <c r="L35" i="75"/>
  <c r="P15" i="14"/>
  <c r="M17" i="75"/>
  <c r="P16" i="14"/>
  <c r="O16" i="14"/>
  <c r="M23" i="75"/>
  <c r="O13" i="14"/>
  <c r="P13" i="14"/>
  <c r="M18" i="75"/>
  <c r="O19" i="14"/>
  <c r="P19" i="14"/>
  <c r="M28" i="75"/>
  <c r="O9" i="14"/>
  <c r="P9" i="14"/>
  <c r="L28" i="75"/>
  <c r="L33" i="75"/>
  <c r="M20" i="75"/>
  <c r="O18" i="14"/>
  <c r="P18" i="14"/>
  <c r="M24" i="75"/>
  <c r="P14" i="14"/>
  <c r="O14" i="14"/>
  <c r="M26" i="75"/>
  <c r="P10" i="14"/>
  <c r="O10" i="14"/>
  <c r="P11" i="14"/>
  <c r="M25" i="75"/>
  <c r="O11" i="14"/>
  <c r="P17" i="14"/>
  <c r="M19" i="75"/>
  <c r="O17" i="14"/>
  <c r="P23" i="14"/>
  <c r="O23" i="14"/>
  <c r="M33" i="75"/>
  <c r="M14" i="75"/>
  <c r="O20" i="14"/>
  <c r="P20" i="14"/>
  <c r="M34" i="75"/>
  <c r="P21" i="14"/>
  <c r="O21" i="14"/>
  <c r="M21" i="75"/>
  <c r="P12" i="14"/>
  <c r="O12" i="14"/>
  <c r="M35" i="75"/>
  <c r="O22" i="14"/>
  <c r="P22" i="14"/>
  <c r="O15" i="14"/>
  <c r="M22" i="75"/>
  <c r="K11" i="50"/>
  <c r="K27" i="50" s="1"/>
  <c r="M47" i="14"/>
  <c r="M46" i="86" l="1"/>
  <c r="H15" i="51"/>
  <c r="J41" i="37"/>
  <c r="K32" i="86"/>
  <c r="F9" i="51"/>
  <c r="M32" i="86"/>
  <c r="H9" i="51"/>
  <c r="J33" i="14"/>
  <c r="O15" i="86"/>
  <c r="O21" i="86"/>
  <c r="O20" i="86"/>
  <c r="O11" i="86"/>
  <c r="O13" i="86"/>
  <c r="L24" i="86"/>
  <c r="J21" i="86"/>
  <c r="J28" i="86"/>
  <c r="J26" i="86"/>
  <c r="J20" i="86"/>
  <c r="P21" i="86"/>
  <c r="P9" i="86"/>
  <c r="P11" i="86"/>
  <c r="P14" i="86"/>
  <c r="O16" i="86"/>
  <c r="J29" i="86"/>
  <c r="O10" i="86"/>
  <c r="P16" i="86"/>
  <c r="J22" i="86"/>
  <c r="J30" i="86"/>
  <c r="J13" i="86"/>
  <c r="J25" i="86"/>
  <c r="J16" i="86"/>
  <c r="O22" i="86"/>
  <c r="O23" i="86"/>
  <c r="P23" i="86"/>
  <c r="P10" i="86"/>
  <c r="P18" i="86"/>
  <c r="P19" i="86"/>
  <c r="O25" i="86"/>
  <c r="O30" i="86"/>
  <c r="J27" i="86"/>
  <c r="J10" i="86"/>
  <c r="O14" i="86"/>
  <c r="J19" i="86"/>
  <c r="J17" i="86"/>
  <c r="O9" i="86"/>
  <c r="J23" i="86"/>
  <c r="O17" i="86"/>
  <c r="O18" i="86"/>
  <c r="O19" i="86"/>
  <c r="P15" i="86"/>
  <c r="P25" i="86"/>
  <c r="J15" i="86"/>
  <c r="J11" i="86"/>
  <c r="P22" i="86"/>
  <c r="P12" i="86"/>
  <c r="J12" i="86"/>
  <c r="O12" i="86"/>
  <c r="P24" i="86"/>
  <c r="P20" i="86"/>
  <c r="P17" i="86"/>
  <c r="P13" i="86"/>
  <c r="O24" i="86"/>
  <c r="J9" i="86"/>
  <c r="J14" i="86"/>
  <c r="J18" i="86"/>
  <c r="K17" i="75"/>
  <c r="L25" i="14"/>
  <c r="K26" i="75"/>
  <c r="K19" i="75"/>
  <c r="K25" i="75"/>
  <c r="K22" i="75"/>
  <c r="K12" i="75"/>
  <c r="K18" i="75"/>
  <c r="Q28" i="50"/>
  <c r="K14" i="75"/>
  <c r="K23" i="75"/>
  <c r="K21" i="75"/>
  <c r="K24" i="75"/>
  <c r="K20" i="75"/>
  <c r="Q13" i="75"/>
  <c r="R13" i="75"/>
  <c r="Q12" i="75"/>
  <c r="K9" i="75"/>
  <c r="L28" i="14"/>
  <c r="L30" i="14"/>
  <c r="N28" i="14"/>
  <c r="P28" i="14" s="1"/>
  <c r="N29" i="14"/>
  <c r="P29" i="14" s="1"/>
  <c r="P29" i="86" s="1"/>
  <c r="L29" i="14"/>
  <c r="K51" i="75"/>
  <c r="K53" i="75" s="1"/>
  <c r="K28" i="75"/>
  <c r="K34" i="75"/>
  <c r="K45" i="75"/>
  <c r="K48" i="75" s="1"/>
  <c r="Q45" i="75"/>
  <c r="O45" i="75"/>
  <c r="O48" i="75" s="1"/>
  <c r="V55" i="75"/>
  <c r="M30" i="75"/>
  <c r="L30" i="75"/>
  <c r="K28" i="50"/>
  <c r="S28" i="50"/>
  <c r="N26" i="14"/>
  <c r="L27" i="14"/>
  <c r="K10" i="75"/>
  <c r="O12" i="75"/>
  <c r="F19" i="60"/>
  <c r="O13" i="75"/>
  <c r="F18" i="60"/>
  <c r="N27" i="14"/>
  <c r="N27" i="86" s="1"/>
  <c r="L26" i="14"/>
  <c r="K11" i="75"/>
  <c r="Q34" i="75"/>
  <c r="Q19" i="75"/>
  <c r="Q28" i="75"/>
  <c r="L22" i="14"/>
  <c r="Q23" i="75"/>
  <c r="Q35" i="75"/>
  <c r="Q14" i="75"/>
  <c r="Q20" i="75"/>
  <c r="Q25" i="75"/>
  <c r="Q17" i="75"/>
  <c r="Q26" i="75"/>
  <c r="Q33" i="75"/>
  <c r="Q18" i="75"/>
  <c r="Q21" i="75"/>
  <c r="Q24" i="75"/>
  <c r="Q22" i="75"/>
  <c r="K35" i="75"/>
  <c r="M49" i="14"/>
  <c r="M48" i="86" s="1"/>
  <c r="M42" i="75"/>
  <c r="O19" i="75"/>
  <c r="F20" i="60"/>
  <c r="O18" i="75"/>
  <c r="F27" i="60"/>
  <c r="O34" i="75"/>
  <c r="F22" i="60"/>
  <c r="O26" i="75"/>
  <c r="F12" i="60"/>
  <c r="O14" i="75"/>
  <c r="F8" i="60"/>
  <c r="O25" i="75"/>
  <c r="F32" i="60"/>
  <c r="F21" i="60"/>
  <c r="O20" i="75"/>
  <c r="O23" i="75"/>
  <c r="F26" i="60"/>
  <c r="O28" i="75"/>
  <c r="F9" i="60"/>
  <c r="O35" i="75"/>
  <c r="F10" i="60"/>
  <c r="O22" i="75"/>
  <c r="F33" i="60"/>
  <c r="O33" i="75"/>
  <c r="F31" i="60"/>
  <c r="O17" i="75"/>
  <c r="F17" i="60"/>
  <c r="O21" i="75"/>
  <c r="F29" i="60"/>
  <c r="K33" i="75"/>
  <c r="F28" i="60"/>
  <c r="O24" i="75"/>
  <c r="L9" i="51" l="1"/>
  <c r="J32" i="86"/>
  <c r="E9" i="51"/>
  <c r="Q9" i="75"/>
  <c r="P28" i="86"/>
  <c r="N33" i="14"/>
  <c r="N29" i="86"/>
  <c r="N28" i="86"/>
  <c r="L27" i="86"/>
  <c r="N26" i="86"/>
  <c r="L29" i="86"/>
  <c r="L30" i="86"/>
  <c r="L26" i="86"/>
  <c r="L25" i="86"/>
  <c r="L28" i="86"/>
  <c r="L22" i="86"/>
  <c r="R12" i="75"/>
  <c r="R11" i="75"/>
  <c r="R10" i="75"/>
  <c r="R51" i="75"/>
  <c r="R53" i="75" s="1"/>
  <c r="R9" i="75"/>
  <c r="M55" i="75"/>
  <c r="M58" i="75" s="1"/>
  <c r="O29" i="14"/>
  <c r="Q51" i="75" s="1"/>
  <c r="N51" i="75"/>
  <c r="N53" i="75" s="1"/>
  <c r="Q53" i="75" s="1"/>
  <c r="O28" i="14"/>
  <c r="N9" i="75"/>
  <c r="W12" i="75"/>
  <c r="K30" i="75"/>
  <c r="N10" i="75"/>
  <c r="O27" i="14"/>
  <c r="N11" i="75"/>
  <c r="O26" i="14"/>
  <c r="P26" i="14"/>
  <c r="R35" i="75"/>
  <c r="M49" i="86"/>
  <c r="N32" i="86" l="1"/>
  <c r="I9" i="51"/>
  <c r="K9" i="51" s="1"/>
  <c r="O33" i="14"/>
  <c r="O32" i="86" s="1"/>
  <c r="O27" i="86"/>
  <c r="O28" i="86"/>
  <c r="O29" i="86"/>
  <c r="P26" i="86"/>
  <c r="O26" i="86"/>
  <c r="R30" i="75"/>
  <c r="K41" i="37"/>
  <c r="O9" i="75"/>
  <c r="Q11" i="75"/>
  <c r="O51" i="75"/>
  <c r="O53" i="75" s="1"/>
  <c r="P33" i="14"/>
  <c r="N30" i="75"/>
  <c r="O10" i="75"/>
  <c r="Q10" i="75"/>
  <c r="O11" i="75"/>
  <c r="F23" i="60"/>
  <c r="P32" i="86" l="1"/>
  <c r="W13" i="75"/>
  <c r="O30" i="75"/>
  <c r="V41" i="75" l="1"/>
  <c r="W14" i="75"/>
  <c r="W15" i="75" s="1"/>
  <c r="J9" i="51" l="1"/>
  <c r="L23" i="14" l="1"/>
  <c r="L33" i="14" s="1"/>
  <c r="G9" i="51" s="1"/>
  <c r="L23" i="86" l="1"/>
  <c r="R45" i="75"/>
  <c r="R48" i="75" s="1"/>
  <c r="R33" i="75"/>
  <c r="L32" i="86" l="1"/>
  <c r="R58" i="75"/>
  <c r="P37" i="14"/>
  <c r="P36" i="86" s="1"/>
  <c r="P36" i="14"/>
  <c r="P38" i="14"/>
  <c r="N39" i="14"/>
  <c r="E35" i="37"/>
  <c r="J42" i="37" s="1"/>
  <c r="N38" i="86" l="1"/>
  <c r="I12" i="51"/>
  <c r="K12" i="51" s="1"/>
  <c r="Q27" i="75"/>
  <c r="P35" i="86"/>
  <c r="Q16" i="75"/>
  <c r="P37" i="86"/>
  <c r="Q15" i="75"/>
  <c r="K42" i="37"/>
  <c r="O39" i="14"/>
  <c r="O38" i="86" s="1"/>
  <c r="P39" i="14"/>
  <c r="P38" i="86" s="1"/>
  <c r="L32" i="60" l="1"/>
  <c r="L33" i="60" s="1"/>
  <c r="W16" i="75" l="1"/>
  <c r="Q30" i="75"/>
  <c r="J12" i="51" l="1"/>
  <c r="F26" i="44" l="1"/>
  <c r="I26" i="14" l="1"/>
  <c r="L38" i="75"/>
  <c r="K42" i="14"/>
  <c r="J11" i="75" l="1"/>
  <c r="I26" i="86"/>
  <c r="K41" i="86"/>
  <c r="P42" i="14"/>
  <c r="J4" i="40"/>
  <c r="O42" i="14"/>
  <c r="G95" i="50"/>
  <c r="N7" i="50" s="1"/>
  <c r="K46" i="14"/>
  <c r="K45" i="14"/>
  <c r="K44" i="14"/>
  <c r="T11" i="50"/>
  <c r="T14" i="50"/>
  <c r="T17" i="50"/>
  <c r="L37" i="75"/>
  <c r="T20" i="50" l="1"/>
  <c r="N21" i="50"/>
  <c r="N14" i="50"/>
  <c r="T21" i="50"/>
  <c r="T15" i="50"/>
  <c r="N23" i="50"/>
  <c r="N18" i="50"/>
  <c r="K45" i="86"/>
  <c r="O41" i="86"/>
  <c r="P41" i="86"/>
  <c r="K43" i="86"/>
  <c r="K44" i="86"/>
  <c r="Q37" i="75"/>
  <c r="F30" i="60"/>
  <c r="J44" i="14"/>
  <c r="N9" i="50"/>
  <c r="N24" i="50"/>
  <c r="N11" i="50"/>
  <c r="T23" i="50"/>
  <c r="N20" i="50"/>
  <c r="N15" i="50"/>
  <c r="N12" i="50"/>
  <c r="T19" i="50"/>
  <c r="N25" i="50"/>
  <c r="T18" i="50"/>
  <c r="T22" i="50"/>
  <c r="T16" i="50"/>
  <c r="O37" i="75"/>
  <c r="T10" i="50"/>
  <c r="N19" i="50"/>
  <c r="N13" i="50"/>
  <c r="N8" i="50"/>
  <c r="N10" i="50"/>
  <c r="T24" i="50"/>
  <c r="T12" i="50"/>
  <c r="T7" i="50"/>
  <c r="N22" i="50"/>
  <c r="T8" i="50"/>
  <c r="T9" i="50"/>
  <c r="M13" i="50"/>
  <c r="M27" i="50" s="1"/>
  <c r="N16" i="50"/>
  <c r="N17" i="50"/>
  <c r="T25" i="50"/>
  <c r="T13" i="50"/>
  <c r="P46" i="14"/>
  <c r="P45" i="14"/>
  <c r="P44" i="14"/>
  <c r="N26" i="50"/>
  <c r="T26" i="50"/>
  <c r="E41" i="37"/>
  <c r="L36" i="75"/>
  <c r="O44" i="14"/>
  <c r="L40" i="75"/>
  <c r="L46" i="14"/>
  <c r="O46" i="14"/>
  <c r="O45" i="14"/>
  <c r="L39" i="75"/>
  <c r="K47" i="14"/>
  <c r="K46" i="86" l="1"/>
  <c r="F15" i="51"/>
  <c r="L15" i="51" s="1"/>
  <c r="O45" i="86"/>
  <c r="P43" i="86"/>
  <c r="P44" i="86"/>
  <c r="O43" i="86"/>
  <c r="P45" i="86"/>
  <c r="J43" i="86"/>
  <c r="L45" i="86"/>
  <c r="O44" i="86"/>
  <c r="K36" i="75"/>
  <c r="Q40" i="75"/>
  <c r="Q39" i="75"/>
  <c r="Q36" i="75"/>
  <c r="J43" i="37"/>
  <c r="M28" i="50"/>
  <c r="N27" i="50"/>
  <c r="T27" i="50"/>
  <c r="T28" i="50" s="1"/>
  <c r="R40" i="75"/>
  <c r="N43" i="14"/>
  <c r="J5" i="40"/>
  <c r="J6" i="40" s="1"/>
  <c r="L42" i="75"/>
  <c r="L55" i="75" s="1"/>
  <c r="O40" i="75"/>
  <c r="F14" i="60"/>
  <c r="O36" i="75"/>
  <c r="F15" i="60"/>
  <c r="K49" i="14"/>
  <c r="K48" i="86" s="1"/>
  <c r="O39" i="75"/>
  <c r="F13" i="60"/>
  <c r="R39" i="75"/>
  <c r="N42" i="86" l="1"/>
  <c r="K49" i="86"/>
  <c r="P43" i="14"/>
  <c r="W35" i="75"/>
  <c r="L58" i="75"/>
  <c r="O43" i="14"/>
  <c r="N47" i="14"/>
  <c r="N38" i="75"/>
  <c r="N28" i="50"/>
  <c r="N46" i="86" l="1"/>
  <c r="I15" i="51"/>
  <c r="K15" i="51" s="1"/>
  <c r="P42" i="86"/>
  <c r="W39" i="75"/>
  <c r="O42" i="86"/>
  <c r="F25" i="60"/>
  <c r="Q38" i="75"/>
  <c r="V56" i="75"/>
  <c r="K43" i="37"/>
  <c r="O47" i="14"/>
  <c r="O46" i="86" s="1"/>
  <c r="N42" i="75"/>
  <c r="N55" i="75" s="1"/>
  <c r="N49" i="14"/>
  <c r="N48" i="86" s="1"/>
  <c r="O38" i="75"/>
  <c r="P47" i="14"/>
  <c r="P46" i="86" l="1"/>
  <c r="N49" i="86"/>
  <c r="Q48" i="75"/>
  <c r="O49" i="14"/>
  <c r="O48" i="86" s="1"/>
  <c r="W36" i="75"/>
  <c r="N58" i="75"/>
  <c r="O42" i="75"/>
  <c r="O55" i="75" s="1"/>
  <c r="Q42" i="75"/>
  <c r="S42" i="75"/>
  <c r="P49" i="14"/>
  <c r="P48" i="86" s="1"/>
  <c r="I18" i="51" l="1"/>
  <c r="I20" i="51" s="1"/>
  <c r="F18" i="51"/>
  <c r="F20" i="51" s="1"/>
  <c r="H18" i="51"/>
  <c r="J15" i="51"/>
  <c r="W37" i="75"/>
  <c r="O58" i="75"/>
  <c r="V43" i="75"/>
  <c r="W38" i="75"/>
  <c r="Q55" i="75"/>
  <c r="I26" i="77"/>
  <c r="J26" i="77"/>
  <c r="J22" i="77"/>
  <c r="J24" i="77" s="1"/>
  <c r="K8" i="77"/>
  <c r="K9" i="77" s="1"/>
  <c r="K22" i="77" s="1"/>
  <c r="K26" i="77"/>
  <c r="L18" i="51" l="1"/>
  <c r="K18" i="51"/>
  <c r="L8" i="77"/>
  <c r="H20" i="51"/>
  <c r="J18" i="51"/>
  <c r="K24" i="77"/>
  <c r="L9" i="77" l="1"/>
  <c r="L22" i="77" s="1"/>
  <c r="N9" i="77"/>
  <c r="N22" i="77" s="1"/>
  <c r="L24" i="77"/>
  <c r="P9" i="77"/>
  <c r="P8" i="77" l="1"/>
  <c r="P22" i="77"/>
  <c r="J41" i="86"/>
  <c r="J47" i="14"/>
  <c r="K37" i="75"/>
  <c r="K42" i="75" s="1"/>
  <c r="P24" i="77" l="1"/>
  <c r="L42" i="14"/>
  <c r="J46" i="86"/>
  <c r="E15" i="51"/>
  <c r="K55" i="75"/>
  <c r="V57" i="75"/>
  <c r="V42" i="75"/>
  <c r="J49" i="14"/>
  <c r="J48" i="86" s="1"/>
  <c r="L41" i="86" l="1"/>
  <c r="L47" i="14"/>
  <c r="R37" i="75"/>
  <c r="R42" i="75" s="1"/>
  <c r="R55" i="75" s="1"/>
  <c r="E18" i="51"/>
  <c r="E20" i="51" s="1"/>
  <c r="K58" i="75"/>
  <c r="G15" i="51" l="1"/>
  <c r="G18" i="51" s="1"/>
  <c r="L46" i="86"/>
  <c r="L49" i="14"/>
  <c r="L48" i="86" s="1"/>
  <c r="G20" i="5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44"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G53"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28" authorId="0" shapeId="0" xr:uid="{C9A12813-1F0A-4968-A41C-199DA5D566FA}">
      <text>
        <r>
          <rPr>
            <sz val="9"/>
            <color indexed="81"/>
            <rFont val="Tahoma"/>
            <family val="2"/>
          </rPr>
          <t xml:space="preserve">
Trading price is 
$1.24 per token as of 31Aug23
$1.70 per token, as of 30Sep23
</t>
        </r>
        <r>
          <rPr>
            <i/>
            <sz val="9"/>
            <color indexed="81"/>
            <rFont val="Tahoma"/>
            <family val="2"/>
          </rPr>
          <t>source: Coinbase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5"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49"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Not estimated as Fully diluted, </t>
        </r>
        <r>
          <rPr>
            <sz val="9"/>
            <color indexed="81"/>
            <rFont val="Tahoma"/>
            <family val="2"/>
          </rPr>
          <t xml:space="preserve">as our % holding will increase in that case (due to outstanding warrants)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tc={EE6B2636-8562-4C26-A84A-95E5C726EBAD}</author>
    <author>tc={6C6E28D6-DC85-4A35-923F-1378B05FBCC4}</author>
  </authors>
  <commentList>
    <comment ref="G19" authorId="0" shapeId="0" xr:uid="{EE33863C-D5EA-42C3-8555-DC23E35317DB}">
      <text>
        <r>
          <rPr>
            <b/>
            <sz val="9"/>
            <color indexed="81"/>
            <rFont val="Tahoma"/>
            <family val="2"/>
          </rPr>
          <t>Author:</t>
        </r>
        <r>
          <rPr>
            <sz val="9"/>
            <color indexed="81"/>
            <rFont val="Tahoma"/>
            <family val="2"/>
          </rPr>
          <t xml:space="preserve">
Equalization</t>
        </r>
      </text>
    </comment>
    <comment ref="D20" authorId="0"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0" shapeId="0" xr:uid="{85FF19F8-B52B-4332-812F-BF716CD16EAF}">
      <text>
        <r>
          <rPr>
            <b/>
            <sz val="9"/>
            <color indexed="81"/>
            <rFont val="Tahoma"/>
            <family val="2"/>
          </rPr>
          <t>Investment in Kayrros</t>
        </r>
        <r>
          <rPr>
            <sz val="9"/>
            <color indexed="81"/>
            <rFont val="Tahoma"/>
            <family val="2"/>
          </rPr>
          <t xml:space="preserve">
</t>
        </r>
      </text>
    </comment>
    <comment ref="K20" authorId="0" shapeId="0" xr:uid="{192A2E97-DBE8-40F1-8815-E5E5D625851F}">
      <text>
        <r>
          <rPr>
            <b/>
            <sz val="9"/>
            <color indexed="81"/>
            <rFont val="Tahoma"/>
            <family val="2"/>
          </rPr>
          <t>Investment in Simera</t>
        </r>
      </text>
    </comment>
    <comment ref="L20" authorId="1"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N20" authorId="2" shapeId="0" xr:uid="{6C6E28D6-DC85-4A35-923F-1378B05FBCC4}">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2" authorId="0"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List>
</comments>
</file>

<file path=xl/sharedStrings.xml><?xml version="1.0" encoding="utf-8"?>
<sst xmlns="http://schemas.openxmlformats.org/spreadsheetml/2006/main" count="2248" uniqueCount="705">
  <si>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</si>
  <si>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</si>
  <si>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</si>
  <si>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</si>
  <si>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</si>
  <si>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</si>
  <si>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</si>
  <si>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</si>
  <si>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</si>
  <si>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</si>
  <si>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</si>
  <si>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</si>
  <si>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</si>
  <si>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</si>
  <si>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</si>
  <si>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</si>
  <si>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</si>
  <si>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</si>
  <si>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</si>
  <si>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</si>
  <si>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</si>
  <si>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</si>
  <si>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</si>
  <si>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</si>
  <si>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</si>
  <si>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</si>
  <si>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</si>
  <si>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</si>
  <si>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</si>
  <si>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</si>
  <si>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</si>
  <si>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</si>
  <si>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</si>
  <si>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</si>
  <si>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</si>
  <si>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</si>
  <si>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</si>
  <si>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</si>
  <si>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</si>
  <si>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</si>
  <si>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</si>
  <si>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</si>
  <si>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</si>
  <si>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</si>
  <si>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</si>
  <si>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</si>
  <si>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</si>
  <si>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</si>
  <si>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</si>
  <si>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</si>
  <si>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</si>
  <si>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</si>
  <si>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</si>
  <si>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</si>
  <si>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</si>
  <si>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</si>
  <si>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</si>
  <si>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</si>
  <si>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</si>
  <si>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</si>
  <si>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</si>
  <si>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</si>
  <si>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</si>
  <si>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</si>
  <si>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</si>
  <si>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</si>
  <si>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</si>
  <si>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</si>
  <si>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</si>
  <si>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</si>
  <si>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</si>
  <si>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</si>
  <si>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</si>
  <si>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</si>
  <si>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</si>
  <si>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</si>
  <si>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</si>
  <si>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</si>
  <si>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</si>
  <si>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</si>
  <si>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</si>
  <si>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</si>
  <si>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</si>
  <si>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</si>
  <si>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</si>
  <si>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</si>
  <si>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</si>
  <si>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</si>
  <si>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</si>
  <si>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</si>
  <si>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</si>
  <si>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</si>
  <si>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</si>
  <si>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</si>
  <si>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</si>
  <si>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</si>
  <si>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</si>
  <si>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</si>
  <si>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</si>
  <si>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</si>
  <si>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</si>
  <si>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</si>
  <si>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Talal </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</si>
  <si>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</si>
  <si>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</si>
  <si>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</si>
  <si>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</si>
  <si>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</si>
  <si>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</si>
  <si>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</si>
  <si>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</si>
  <si>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</si>
  <si>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</si>
  <si>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</si>
  <si>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</si>
  <si>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</si>
  <si>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</si>
  <si>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</si>
  <si>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</si>
  <si>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</si>
  <si>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</si>
  <si>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</si>
  <si>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</si>
  <si>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</si>
  <si>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</si>
  <si>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</si>
  <si>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</si>
  <si>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</si>
  <si>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</si>
  <si>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</si>
  <si>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</si>
  <si>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</si>
  <si>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</si>
  <si>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</si>
  <si>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</si>
  <si>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</si>
  <si>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</si>
  <si>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</si>
  <si>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</si>
  <si>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</si>
  <si>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</si>
  <si>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</si>
  <si>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</si>
  <si>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</si>
  <si>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</si>
  <si>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</si>
  <si>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</si>
  <si>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</si>
  <si>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</si>
  <si>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</si>
  <si>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</si>
  <si>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</si>
  <si>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</si>
  <si>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</si>
  <si>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</si>
  <si>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</si>
  <si>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</si>
  <si>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</si>
  <si>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</si>
  <si>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</si>
  <si>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</si>
  <si>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</si>
  <si>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</si>
  <si>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</si>
  <si>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</si>
  <si>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</si>
  <si>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</si>
  <si>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</si>
  <si>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</si>
  <si>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</si>
  <si>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</si>
  <si>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</si>
  <si>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</si>
  <si>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</si>
  <si>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</si>
  <si>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</si>
  <si>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</si>
  <si>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</si>
  <si>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</si>
  <si>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</si>
  <si>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</si>
  <si>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</si>
  <si>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</si>
  <si>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</si>
  <si>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</si>
  <si>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</si>
  <si>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</si>
  <si>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</si>
  <si>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</si>
  <si>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</si>
  <si>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 xml:space="preserve">Remaining </t>
  </si>
  <si>
    <t>% OWNERSHIP</t>
  </si>
  <si>
    <t>USA</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</si>
  <si>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</si>
  <si>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</si>
  <si>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</si>
  <si>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</si>
  <si>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</si>
  <si>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</si>
  <si>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</si>
  <si>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</si>
  <si>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</si>
  <si>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</si>
  <si>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</si>
  <si>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</si>
  <si>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</si>
  <si>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</si>
  <si>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</si>
  <si>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</si>
  <si>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</si>
  <si>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</si>
  <si>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</si>
  <si>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</si>
  <si>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</si>
  <si>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</si>
  <si>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</si>
  <si>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</si>
  <si>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</si>
  <si>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</si>
  <si>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</si>
  <si>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</si>
  <si>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</si>
  <si>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</si>
  <si>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</si>
  <si>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</si>
  <si>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</si>
  <si>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</si>
  <si>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</si>
  <si>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</si>
  <si>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</si>
  <si>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</si>
  <si>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</si>
  <si>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</si>
  <si>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</si>
  <si>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</si>
  <si>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</si>
  <si>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</si>
  <si>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</si>
  <si>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</si>
  <si>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</si>
  <si>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</si>
  <si>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</si>
  <si>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</si>
  <si>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</si>
  <si>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</si>
  <si>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</si>
  <si>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</si>
  <si>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</si>
  <si>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</si>
  <si>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</si>
  <si>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</si>
  <si>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t>NAV</t>
  </si>
  <si>
    <t>Post Valuation closed in June 2021 (RMB)</t>
  </si>
  <si>
    <t>G42 Stake</t>
  </si>
  <si>
    <t>G42 Valuation before Discount (RMB)</t>
  </si>
  <si>
    <t>Liquidity Discount</t>
  </si>
  <si>
    <t>Minority Holding Discount</t>
  </si>
  <si>
    <t>G42 Valuation  (RMB)</t>
  </si>
  <si>
    <t>G42 Valuation  (USD)</t>
  </si>
  <si>
    <t>Investment Cost of G42 (USD)</t>
  </si>
  <si>
    <t>Investment Multiple</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</si>
  <si>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</si>
  <si>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</si>
  <si>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</si>
  <si>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</si>
  <si>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</si>
  <si>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</si>
  <si>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</si>
  <si>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</si>
  <si>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</si>
  <si>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</si>
  <si>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</si>
  <si>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</si>
  <si>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</si>
  <si>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</si>
  <si>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</si>
  <si>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</si>
  <si>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</si>
  <si>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</si>
  <si>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</si>
  <si>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</si>
  <si>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</si>
  <si>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</si>
  <si>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</si>
  <si>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</si>
  <si>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</si>
  <si>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</si>
  <si>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</si>
  <si>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</si>
  <si>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</si>
  <si>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</si>
  <si>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</si>
  <si>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</si>
  <si>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</si>
  <si>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</si>
  <si>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</si>
  <si>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</si>
  <si>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ONT Share price</t>
  </si>
  <si>
    <t>GBP USD</t>
  </si>
  <si>
    <t>VTVT Share price</t>
  </si>
  <si>
    <t>USD RMB</t>
  </si>
  <si>
    <t>xe.com</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</si>
  <si>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</si>
  <si>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</si>
  <si>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</si>
  <si>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</si>
  <si>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</si>
  <si>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</si>
  <si>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</si>
  <si>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</si>
  <si>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</si>
  <si>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</si>
  <si>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</si>
  <si>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E Q U I T Y</t>
  </si>
  <si>
    <t>Checks</t>
  </si>
  <si>
    <t>MOZN</t>
  </si>
  <si>
    <t xml:space="preserve">Gain </t>
  </si>
  <si>
    <t>YTD Gains</t>
  </si>
  <si>
    <t>October 22</t>
  </si>
  <si>
    <t xml:space="preserve"> Exchange Rate (RMB/USD)</t>
  </si>
  <si>
    <t>Updated as on:</t>
  </si>
  <si>
    <t>Distribution | Actualization Interest</t>
  </si>
  <si>
    <t>TEST</t>
  </si>
  <si>
    <t>Q1 2023</t>
  </si>
  <si>
    <t>Divyesh Mahajan</t>
  </si>
  <si>
    <t>Marty</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</si>
  <si>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</si>
  <si>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</si>
  <si>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</si>
  <si>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</si>
  <si>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</si>
  <si>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</si>
  <si>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</si>
  <si>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</si>
  <si>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</si>
  <si>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</si>
  <si>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</si>
  <si>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</si>
  <si>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</si>
  <si>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</si>
  <si>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</si>
  <si>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</si>
  <si>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</si>
  <si>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</si>
  <si>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</si>
  <si>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</si>
  <si>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Adjusted for currency. Valued at the recent round</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</si>
  <si>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</si>
  <si>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</si>
  <si>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</si>
  <si>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</si>
  <si>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</si>
  <si>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</si>
  <si>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</si>
  <si>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</si>
  <si>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</si>
  <si>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</si>
  <si>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</si>
  <si>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</si>
  <si>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Jun'22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</si>
  <si>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</si>
  <si>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</si>
  <si>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</si>
  <si>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</si>
  <si>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</si>
  <si>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</si>
  <si>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</si>
  <si>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</si>
  <si>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</si>
  <si>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</si>
  <si>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</si>
  <si>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</si>
  <si>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</si>
  <si>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</si>
  <si>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</si>
  <si>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</si>
  <si>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</si>
  <si>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</si>
  <si>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</si>
  <si>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</si>
  <si>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</si>
  <si>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</si>
  <si>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</si>
  <si>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</si>
  <si>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</si>
  <si>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</si>
  <si>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</si>
  <si>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</si>
  <si>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</si>
  <si>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</si>
  <si>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</si>
  <si>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</si>
  <si>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</si>
  <si>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</si>
  <si>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</si>
  <si>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</si>
  <si>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</si>
  <si>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</si>
  <si>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</si>
  <si>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</si>
  <si>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</si>
  <si>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</si>
  <si>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</si>
  <si>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</si>
  <si>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</si>
  <si>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</si>
  <si>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</si>
  <si>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105,400,00</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</si>
  <si>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</si>
  <si>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</si>
  <si>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</si>
  <si>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</si>
  <si>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</si>
  <si>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</si>
  <si>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</si>
  <si>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</si>
  <si>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</si>
  <si>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</si>
  <si>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</si>
  <si>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</si>
  <si>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</si>
  <si>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</si>
  <si>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</si>
  <si>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</si>
  <si>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</si>
  <si>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</si>
  <si>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</si>
  <si>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</si>
  <si>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</si>
  <si>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</si>
  <si>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</si>
  <si>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</si>
  <si>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</si>
  <si>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</si>
  <si>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</si>
  <si>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</si>
  <si>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</si>
  <si>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</si>
  <si>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</si>
  <si>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</si>
  <si>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</si>
  <si>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</si>
  <si>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EUR USD</t>
  </si>
  <si>
    <t>2Q'23</t>
  </si>
  <si>
    <t xml:space="preserve">7th Capital Call </t>
  </si>
  <si>
    <t>10Q report Jun'23</t>
  </si>
  <si>
    <t xml:space="preserve">8th Capital Call </t>
  </si>
  <si>
    <t>Written Off</t>
  </si>
  <si>
    <t>Written-off</t>
  </si>
  <si>
    <t>In Default</t>
  </si>
  <si>
    <t>Q4 2023</t>
  </si>
  <si>
    <t>PX to be replaced by XP</t>
  </si>
  <si>
    <t>Additonal Upside/Downside</t>
  </si>
  <si>
    <t>3Q'23</t>
  </si>
  <si>
    <t>Q3'23  capital account statement</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</si>
  <si>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</si>
  <si>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</si>
  <si>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</si>
  <si>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</si>
  <si>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</si>
  <si>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</si>
  <si>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</si>
  <si>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</si>
  <si>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</si>
  <si>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</si>
  <si>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</si>
  <si>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</si>
  <si>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</si>
  <si>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</si>
  <si>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</si>
  <si>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</si>
  <si>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</si>
  <si>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</si>
  <si>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</si>
  <si>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</si>
  <si>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</si>
  <si>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</si>
  <si>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</si>
  <si>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</si>
  <si>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</si>
  <si>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</si>
  <si>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</si>
  <si>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</si>
  <si>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</si>
  <si>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</si>
  <si>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</si>
  <si>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</si>
  <si>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</si>
  <si>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</si>
  <si>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</si>
  <si>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</si>
  <si>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</si>
  <si>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</si>
  <si>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</si>
  <si>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</si>
  <si>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</si>
  <si>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</si>
  <si>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</si>
  <si>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</si>
  <si>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</si>
  <si>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</si>
  <si>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</si>
  <si>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</si>
  <si>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</si>
  <si>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</si>
  <si>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</si>
  <si>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</si>
  <si>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</si>
  <si>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</si>
  <si>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</si>
  <si>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</si>
  <si>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</si>
  <si>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</si>
  <si>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</si>
  <si>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</si>
  <si>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</si>
  <si>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</si>
  <si>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</si>
  <si>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</si>
  <si>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</si>
  <si>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</si>
  <si>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</si>
  <si>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</si>
  <si>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</si>
  <si>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</si>
  <si>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</si>
  <si>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</si>
  <si>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</si>
  <si>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</si>
  <si>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</si>
  <si>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</si>
  <si>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</si>
  <si>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</si>
  <si>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</si>
  <si>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</si>
  <si>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</si>
  <si>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</si>
  <si>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</si>
  <si>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</si>
  <si>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</si>
  <si>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</si>
  <si>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</si>
  <si>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</si>
  <si>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</si>
  <si>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</si>
  <si>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</si>
  <si>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</si>
  <si>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</si>
  <si>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</si>
  <si>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</si>
  <si>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</si>
  <si>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</si>
  <si>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</si>
  <si>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</si>
  <si>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</si>
  <si>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</si>
  <si>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</si>
  <si>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</si>
  <si>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</si>
  <si>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</si>
  <si>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</si>
  <si>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</si>
  <si>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</si>
  <si>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</si>
  <si>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</si>
  <si>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</si>
  <si>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</si>
  <si>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</si>
  <si>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</si>
  <si>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</si>
  <si>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</si>
  <si>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</si>
  <si>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</si>
  <si>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</si>
  <si>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</si>
  <si>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</si>
  <si>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</si>
  <si>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</si>
  <si>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</si>
  <si>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</si>
  <si>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</si>
  <si>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</si>
  <si>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</si>
  <si>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</si>
  <si>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</si>
  <si>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</si>
  <si>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</si>
  <si>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</si>
  <si>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</si>
  <si>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</si>
  <si>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</si>
  <si>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</si>
  <si>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</si>
  <si>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</si>
  <si>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</si>
  <si>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</si>
  <si>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</si>
  <si>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</si>
  <si>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</si>
  <si>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</si>
  <si>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</si>
  <si>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</si>
  <si>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</si>
  <si>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</si>
  <si>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</si>
  <si>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</si>
  <si>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</si>
  <si>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</si>
  <si>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</si>
  <si>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</si>
  <si>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</si>
  <si>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</si>
  <si>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</si>
  <si>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</si>
  <si>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</si>
  <si>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</si>
  <si>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</si>
  <si>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</si>
  <si>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</si>
  <si>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</si>
  <si>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</si>
  <si>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</si>
  <si>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</si>
  <si>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</si>
  <si>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</si>
  <si>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 xml:space="preserve"> USD Millions</t>
  </si>
  <si>
    <t>General</t>
  </si>
  <si>
    <t>Invested via G42 Capital</t>
  </si>
  <si>
    <t>Invested via Core42</t>
  </si>
  <si>
    <t>To be monitored (see Note 0)</t>
  </si>
  <si>
    <t>Expansion Project Technologies Holding 7 SPV RSC Ltd</t>
  </si>
  <si>
    <t>Position Exited or written off are highlighted</t>
  </si>
  <si>
    <t>Q3'23 pro-rated</t>
  </si>
  <si>
    <t>F U N D S</t>
  </si>
  <si>
    <t>Drawdown 13</t>
  </si>
  <si>
    <t xml:space="preserve">Marked up, as converted as per the latest priced round </t>
  </si>
  <si>
    <t>Drawdown (Notice 13)</t>
  </si>
  <si>
    <t>Mar'24</t>
  </si>
  <si>
    <t>New Space Capital LP: Capital contribution of EUR 200,702.46 as of 21 Mar 24</t>
  </si>
  <si>
    <t>Investing Entity Ϋ</t>
  </si>
  <si>
    <t>Mozn 2</t>
  </si>
  <si>
    <t>G42 3</t>
  </si>
  <si>
    <t>Mozn 4</t>
  </si>
  <si>
    <t>Core42 5</t>
  </si>
  <si>
    <t>DELTA SHEET AGAINST LAST MONTH &gt;&gt;&gt;&gt;&gt;&gt;&gt;&gt;&gt;&gt;&gt;&gt;&gt;&gt;&gt;&gt;&gt;&gt;&gt;&gt;&gt;&gt;&gt;&gt;&gt;&gt;&gt;&gt;&gt;&gt;&gt;&gt;&gt;&gt;&gt;&gt;&gt;&gt;&gt;&gt;&gt;&gt;&gt;&gt;&gt;&gt;&gt;&gt;&gt;&gt;&gt;</t>
  </si>
  <si>
    <t>Date of Update</t>
  </si>
  <si>
    <t xml:space="preserve"> 14 Apr 2024</t>
  </si>
  <si>
    <t xml:space="preserve">N A V    R E P O R T I N G   M A R  2 0 2 4  </t>
  </si>
  <si>
    <t>A R D E N T   E S T I M A T E S     M A R  2 0 2 4</t>
  </si>
  <si>
    <t>Name</t>
  </si>
  <si>
    <t xml:space="preserve">Carrying Value, Reporting Feb 23 </t>
  </si>
  <si>
    <t>Carrying Value, Revised  Mar 23</t>
  </si>
  <si>
    <t>Delta</t>
  </si>
  <si>
    <t>Carrying Value as per Ardent (as of Dec 23)</t>
  </si>
  <si>
    <t>Low</t>
  </si>
  <si>
    <t>High</t>
  </si>
  <si>
    <t>Average</t>
  </si>
  <si>
    <t>Change</t>
  </si>
  <si>
    <t>Rationale for Price Change</t>
  </si>
  <si>
    <t>Drive Nets</t>
  </si>
  <si>
    <t xml:space="preserve">marked down </t>
  </si>
  <si>
    <t>Worldcoin</t>
  </si>
  <si>
    <t>marked up</t>
  </si>
  <si>
    <t>CHECKS</t>
  </si>
  <si>
    <t>Q1'24  capital account statement</t>
  </si>
  <si>
    <t>Additional Upside/Downside</t>
  </si>
  <si>
    <t>Equity or Equity like Investments</t>
  </si>
  <si>
    <t>EQUITY*</t>
  </si>
  <si>
    <t>* Includes Convertibles</t>
  </si>
  <si>
    <t>Marked down as per Ardent Estimates as of Dec 23</t>
  </si>
  <si>
    <t>1Q'24</t>
  </si>
  <si>
    <t>Earlier 1 Director represented by Marty</t>
  </si>
  <si>
    <t>1 Director</t>
  </si>
  <si>
    <t>2 Director</t>
  </si>
  <si>
    <t>1 Director, 1 Observer</t>
  </si>
  <si>
    <t>1 Director  1 Observer</t>
  </si>
  <si>
    <t>Jon Nieman, Sushil</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</si>
  <si>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</si>
  <si>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</si>
  <si>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</si>
  <si>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</si>
  <si>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</si>
  <si>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</si>
  <si>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</si>
  <si>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</si>
  <si>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</si>
  <si>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</si>
  <si>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</si>
  <si>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</si>
  <si>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</si>
  <si>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</si>
  <si>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</si>
  <si>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Expansion Project Technologies Holding 8 SPV RSC Ltd</t>
  </si>
  <si>
    <t>Revenue linked RSUs</t>
  </si>
  <si>
    <t>Tokens valued at $50m/26m (Inveniam), $2.59 (Ardent)</t>
  </si>
  <si>
    <t>Distribution 2</t>
  </si>
  <si>
    <t>Equalization -Actualization of Investments</t>
  </si>
  <si>
    <t>Equalization -Actualization of Fund Expenses</t>
  </si>
  <si>
    <t>Equalization -Actualization of Interest - Investments &amp; Fund Expenses</t>
  </si>
  <si>
    <t>As per the recent fund raise completed in Dec 23</t>
  </si>
  <si>
    <t>Flyr: Carrying Value reduced to $30m from $65m</t>
  </si>
  <si>
    <t>Drawdown 14| Actualization Interest Distribution</t>
  </si>
  <si>
    <t>Drawdown (Notice 15)</t>
  </si>
  <si>
    <t>Drawdown 14</t>
  </si>
  <si>
    <t>Drawdown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</si>
</sst>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8" formatCode="&quot;AED&quot;#,##0.00;[Red]\-&quot;AED&quot;#,##0.00"/>
    <numFmt numFmtId="43" formatCode="_-* #,##0.00_-;\-* #,##0.00_-;_-* &quot;-&quot;??_-;_-@_-"/>
    <numFmt numFmtId="164" formatCode="_(* #,##0.00_);_(* \(#,##0.00\);_(* &quot;-&quot;??_);_(@_)"/>
    <numFmt numFmtId="165" formatCode="&quot;$&quot;#,##0.00_);[Red]\(&quot;$&quot;#,##0.00\)"/>
    <numFmt numFmtId="166" formatCode="_(&quot;$&quot;* #,##0.00_);_(&quot;$&quot;* \(#,##0.00\);_(&quot;$&quot;* &quot;-&quot;??_);_(@_)"/>
    <numFmt numFmtId="167" formatCode="&quot;$&quot;#,##0_);[Red]\(&quot;$&quot;#,##0\)"/>
    <numFmt numFmtId="168" formatCode="0.00\x"/>
    <numFmt numFmtId="169" formatCode="0.0%"/>
    <numFmt numFmtId="170" formatCode="0.0\x"/>
    <numFmt numFmtId="171" formatCode="&quot;$&quot;#,##0.0_);[Red]\(&quot;$&quot;#,##0.0\)"/>
    <numFmt numFmtId="172" formatCode="[$-14C09]d\ mmm\ yyyy;@"/>
    <numFmt numFmtId="173" formatCode="#,##0.000000;[Red]#,##0.000000"/>
    <numFmt numFmtId="174" formatCode="[$£-809]#,##0;[Red][$£-809]#,##0"/>
    <numFmt numFmtId="175" formatCode="[$£-809]#,##0"/>
    <numFmt numFmtId="176" formatCode="&quot;€&quot;#,##0.000_);[Red]\(&quot;€&quot;#,##0.000\)"/>
    <numFmt numFmtId="177" formatCode="&quot;€&quot;#,##0.0_);[Red]\(&quot;€&quot;#,##0.0\)"/>
    <numFmt numFmtId="178" formatCode="#,##0.00\x"/>
    <numFmt numFmtId="179" formatCode="#,##0.00;[Red]#,##0.00"/>
    <numFmt numFmtId="180" formatCode="[$$-409]#,##0.00_ ;[Red]\-[$$-409]#,##0.00\ "/>
    <numFmt numFmtId="181" formatCode="&quot;AED&quot;#,##0.00"/>
    <numFmt numFmtId="182" formatCode="#,##0;[Red]#,##0"/>
    <numFmt numFmtId="183" formatCode="[$$-409]#,##0.00"/>
    <numFmt numFmtId="184" formatCode="_ * #,##0.00_ ;_ * \-#,##0.00_ ;_ * &quot;-&quot;??_ ;_ @_ "/>
    <numFmt numFmtId="185" formatCode="0.0000%"/>
    <numFmt numFmtId="186" formatCode="&quot;n/a&quot;"/>
    <numFmt numFmtId="187" formatCode="_ * #,##0_ ;_ * \-#,##0_ ;_ * &quot;-&quot;??_ ;_ @_ "/>
    <numFmt numFmtId="188" formatCode="&quot;€&quot;#,##0.00_);[Red]\(&quot;€&quot;#,##0.00\)"/>
    <numFmt numFmtId="189" formatCode="_-[$$-409]* #,##0.00_ ;_-[$$-409]* \-#,##0.00\ ;_-[$$-409]* &quot;-&quot;??_ ;_-@_ "/>
    <numFmt numFmtId="190" formatCode="&quot;$&quot;#,##0.000000_);[Red]\(&quot;$&quot;#,##0.000000\)"/>
    <numFmt numFmtId="191" formatCode="[$$-409]#,##0.00_ ;\-[$$-409]#,##0.00\ "/>
    <numFmt numFmtId="192" formatCode="&quot;$&quot;#,##0.00000_);[Red]\(&quot;$&quot;#,##0.00000\)"/>
    <numFmt numFmtId="193" formatCode="[$$-409]#,##0_ ;\-[$$-409]#,##0\ "/>
    <numFmt numFmtId="194" formatCode="[$$-409]#,##0.0_);\([$$-409]#,##0.0\);[$$-409]#,##0.0_);@_)"/>
    <numFmt numFmtId="195" formatCode="0.000%"/>
    <numFmt numFmtId="196" formatCode="[$$-409]#,##0.0_ ;\-[$$-409]#,##0.0\ "/>
    <numFmt numFmtId="197" formatCode="#,##0.0"/>
    <numFmt numFmtId="198" formatCode="0.0"/>
    <numFmt numFmtId="199" formatCode="#,##0.00000000;[Red]#,##0.00000000"/>
  </numFmts>
  <fonts count="83"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i/>
      <sz val="9"/>
      <color indexed="81"/>
      <name val="Tahoma"/>
      <family val="2"/>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b/>
      <sz val="11"/>
      <color theme="0"/>
      <name val="Calibri"/>
      <family val="2"/>
      <scheme val="minor"/>
    </font>
  </fonts>
  <fills count="36">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0" tint="-0.249977111117893"/>
        <bgColor indexed="64"/>
      </patternFill>
    </fill>
  </fills>
  <borders count="51">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rgb="FFEEEEEC"/>
      </top>
      <bottom/>
      <diagonal/>
    </border>
    <border>
      <left style="thin">
        <color theme="0"/>
      </left>
      <right style="thin">
        <color theme="0"/>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4">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164" fontId="3" fillId="0" borderId="0" applyFont="0" applyFill="0" applyBorder="0" applyAlignment="0" applyProtection="0"/>
    <xf numFmtId="166" fontId="3" fillId="0" borderId="0" applyFont="0" applyFill="0" applyBorder="0" applyAlignment="0" applyProtection="0"/>
    <xf numFmtId="0" fontId="5" fillId="0" borderId="0" applyNumberFormat="0" applyFill="0" applyBorder="0" applyAlignment="0" applyProtection="0"/>
    <xf numFmtId="0" fontId="1" fillId="0" borderId="0"/>
    <xf numFmtId="43" fontId="1" fillId="0" borderId="0" applyFont="0" applyFill="0" applyBorder="0" applyAlignment="0" applyProtection="0"/>
    <xf numFmtId="166" fontId="1" fillId="0" borderId="0" applyFont="0" applyFill="0" applyBorder="0" applyAlignment="0" applyProtection="0"/>
    <xf numFmtId="0" fontId="45" fillId="0" borderId="0">
      <alignment vertical="center"/>
    </xf>
    <xf numFmtId="184" fontId="45" fillId="0" borderId="0" applyFont="0" applyFill="0" applyBorder="0" applyAlignment="0" applyProtection="0">
      <alignment vertical="center"/>
    </xf>
    <xf numFmtId="9" fontId="45" fillId="0" borderId="0" applyFont="0" applyFill="0" applyBorder="0" applyAlignment="0" applyProtection="0">
      <alignment vertical="center"/>
    </xf>
    <xf numFmtId="0" fontId="46" fillId="0" borderId="0" applyAlignment="0"/>
  </cellStyleXfs>
  <cellXfs count="605">
    <xf numFmtId="0" fontId="0" fillId="0" borderId="0" xfId="0"/>
    <xf numFmtId="0" fontId="2" fillId="2" borderId="0" xfId="0" applyFont="1" applyFill="1" applyAlignment="1">
      <alignment horizontal="center" vertical="center" wrapText="1"/>
    </xf>
    <xf numFmtId="165"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165" fontId="7" fillId="0" borderId="2" xfId="0" applyNumberFormat="1" applyFont="1" applyBorder="1" applyAlignment="1">
      <alignment horizontal="left" vertical="center"/>
    </xf>
    <xf numFmtId="165"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165" fontId="6" fillId="0" borderId="0" xfId="0" applyNumberFormat="1" applyFont="1" applyAlignment="1">
      <alignment horizontal="center" vertical="center"/>
    </xf>
    <xf numFmtId="165" fontId="4" fillId="0" borderId="0" xfId="0" applyNumberFormat="1" applyFont="1" applyAlignment="1">
      <alignment horizontal="center" vertical="center"/>
    </xf>
    <xf numFmtId="165" fontId="7" fillId="3" borderId="1" xfId="0" applyNumberFormat="1" applyFont="1" applyFill="1" applyBorder="1" applyAlignment="1">
      <alignment horizontal="center" vertical="center"/>
    </xf>
    <xf numFmtId="170" fontId="6" fillId="0" borderId="2" xfId="0" applyNumberFormat="1" applyFont="1" applyBorder="1" applyAlignment="1">
      <alignment horizontal="center" vertical="center"/>
    </xf>
    <xf numFmtId="170" fontId="7" fillId="3" borderId="1" xfId="0" applyNumberFormat="1" applyFont="1" applyFill="1" applyBorder="1" applyAlignment="1">
      <alignment horizontal="center" vertical="center"/>
    </xf>
    <xf numFmtId="170" fontId="4" fillId="0" borderId="0" xfId="0" applyNumberFormat="1" applyFont="1" applyAlignment="1">
      <alignment horizontal="center" vertical="center"/>
    </xf>
    <xf numFmtId="165"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70" fontId="6" fillId="0" borderId="0" xfId="0" applyNumberFormat="1" applyFont="1" applyAlignment="1">
      <alignment horizontal="center" vertical="center"/>
    </xf>
    <xf numFmtId="165" fontId="8" fillId="0" borderId="2" xfId="0" applyNumberFormat="1" applyFont="1" applyBorder="1" applyAlignment="1">
      <alignment horizontal="left" vertical="center"/>
    </xf>
    <xf numFmtId="171" fontId="6" fillId="0" borderId="2" xfId="0" applyNumberFormat="1" applyFont="1" applyBorder="1" applyAlignment="1">
      <alignment horizontal="center" vertical="center"/>
    </xf>
    <xf numFmtId="171" fontId="7" fillId="3" borderId="1" xfId="0" applyNumberFormat="1" applyFont="1" applyFill="1" applyBorder="1" applyAlignment="1">
      <alignment horizontal="center" vertical="center"/>
    </xf>
    <xf numFmtId="171" fontId="4" fillId="0" borderId="0" xfId="0" applyNumberFormat="1" applyFont="1" applyAlignment="1">
      <alignment horizontal="center" vertical="center"/>
    </xf>
    <xf numFmtId="169" fontId="6" fillId="0" borderId="2" xfId="1" applyNumberFormat="1" applyFont="1" applyFill="1" applyBorder="1" applyAlignment="1">
      <alignment horizontal="center" vertical="center"/>
    </xf>
    <xf numFmtId="169" fontId="7" fillId="3" borderId="1" xfId="1" applyNumberFormat="1" applyFont="1" applyFill="1" applyBorder="1" applyAlignment="1">
      <alignment horizontal="center" vertical="center"/>
    </xf>
    <xf numFmtId="169" fontId="4" fillId="0" borderId="0" xfId="1" applyNumberFormat="1" applyFont="1" applyFill="1" applyBorder="1" applyAlignment="1">
      <alignment horizontal="center" vertical="center"/>
    </xf>
    <xf numFmtId="169" fontId="6" fillId="0" borderId="0" xfId="1" applyNumberFormat="1" applyFont="1" applyFill="1" applyBorder="1" applyAlignment="1">
      <alignment horizontal="center" vertical="center"/>
    </xf>
    <xf numFmtId="171"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72" fontId="10" fillId="6" borderId="0" xfId="3" applyNumberFormat="1" applyFont="1" applyFill="1" applyAlignment="1">
      <alignment horizontal="center"/>
    </xf>
    <xf numFmtId="172" fontId="10" fillId="10"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0" borderId="0" xfId="3" applyNumberFormat="1" applyFont="1" applyFill="1" applyAlignment="1">
      <alignment horizontal="center"/>
    </xf>
    <xf numFmtId="0" fontId="11" fillId="0" borderId="0" xfId="0" applyFont="1"/>
    <xf numFmtId="165" fontId="10" fillId="6" borderId="0" xfId="4" applyNumberFormat="1" applyFont="1" applyFill="1" applyAlignment="1">
      <alignment horizontal="center"/>
    </xf>
    <xf numFmtId="165" fontId="10" fillId="10" borderId="0" xfId="4" applyNumberFormat="1" applyFont="1" applyFill="1" applyAlignment="1">
      <alignment horizontal="center"/>
    </xf>
    <xf numFmtId="0" fontId="12" fillId="7" borderId="0" xfId="3" applyFont="1" applyFill="1" applyAlignment="1">
      <alignment vertical="center" wrapText="1"/>
    </xf>
    <xf numFmtId="172"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165" fontId="4" fillId="0" borderId="0" xfId="0" applyNumberFormat="1" applyFont="1" applyAlignment="1">
      <alignment horizontal="left" vertical="center"/>
    </xf>
    <xf numFmtId="165"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9" fontId="4" fillId="0" borderId="0" xfId="1" applyNumberFormat="1" applyFont="1" applyFill="1" applyBorder="1" applyAlignment="1">
      <alignment horizontal="left" vertical="center"/>
    </xf>
    <xf numFmtId="169" fontId="6" fillId="0" borderId="2" xfId="1" applyNumberFormat="1" applyFont="1" applyFill="1" applyBorder="1" applyAlignment="1">
      <alignment horizontal="left" vertical="center"/>
    </xf>
    <xf numFmtId="169"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6" fillId="4" borderId="0" xfId="3" applyFont="1" applyFill="1" applyAlignment="1">
      <alignment wrapText="1"/>
    </xf>
    <xf numFmtId="0" fontId="16" fillId="14" borderId="0" xfId="3" applyFont="1" applyFill="1" applyAlignment="1">
      <alignment horizontal="center"/>
    </xf>
    <xf numFmtId="0" fontId="16" fillId="14" borderId="0" xfId="3" applyFont="1" applyFill="1"/>
    <xf numFmtId="0" fontId="16" fillId="4" borderId="0" xfId="3" applyFont="1" applyFill="1"/>
    <xf numFmtId="172"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0" borderId="0" xfId="3" applyFont="1" applyFill="1"/>
    <xf numFmtId="14" fontId="16" fillId="10" borderId="0" xfId="3" applyNumberFormat="1" applyFont="1" applyFill="1"/>
    <xf numFmtId="172" fontId="16" fillId="10" borderId="0" xfId="3" applyNumberFormat="1" applyFont="1" applyFill="1" applyAlignment="1">
      <alignment horizontal="center"/>
    </xf>
    <xf numFmtId="0" fontId="16" fillId="10" borderId="0" xfId="3" applyFont="1" applyFill="1" applyAlignment="1">
      <alignment horizontal="center"/>
    </xf>
    <xf numFmtId="165" fontId="16" fillId="10" borderId="0" xfId="4" applyNumberFormat="1" applyFont="1" applyFill="1" applyAlignment="1">
      <alignment horizontal="center"/>
    </xf>
    <xf numFmtId="3" fontId="16" fillId="10" borderId="0" xfId="3" applyNumberFormat="1" applyFont="1" applyFill="1" applyAlignment="1">
      <alignment horizontal="center"/>
    </xf>
    <xf numFmtId="4" fontId="19" fillId="0" borderId="12" xfId="0" applyNumberFormat="1" applyFont="1" applyBorder="1" applyAlignment="1">
      <alignment horizontal="center" vertical="center" wrapText="1"/>
    </xf>
    <xf numFmtId="172" fontId="16" fillId="0" borderId="0" xfId="0" applyNumberFormat="1" applyFont="1"/>
    <xf numFmtId="49" fontId="16" fillId="0" borderId="0" xfId="0" applyNumberFormat="1" applyFont="1"/>
    <xf numFmtId="0" fontId="16" fillId="0" borderId="0" xfId="0" applyFont="1" applyAlignment="1">
      <alignment horizontal="center"/>
    </xf>
    <xf numFmtId="169" fontId="7" fillId="0" borderId="2" xfId="1" applyNumberFormat="1" applyFont="1" applyFill="1" applyBorder="1" applyAlignment="1">
      <alignment horizontal="left" vertical="center"/>
    </xf>
    <xf numFmtId="169"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9" fontId="9" fillId="0" borderId="4" xfId="0" applyNumberFormat="1" applyFont="1" applyBorder="1" applyAlignment="1">
      <alignment horizontal="center"/>
    </xf>
    <xf numFmtId="169" fontId="9" fillId="0" borderId="4" xfId="0" applyNumberFormat="1" applyFont="1" applyBorder="1" applyAlignment="1">
      <alignment horizontal="left"/>
    </xf>
    <xf numFmtId="0" fontId="9" fillId="0" borderId="10" xfId="0" applyFont="1" applyBorder="1"/>
    <xf numFmtId="169" fontId="9" fillId="0" borderId="0" xfId="0" applyNumberFormat="1" applyFont="1" applyAlignment="1">
      <alignment horizontal="center"/>
    </xf>
    <xf numFmtId="169" fontId="9" fillId="0" borderId="0" xfId="0" applyNumberFormat="1" applyFont="1" applyAlignment="1">
      <alignment horizontal="left"/>
    </xf>
    <xf numFmtId="174" fontId="16" fillId="10" borderId="0" xfId="4" applyNumberFormat="1" applyFont="1" applyFill="1" applyAlignment="1">
      <alignment horizontal="center"/>
    </xf>
    <xf numFmtId="165" fontId="13" fillId="0" borderId="2" xfId="0" applyNumberFormat="1" applyFont="1" applyBorder="1" applyAlignment="1">
      <alignment horizontal="center" vertical="center"/>
    </xf>
    <xf numFmtId="168" fontId="9" fillId="0" borderId="0" xfId="0" applyNumberFormat="1" applyFont="1" applyAlignment="1">
      <alignment horizontal="center"/>
    </xf>
    <xf numFmtId="165" fontId="7" fillId="0" borderId="13" xfId="0" applyNumberFormat="1" applyFont="1" applyBorder="1" applyAlignment="1">
      <alignment horizontal="left" vertical="center"/>
    </xf>
    <xf numFmtId="0" fontId="21" fillId="2" borderId="0" xfId="0" applyFont="1" applyFill="1" applyAlignment="1">
      <alignment horizontal="center" vertical="center" wrapText="1"/>
    </xf>
    <xf numFmtId="165" fontId="7" fillId="16" borderId="1" xfId="0" applyNumberFormat="1" applyFont="1" applyFill="1" applyBorder="1" applyAlignment="1">
      <alignment horizontal="center" vertical="center"/>
    </xf>
    <xf numFmtId="169" fontId="7" fillId="16" borderId="1" xfId="1" applyNumberFormat="1" applyFont="1" applyFill="1" applyBorder="1" applyAlignment="1">
      <alignment horizontal="center" vertical="center"/>
    </xf>
    <xf numFmtId="171" fontId="7" fillId="16" borderId="1" xfId="0" applyNumberFormat="1" applyFont="1" applyFill="1" applyBorder="1" applyAlignment="1">
      <alignment horizontal="center" vertical="center"/>
    </xf>
    <xf numFmtId="170" fontId="7" fillId="16" borderId="1" xfId="0" applyNumberFormat="1" applyFont="1" applyFill="1" applyBorder="1" applyAlignment="1">
      <alignment horizontal="center" vertical="center"/>
    </xf>
    <xf numFmtId="165" fontId="24" fillId="0" borderId="2" xfId="0" applyNumberFormat="1" applyFont="1" applyBorder="1" applyAlignment="1">
      <alignment horizontal="center" vertical="center"/>
    </xf>
    <xf numFmtId="165" fontId="26" fillId="16" borderId="1" xfId="0" applyNumberFormat="1" applyFont="1" applyFill="1" applyBorder="1" applyAlignment="1">
      <alignment horizontal="center" vertical="center"/>
    </xf>
    <xf numFmtId="165" fontId="26" fillId="0" borderId="0" xfId="0" applyNumberFormat="1" applyFont="1" applyAlignment="1">
      <alignment horizontal="center" vertical="center"/>
    </xf>
    <xf numFmtId="169" fontId="24" fillId="0" borderId="2" xfId="1" applyNumberFormat="1" applyFont="1" applyFill="1" applyBorder="1" applyAlignment="1">
      <alignment horizontal="center" vertical="center"/>
    </xf>
    <xf numFmtId="169" fontId="26" fillId="16" borderId="1" xfId="1" applyNumberFormat="1" applyFont="1" applyFill="1" applyBorder="1" applyAlignment="1">
      <alignment horizontal="center" vertical="center"/>
    </xf>
    <xf numFmtId="169" fontId="26" fillId="0" borderId="0" xfId="1" applyNumberFormat="1" applyFont="1" applyFill="1" applyBorder="1" applyAlignment="1">
      <alignment horizontal="center" vertical="center"/>
    </xf>
    <xf numFmtId="169" fontId="26"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9" fontId="6" fillId="9" borderId="0" xfId="1" applyNumberFormat="1" applyFont="1" applyFill="1" applyBorder="1" applyAlignment="1">
      <alignment horizontal="center" vertical="center"/>
    </xf>
    <xf numFmtId="171"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165" fontId="7" fillId="0" borderId="13"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9"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165" fontId="14" fillId="0" borderId="2" xfId="0" applyNumberFormat="1" applyFont="1" applyBorder="1" applyAlignment="1">
      <alignment horizontal="center" vertical="center"/>
    </xf>
    <xf numFmtId="169" fontId="14" fillId="0" borderId="0" xfId="1" applyNumberFormat="1" applyFont="1" applyFill="1" applyBorder="1" applyAlignment="1">
      <alignment horizontal="center" vertical="center"/>
    </xf>
    <xf numFmtId="0" fontId="27" fillId="0" borderId="4" xfId="0" applyFont="1" applyBorder="1" applyAlignment="1">
      <alignment horizontal="center"/>
    </xf>
    <xf numFmtId="0" fontId="18" fillId="17" borderId="0" xfId="0" applyFont="1" applyFill="1"/>
    <xf numFmtId="171" fontId="16" fillId="0" borderId="11" xfId="0" applyNumberFormat="1" applyFont="1" applyBorder="1" applyAlignment="1">
      <alignment horizontal="center"/>
    </xf>
    <xf numFmtId="178" fontId="29" fillId="0" borderId="11" xfId="0" applyNumberFormat="1" applyFont="1" applyBorder="1" applyAlignment="1">
      <alignment horizontal="center" vertical="center"/>
    </xf>
    <xf numFmtId="15" fontId="18" fillId="17" borderId="20" xfId="0" applyNumberFormat="1" applyFont="1" applyFill="1" applyBorder="1"/>
    <xf numFmtId="0" fontId="30" fillId="0" borderId="0" xfId="0" applyFont="1"/>
    <xf numFmtId="15" fontId="18" fillId="0" borderId="0" xfId="0" applyNumberFormat="1" applyFont="1"/>
    <xf numFmtId="0" fontId="31" fillId="0" borderId="0" xfId="0" applyFont="1"/>
    <xf numFmtId="0" fontId="10" fillId="14" borderId="0" xfId="3" applyFont="1" applyFill="1"/>
    <xf numFmtId="0" fontId="10" fillId="14" borderId="0" xfId="3" applyFont="1" applyFill="1" applyAlignment="1">
      <alignment horizontal="center"/>
    </xf>
    <xf numFmtId="14" fontId="10" fillId="14" borderId="0" xfId="3" applyNumberFormat="1" applyFont="1" applyFill="1" applyAlignment="1">
      <alignment horizontal="center"/>
    </xf>
    <xf numFmtId="171" fontId="10" fillId="14"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71"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71"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9" fontId="9" fillId="0" borderId="0" xfId="0" applyNumberFormat="1" applyFont="1"/>
    <xf numFmtId="178" fontId="29" fillId="8" borderId="11" xfId="0" applyNumberFormat="1" applyFont="1" applyFill="1" applyBorder="1" applyAlignment="1">
      <alignment horizontal="center" vertical="center"/>
    </xf>
    <xf numFmtId="165" fontId="7" fillId="9" borderId="11" xfId="0" applyNumberFormat="1" applyFont="1" applyFill="1" applyBorder="1" applyAlignment="1">
      <alignment horizontal="left" vertical="center"/>
    </xf>
    <xf numFmtId="0" fontId="33"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8" fontId="9" fillId="0" borderId="3" xfId="0" applyNumberFormat="1" applyFont="1" applyBorder="1" applyAlignment="1">
      <alignment horizontal="center"/>
    </xf>
    <xf numFmtId="0" fontId="9" fillId="17" borderId="0" xfId="0" applyFont="1" applyFill="1" applyAlignment="1">
      <alignment horizontal="center"/>
    </xf>
    <xf numFmtId="0" fontId="27" fillId="0" borderId="0" xfId="0" applyFont="1" applyAlignment="1">
      <alignment horizontal="left"/>
    </xf>
    <xf numFmtId="49" fontId="14" fillId="12" borderId="2" xfId="1" applyNumberFormat="1" applyFont="1" applyFill="1" applyBorder="1" applyAlignment="1">
      <alignment horizontal="center" vertical="center"/>
    </xf>
    <xf numFmtId="49" fontId="34" fillId="3" borderId="1" xfId="1" applyNumberFormat="1" applyFont="1" applyFill="1" applyBorder="1" applyAlignment="1">
      <alignment horizontal="center" vertical="center"/>
    </xf>
    <xf numFmtId="169" fontId="35" fillId="0" borderId="0" xfId="1" applyNumberFormat="1" applyFont="1" applyFill="1" applyBorder="1" applyAlignment="1">
      <alignment horizontal="center" vertical="center"/>
    </xf>
    <xf numFmtId="169" fontId="14" fillId="0" borderId="2" xfId="1" applyNumberFormat="1" applyFont="1" applyFill="1" applyBorder="1" applyAlignment="1">
      <alignment horizontal="center" vertical="center"/>
    </xf>
    <xf numFmtId="169" fontId="34" fillId="3" borderId="1" xfId="1" applyNumberFormat="1" applyFont="1" applyFill="1" applyBorder="1" applyAlignment="1">
      <alignment horizontal="center" vertical="center"/>
    </xf>
    <xf numFmtId="169" fontId="34" fillId="0" borderId="2" xfId="1" applyNumberFormat="1" applyFont="1" applyFill="1" applyBorder="1" applyAlignment="1">
      <alignment horizontal="center" vertical="center"/>
    </xf>
    <xf numFmtId="0" fontId="16" fillId="0" borderId="0" xfId="0" applyFont="1" applyAlignment="1">
      <alignment vertical="center"/>
    </xf>
    <xf numFmtId="8" fontId="16" fillId="0" borderId="0" xfId="0" applyNumberFormat="1" applyFont="1"/>
    <xf numFmtId="180" fontId="16" fillId="14"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80" fontId="16" fillId="0" borderId="0" xfId="0" applyNumberFormat="1" applyFont="1"/>
    <xf numFmtId="165" fontId="7" fillId="3" borderId="0" xfId="0" applyNumberFormat="1" applyFont="1" applyFill="1" applyAlignment="1">
      <alignment horizontal="center" vertical="center"/>
    </xf>
    <xf numFmtId="169" fontId="26" fillId="3" borderId="0" xfId="1" applyNumberFormat="1" applyFont="1" applyFill="1" applyBorder="1" applyAlignment="1">
      <alignment horizontal="center" vertical="center"/>
    </xf>
    <xf numFmtId="171" fontId="7" fillId="3" borderId="0" xfId="0" applyNumberFormat="1" applyFont="1" applyFill="1" applyAlignment="1">
      <alignment horizontal="center" vertical="center"/>
    </xf>
    <xf numFmtId="170" fontId="7" fillId="3" borderId="0" xfId="0" applyNumberFormat="1" applyFont="1" applyFill="1" applyAlignment="1">
      <alignment horizontal="center" vertical="center"/>
    </xf>
    <xf numFmtId="165" fontId="7" fillId="0" borderId="0" xfId="0" applyNumberFormat="1" applyFont="1" applyAlignment="1">
      <alignment horizontal="center" vertical="center"/>
    </xf>
    <xf numFmtId="171" fontId="7" fillId="0" borderId="0" xfId="0" applyNumberFormat="1" applyFont="1" applyAlignment="1">
      <alignment horizontal="center" vertical="center"/>
    </xf>
    <xf numFmtId="170" fontId="7" fillId="0" borderId="0" xfId="0" applyNumberFormat="1" applyFont="1" applyAlignment="1">
      <alignment horizontal="center" vertical="center"/>
    </xf>
    <xf numFmtId="165" fontId="7" fillId="3" borderId="0" xfId="0" applyNumberFormat="1" applyFont="1" applyFill="1" applyAlignment="1">
      <alignment horizontal="left" vertical="center"/>
    </xf>
    <xf numFmtId="0" fontId="11" fillId="17" borderId="0" xfId="0" applyFont="1" applyFill="1"/>
    <xf numFmtId="15" fontId="11" fillId="17" borderId="20" xfId="0" applyNumberFormat="1" applyFont="1" applyFill="1" applyBorder="1"/>
    <xf numFmtId="0" fontId="11" fillId="9" borderId="0" xfId="0" applyFont="1" applyFill="1"/>
    <xf numFmtId="173" fontId="9" fillId="0" borderId="0" xfId="0" applyNumberFormat="1" applyFont="1" applyAlignment="1">
      <alignment horizontal="center"/>
    </xf>
    <xf numFmtId="0" fontId="36" fillId="0" borderId="4" xfId="0" applyFont="1" applyBorder="1"/>
    <xf numFmtId="0" fontId="37" fillId="0" borderId="0" xfId="0" applyFont="1"/>
    <xf numFmtId="4" fontId="37" fillId="0" borderId="0" xfId="0" applyNumberFormat="1" applyFont="1"/>
    <xf numFmtId="165" fontId="7" fillId="0" borderId="2" xfId="0" applyNumberFormat="1" applyFont="1" applyBorder="1" applyAlignment="1">
      <alignment horizontal="center" vertical="center"/>
    </xf>
    <xf numFmtId="172" fontId="16"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82" fontId="40" fillId="0" borderId="0" xfId="0" applyNumberFormat="1" applyFont="1" applyAlignment="1">
      <alignment horizontal="center" vertical="center"/>
    </xf>
    <xf numFmtId="182" fontId="40" fillId="0" borderId="2" xfId="0" applyNumberFormat="1" applyFont="1" applyBorder="1" applyAlignment="1">
      <alignment horizontal="center" vertical="center"/>
    </xf>
    <xf numFmtId="182" fontId="40" fillId="16" borderId="1" xfId="0" applyNumberFormat="1" applyFont="1" applyFill="1" applyBorder="1" applyAlignment="1">
      <alignment horizontal="center" vertical="center"/>
    </xf>
    <xf numFmtId="0" fontId="41" fillId="2" borderId="3" xfId="0" applyFont="1" applyFill="1" applyBorder="1" applyAlignment="1">
      <alignment horizontal="centerContinuous" vertical="center"/>
    </xf>
    <xf numFmtId="0" fontId="40"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40" fillId="19" borderId="0" xfId="0" applyFont="1" applyFill="1" applyAlignment="1">
      <alignment horizontal="center" vertical="center"/>
    </xf>
    <xf numFmtId="165" fontId="40" fillId="0" borderId="0" xfId="0" applyNumberFormat="1" applyFont="1" applyAlignment="1">
      <alignment horizontal="left" vertical="center"/>
    </xf>
    <xf numFmtId="169" fontId="24" fillId="0" borderId="0" xfId="1" applyNumberFormat="1" applyFont="1" applyFill="1" applyBorder="1" applyAlignment="1">
      <alignment horizontal="center" vertical="center"/>
    </xf>
    <xf numFmtId="172" fontId="10" fillId="5" borderId="0" xfId="3" applyNumberFormat="1" applyFont="1" applyFill="1" applyAlignment="1">
      <alignment horizontal="center"/>
    </xf>
    <xf numFmtId="172" fontId="10" fillId="14" borderId="0" xfId="3" applyNumberFormat="1" applyFont="1" applyFill="1" applyAlignment="1">
      <alignment horizontal="center"/>
    </xf>
    <xf numFmtId="172" fontId="10" fillId="0" borderId="0" xfId="0" applyNumberFormat="1" applyFont="1"/>
    <xf numFmtId="0" fontId="43" fillId="0" borderId="9" xfId="0" applyFont="1" applyBorder="1"/>
    <xf numFmtId="0" fontId="44" fillId="0" borderId="4" xfId="0" applyFont="1" applyBorder="1" applyAlignment="1">
      <alignment horizontal="left"/>
    </xf>
    <xf numFmtId="0" fontId="43" fillId="0" borderId="4" xfId="0" applyFont="1" applyBorder="1" applyAlignment="1">
      <alignment horizontal="center"/>
    </xf>
    <xf numFmtId="169" fontId="43" fillId="0" borderId="4" xfId="0" applyNumberFormat="1" applyFont="1" applyBorder="1" applyAlignment="1">
      <alignment horizontal="center"/>
    </xf>
    <xf numFmtId="4" fontId="43" fillId="0" borderId="4" xfId="0" applyNumberFormat="1" applyFont="1" applyBorder="1" applyAlignment="1">
      <alignment horizontal="center"/>
    </xf>
    <xf numFmtId="168" fontId="43" fillId="0" borderId="4" xfId="0" applyNumberFormat="1" applyFont="1" applyBorder="1" applyAlignment="1">
      <alignment horizontal="center"/>
    </xf>
    <xf numFmtId="0" fontId="43" fillId="0" borderId="10" xfId="0" applyFont="1" applyBorder="1"/>
    <xf numFmtId="0" fontId="43" fillId="0" borderId="0" xfId="0" applyFont="1"/>
    <xf numFmtId="0" fontId="39" fillId="0" borderId="0" xfId="0" applyFont="1" applyAlignment="1">
      <alignment horizontal="left"/>
    </xf>
    <xf numFmtId="165" fontId="24" fillId="0" borderId="0" xfId="0" applyNumberFormat="1" applyFont="1" applyAlignment="1">
      <alignment horizontal="center" vertical="center"/>
    </xf>
    <xf numFmtId="49" fontId="47" fillId="0" borderId="2" xfId="1" applyNumberFormat="1" applyFont="1" applyFill="1" applyBorder="1" applyAlignment="1">
      <alignment horizontal="center" vertical="center"/>
    </xf>
    <xf numFmtId="49" fontId="48" fillId="0" borderId="2" xfId="1" applyNumberFormat="1" applyFont="1" applyFill="1" applyBorder="1" applyAlignment="1">
      <alignment horizontal="center" vertical="center"/>
    </xf>
    <xf numFmtId="49" fontId="40" fillId="3" borderId="1" xfId="1" applyNumberFormat="1" applyFont="1" applyFill="1" applyBorder="1" applyAlignment="1">
      <alignment horizontal="center" vertical="center"/>
    </xf>
    <xf numFmtId="0" fontId="49" fillId="0" borderId="0" xfId="0" applyFont="1"/>
    <xf numFmtId="0" fontId="50" fillId="0" borderId="0" xfId="0" applyFont="1"/>
    <xf numFmtId="14" fontId="10" fillId="6" borderId="0" xfId="3" applyNumberFormat="1" applyFont="1" applyFill="1" applyAlignment="1">
      <alignment horizontal="left"/>
    </xf>
    <xf numFmtId="14" fontId="10" fillId="10" borderId="0" xfId="3" applyNumberFormat="1" applyFont="1" applyFill="1" applyAlignment="1">
      <alignment horizontal="left"/>
    </xf>
    <xf numFmtId="0" fontId="10" fillId="14"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79" fontId="9" fillId="0" borderId="7" xfId="0" applyNumberFormat="1" applyFont="1" applyBorder="1"/>
    <xf numFmtId="0" fontId="9" fillId="0" borderId="4" xfId="0" applyFont="1" applyBorder="1"/>
    <xf numFmtId="0" fontId="27" fillId="0" borderId="10" xfId="0" applyFont="1" applyBorder="1" applyAlignment="1">
      <alignment horizontal="center"/>
    </xf>
    <xf numFmtId="3" fontId="42" fillId="0" borderId="0" xfId="0" applyNumberFormat="1" applyFont="1" applyAlignment="1">
      <alignment horizontal="center"/>
    </xf>
    <xf numFmtId="3" fontId="51" fillId="0" borderId="0" xfId="0" applyNumberFormat="1" applyFont="1" applyAlignment="1">
      <alignment horizontal="left"/>
    </xf>
    <xf numFmtId="3" fontId="42" fillId="0" borderId="0" xfId="0" applyNumberFormat="1" applyFont="1" applyAlignment="1">
      <alignment horizontal="left"/>
    </xf>
    <xf numFmtId="3" fontId="54" fillId="0" borderId="0" xfId="0" applyNumberFormat="1" applyFont="1" applyAlignment="1">
      <alignment horizontal="center"/>
    </xf>
    <xf numFmtId="0" fontId="43" fillId="0" borderId="7" xfId="0" applyFont="1" applyBorder="1"/>
    <xf numFmtId="0" fontId="44" fillId="0" borderId="0" xfId="0" applyFont="1" applyAlignment="1">
      <alignment horizontal="left"/>
    </xf>
    <xf numFmtId="3" fontId="43" fillId="0" borderId="0" xfId="0" applyNumberFormat="1" applyFont="1" applyAlignment="1">
      <alignment horizontal="center"/>
    </xf>
    <xf numFmtId="0" fontId="43" fillId="0" borderId="8" xfId="0" applyFont="1" applyBorder="1"/>
    <xf numFmtId="3" fontId="55" fillId="0" borderId="0" xfId="0" applyNumberFormat="1" applyFont="1" applyAlignment="1">
      <alignment horizontal="center"/>
    </xf>
    <xf numFmtId="1" fontId="14" fillId="0" borderId="0" xfId="2" applyNumberFormat="1" applyFont="1" applyFill="1" applyBorder="1" applyAlignment="1">
      <alignment horizontal="center" vertical="center"/>
    </xf>
    <xf numFmtId="171"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7" borderId="0" xfId="0" applyFont="1" applyFill="1"/>
    <xf numFmtId="15" fontId="18" fillId="17" borderId="20" xfId="0" applyNumberFormat="1" applyFont="1" applyFill="1" applyBorder="1" applyAlignment="1">
      <alignment horizontal="center"/>
    </xf>
    <xf numFmtId="186" fontId="6" fillId="0" borderId="2" xfId="0" applyNumberFormat="1" applyFont="1" applyBorder="1" applyAlignment="1">
      <alignment horizontal="center" vertical="center"/>
    </xf>
    <xf numFmtId="171" fontId="6" fillId="17" borderId="2" xfId="0" applyNumberFormat="1" applyFont="1" applyFill="1" applyBorder="1" applyAlignment="1">
      <alignment horizontal="center" vertical="center"/>
    </xf>
    <xf numFmtId="165" fontId="7" fillId="0" borderId="22" xfId="0" applyNumberFormat="1" applyFont="1" applyBorder="1" applyAlignment="1">
      <alignment horizontal="left" vertical="center"/>
    </xf>
    <xf numFmtId="171" fontId="6" fillId="0" borderId="23" xfId="0" applyNumberFormat="1" applyFont="1" applyBorder="1" applyAlignment="1">
      <alignment horizontal="center" vertical="center"/>
    </xf>
    <xf numFmtId="165" fontId="7" fillId="0" borderId="24" xfId="0" applyNumberFormat="1" applyFont="1" applyBorder="1" applyAlignment="1">
      <alignment horizontal="left" vertical="center"/>
    </xf>
    <xf numFmtId="171" fontId="6" fillId="0" borderId="25" xfId="0" applyNumberFormat="1" applyFont="1" applyBorder="1" applyAlignment="1">
      <alignment horizontal="center" vertical="center"/>
    </xf>
    <xf numFmtId="165" fontId="7" fillId="0" borderId="18" xfId="0" applyNumberFormat="1" applyFont="1" applyBorder="1" applyAlignment="1">
      <alignment horizontal="left" vertical="center"/>
    </xf>
    <xf numFmtId="171" fontId="6" fillId="0" borderId="19" xfId="0" applyNumberFormat="1" applyFont="1" applyBorder="1" applyAlignment="1">
      <alignment horizontal="center" vertical="center"/>
    </xf>
    <xf numFmtId="165" fontId="7" fillId="0" borderId="26" xfId="0" applyNumberFormat="1" applyFont="1" applyBorder="1" applyAlignment="1">
      <alignment horizontal="left" vertical="center"/>
    </xf>
    <xf numFmtId="171" fontId="6" fillId="0" borderId="27" xfId="0" applyNumberFormat="1" applyFont="1" applyBorder="1" applyAlignment="1">
      <alignment horizontal="center" vertical="center"/>
    </xf>
    <xf numFmtId="0" fontId="2" fillId="11" borderId="0" xfId="0" applyFont="1" applyFill="1"/>
    <xf numFmtId="4" fontId="9" fillId="0" borderId="0" xfId="0" applyNumberFormat="1" applyFont="1"/>
    <xf numFmtId="4" fontId="19" fillId="0" borderId="12" xfId="0" applyNumberFormat="1" applyFont="1" applyBorder="1" applyAlignment="1">
      <alignment horizontal="right" vertical="center" wrapText="1"/>
    </xf>
    <xf numFmtId="4" fontId="16" fillId="0" borderId="0" xfId="0" applyNumberFormat="1" applyFont="1"/>
    <xf numFmtId="168" fontId="6" fillId="0" borderId="2" xfId="0" applyNumberFormat="1" applyFont="1" applyBorder="1" applyAlignment="1">
      <alignment horizontal="center" vertical="center"/>
    </xf>
    <xf numFmtId="14" fontId="10" fillId="21" borderId="0" xfId="3" applyNumberFormat="1" applyFont="1" applyFill="1" applyAlignment="1">
      <alignment horizontal="left"/>
    </xf>
    <xf numFmtId="14" fontId="10" fillId="21" borderId="0" xfId="3" applyNumberFormat="1" applyFont="1" applyFill="1" applyAlignment="1">
      <alignment horizontal="center"/>
    </xf>
    <xf numFmtId="172" fontId="10" fillId="21" borderId="0" xfId="3" applyNumberFormat="1" applyFont="1" applyFill="1" applyAlignment="1">
      <alignment horizontal="center"/>
    </xf>
    <xf numFmtId="165" fontId="10" fillId="21" borderId="0" xfId="4" applyNumberFormat="1" applyFont="1" applyFill="1" applyAlignment="1">
      <alignment horizontal="center"/>
    </xf>
    <xf numFmtId="0" fontId="32" fillId="0" borderId="0" xfId="0" applyFont="1"/>
    <xf numFmtId="14" fontId="32"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0" fontId="9" fillId="3" borderId="4" xfId="0" applyFont="1" applyFill="1" applyBorder="1"/>
    <xf numFmtId="4" fontId="42" fillId="0" borderId="0" xfId="0" applyNumberFormat="1" applyFont="1" applyAlignment="1">
      <alignment horizontal="center"/>
    </xf>
    <xf numFmtId="8" fontId="9" fillId="0" borderId="0" xfId="0" applyNumberFormat="1" applyFont="1" applyAlignment="1">
      <alignment horizontal="center"/>
    </xf>
    <xf numFmtId="15" fontId="11" fillId="9" borderId="7" xfId="0" applyNumberFormat="1" applyFont="1" applyFill="1" applyBorder="1"/>
    <xf numFmtId="15" fontId="11" fillId="9" borderId="0" xfId="0" applyNumberFormat="1" applyFont="1" applyFill="1"/>
    <xf numFmtId="15" fontId="11" fillId="9" borderId="8" xfId="0" applyNumberFormat="1" applyFont="1" applyFill="1" applyBorder="1"/>
    <xf numFmtId="179" fontId="9" fillId="22" borderId="5" xfId="0" applyNumberFormat="1" applyFont="1" applyFill="1" applyBorder="1"/>
    <xf numFmtId="0" fontId="9" fillId="22" borderId="3" xfId="0" applyFont="1" applyFill="1" applyBorder="1" applyAlignment="1">
      <alignment horizontal="center"/>
    </xf>
    <xf numFmtId="0" fontId="27" fillId="22" borderId="6" xfId="0" applyFont="1" applyFill="1" applyBorder="1" applyAlignment="1">
      <alignment horizontal="center"/>
    </xf>
    <xf numFmtId="165" fontId="2" fillId="22" borderId="5" xfId="0" applyNumberFormat="1" applyFont="1" applyFill="1" applyBorder="1" applyAlignment="1">
      <alignment horizontal="left" vertical="center" indent="1"/>
    </xf>
    <xf numFmtId="165"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3" fillId="0" borderId="10" xfId="0" applyFont="1" applyBorder="1" applyAlignment="1">
      <alignment horizontal="center"/>
    </xf>
    <xf numFmtId="4" fontId="9" fillId="0" borderId="0" xfId="0" applyNumberFormat="1" applyFont="1" applyAlignment="1">
      <alignment horizontal="center"/>
    </xf>
    <xf numFmtId="165" fontId="2" fillId="22" borderId="6" xfId="0" applyNumberFormat="1" applyFont="1" applyFill="1" applyBorder="1" applyAlignment="1">
      <alignment horizontal="left" vertical="center" indent="1"/>
    </xf>
    <xf numFmtId="0" fontId="9" fillId="22" borderId="6" xfId="0" applyFont="1" applyFill="1" applyBorder="1"/>
    <xf numFmtId="0" fontId="9" fillId="22" borderId="3" xfId="0" applyFont="1" applyFill="1" applyBorder="1"/>
    <xf numFmtId="0" fontId="9" fillId="0" borderId="7" xfId="10" applyFont="1" applyBorder="1" applyAlignment="1">
      <alignment horizontal="left" vertical="center" indent="1"/>
    </xf>
    <xf numFmtId="187" fontId="9" fillId="0" borderId="0" xfId="11" applyNumberFormat="1" applyFont="1" applyFill="1" applyBorder="1">
      <alignment vertical="center"/>
    </xf>
    <xf numFmtId="0" fontId="9" fillId="0" borderId="8" xfId="10" applyFont="1" applyBorder="1">
      <alignment vertical="center"/>
    </xf>
    <xf numFmtId="185" fontId="9" fillId="0" borderId="0" xfId="12" applyNumberFormat="1" applyFont="1" applyFill="1" applyBorder="1">
      <alignment vertical="center"/>
    </xf>
    <xf numFmtId="9" fontId="9" fillId="0" borderId="0" xfId="12" applyFont="1" applyFill="1" applyBorder="1">
      <alignment vertical="center"/>
    </xf>
    <xf numFmtId="43" fontId="9" fillId="0" borderId="8" xfId="10" applyNumberFormat="1" applyFont="1" applyBorder="1">
      <alignment vertical="center"/>
    </xf>
    <xf numFmtId="0" fontId="9" fillId="0" borderId="0" xfId="10" applyFont="1">
      <alignment vertical="center"/>
    </xf>
    <xf numFmtId="0" fontId="9" fillId="0" borderId="9" xfId="10" applyFont="1" applyBorder="1" applyAlignment="1">
      <alignment horizontal="left" vertical="center" indent="1"/>
    </xf>
    <xf numFmtId="168" fontId="9" fillId="0" borderId="4" xfId="10" applyNumberFormat="1" applyFont="1" applyBorder="1">
      <alignment vertical="center"/>
    </xf>
    <xf numFmtId="10" fontId="7" fillId="0" borderId="2" xfId="1" applyNumberFormat="1" applyFont="1" applyFill="1" applyBorder="1" applyAlignment="1">
      <alignment horizontal="center" vertical="center"/>
    </xf>
    <xf numFmtId="189" fontId="9" fillId="0" borderId="0" xfId="0" applyNumberFormat="1" applyFont="1" applyAlignment="1">
      <alignment horizontal="center"/>
    </xf>
    <xf numFmtId="190" fontId="14" fillId="0" borderId="0" xfId="0" applyNumberFormat="1" applyFont="1" applyAlignment="1">
      <alignment horizontal="center" vertical="center"/>
    </xf>
    <xf numFmtId="165" fontId="7" fillId="0" borderId="21" xfId="0" applyNumberFormat="1" applyFont="1" applyBorder="1" applyAlignment="1">
      <alignment horizontal="center" vertical="center"/>
    </xf>
    <xf numFmtId="165" fontId="7" fillId="9" borderId="26" xfId="0" applyNumberFormat="1" applyFont="1" applyFill="1" applyBorder="1" applyAlignment="1">
      <alignment horizontal="left" vertical="center"/>
    </xf>
    <xf numFmtId="165" fontId="7" fillId="9" borderId="11" xfId="0" applyNumberFormat="1" applyFont="1" applyFill="1" applyBorder="1" applyAlignment="1">
      <alignment horizontal="center" vertical="center"/>
    </xf>
    <xf numFmtId="165" fontId="40" fillId="10" borderId="11" xfId="0" applyNumberFormat="1" applyFont="1" applyFill="1" applyBorder="1" applyAlignment="1">
      <alignment horizontal="center" vertical="center"/>
    </xf>
    <xf numFmtId="165" fontId="34" fillId="9" borderId="11" xfId="0" applyNumberFormat="1" applyFont="1" applyFill="1" applyBorder="1" applyAlignment="1">
      <alignment horizontal="center" vertical="center"/>
    </xf>
    <xf numFmtId="165" fontId="7" fillId="9" borderId="26" xfId="0" applyNumberFormat="1" applyFont="1" applyFill="1" applyBorder="1" applyAlignment="1">
      <alignment horizontal="center" vertical="center"/>
    </xf>
    <xf numFmtId="165" fontId="14" fillId="0" borderId="13" xfId="0" applyNumberFormat="1" applyFont="1" applyBorder="1" applyAlignment="1">
      <alignment horizontal="center" vertical="center"/>
    </xf>
    <xf numFmtId="4" fontId="10" fillId="0" borderId="0" xfId="0" applyNumberFormat="1" applyFont="1"/>
    <xf numFmtId="0" fontId="56" fillId="23" borderId="0" xfId="0" applyFont="1" applyFill="1"/>
    <xf numFmtId="165" fontId="8" fillId="9" borderId="2" xfId="0" applyNumberFormat="1" applyFont="1" applyFill="1" applyBorder="1" applyAlignment="1">
      <alignment horizontal="left" vertical="center"/>
    </xf>
    <xf numFmtId="165" fontId="8" fillId="9" borderId="2" xfId="0" applyNumberFormat="1" applyFont="1" applyFill="1" applyBorder="1" applyAlignment="1">
      <alignment horizontal="center" vertical="center"/>
    </xf>
    <xf numFmtId="165" fontId="28" fillId="9" borderId="2" xfId="0" applyNumberFormat="1" applyFont="1" applyFill="1" applyBorder="1" applyAlignment="1">
      <alignment horizontal="center" vertical="center"/>
    </xf>
    <xf numFmtId="165" fontId="14"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9" fontId="8" fillId="9" borderId="2" xfId="1" applyNumberFormat="1" applyFont="1" applyFill="1" applyBorder="1" applyAlignment="1">
      <alignment horizontal="center" vertical="center"/>
    </xf>
    <xf numFmtId="165"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9" fontId="7" fillId="0" borderId="1" xfId="1" applyNumberFormat="1" applyFont="1" applyFill="1" applyBorder="1" applyAlignment="1">
      <alignment horizontal="center" vertical="center"/>
    </xf>
    <xf numFmtId="165" fontId="14" fillId="0" borderId="1" xfId="0" applyNumberFormat="1" applyFont="1" applyBorder="1" applyAlignment="1">
      <alignment horizontal="center" vertical="center"/>
    </xf>
    <xf numFmtId="181" fontId="11" fillId="5" borderId="0" xfId="0" applyNumberFormat="1" applyFont="1" applyFill="1" applyAlignment="1">
      <alignment horizontal="center" vertical="center" wrapText="1"/>
    </xf>
    <xf numFmtId="165" fontId="57" fillId="0" borderId="2" xfId="0" applyNumberFormat="1" applyFont="1" applyBorder="1" applyAlignment="1">
      <alignment horizontal="center" vertical="center"/>
    </xf>
    <xf numFmtId="165" fontId="58" fillId="0" borderId="2" xfId="6" applyNumberFormat="1" applyFont="1" applyFill="1" applyBorder="1" applyAlignment="1">
      <alignment horizontal="center" vertical="center"/>
    </xf>
    <xf numFmtId="165" fontId="59" fillId="16" borderId="1" xfId="0" applyNumberFormat="1" applyFont="1" applyFill="1" applyBorder="1" applyAlignment="1">
      <alignment horizontal="center" vertical="center"/>
    </xf>
    <xf numFmtId="169" fontId="6" fillId="0" borderId="2" xfId="0" applyNumberFormat="1" applyFont="1" applyBorder="1" applyAlignment="1">
      <alignment horizontal="center" vertical="center"/>
    </xf>
    <xf numFmtId="169" fontId="7" fillId="16"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5" fontId="14" fillId="12" borderId="2" xfId="0" applyNumberFormat="1" applyFont="1" applyFill="1" applyBorder="1" applyAlignment="1">
      <alignment horizontal="center" vertical="center"/>
    </xf>
    <xf numFmtId="169"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3" fontId="9" fillId="4" borderId="0" xfId="0" applyNumberFormat="1" applyFont="1" applyFill="1" applyAlignment="1">
      <alignment horizontal="center"/>
    </xf>
    <xf numFmtId="183"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7" fillId="0" borderId="8" xfId="0" applyFont="1" applyBorder="1" applyAlignment="1">
      <alignment horizontal="left" indent="1"/>
    </xf>
    <xf numFmtId="0" fontId="9" fillId="0" borderId="8" xfId="0" applyFont="1" applyBorder="1" applyAlignment="1">
      <alignment horizontal="left" indent="1"/>
    </xf>
    <xf numFmtId="0" fontId="11" fillId="6" borderId="7" xfId="0" applyFont="1" applyFill="1" applyBorder="1" applyAlignment="1">
      <alignment horizontal="center"/>
    </xf>
    <xf numFmtId="0" fontId="9" fillId="0" borderId="28" xfId="0" applyFont="1" applyBorder="1"/>
    <xf numFmtId="0" fontId="11" fillId="0" borderId="28"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7"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167" fontId="9" fillId="0" borderId="0" xfId="0" applyNumberFormat="1" applyFont="1"/>
    <xf numFmtId="165" fontId="9" fillId="0" borderId="0" xfId="0" applyNumberFormat="1" applyFont="1"/>
    <xf numFmtId="185" fontId="9" fillId="0" borderId="0" xfId="0" applyNumberFormat="1" applyFont="1"/>
    <xf numFmtId="191" fontId="16" fillId="0" borderId="0" xfId="0" applyNumberFormat="1" applyFont="1"/>
    <xf numFmtId="191" fontId="16" fillId="0" borderId="0" xfId="0" applyNumberFormat="1" applyFont="1" applyAlignment="1">
      <alignment horizontal="center"/>
    </xf>
    <xf numFmtId="10" fontId="7" fillId="0" borderId="0" xfId="1" applyNumberFormat="1" applyFont="1" applyFill="1" applyBorder="1" applyAlignment="1">
      <alignment horizontal="center" vertical="center"/>
    </xf>
    <xf numFmtId="165" fontId="14"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168" fontId="9" fillId="0" borderId="0" xfId="10" applyNumberFormat="1" applyFont="1">
      <alignment vertical="center"/>
    </xf>
    <xf numFmtId="0" fontId="27" fillId="0" borderId="5" xfId="0" applyFont="1" applyBorder="1" applyAlignment="1">
      <alignment horizontal="left" indent="1"/>
    </xf>
    <xf numFmtId="0" fontId="31"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9" fontId="11" fillId="3" borderId="0" xfId="0" applyNumberFormat="1" applyFont="1" applyFill="1"/>
    <xf numFmtId="3" fontId="60" fillId="3" borderId="0" xfId="0" applyNumberFormat="1" applyFont="1" applyFill="1"/>
    <xf numFmtId="0" fontId="11" fillId="3" borderId="0" xfId="0" applyFont="1" applyFill="1"/>
    <xf numFmtId="165" fontId="26"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92" fontId="42" fillId="4" borderId="0" xfId="0" applyNumberFormat="1" applyFont="1" applyFill="1" applyAlignment="1">
      <alignment horizontal="center"/>
    </xf>
    <xf numFmtId="0" fontId="42" fillId="4" borderId="0" xfId="0" applyFont="1" applyFill="1" applyAlignment="1">
      <alignment horizontal="center"/>
    </xf>
    <xf numFmtId="0" fontId="53" fillId="4" borderId="0" xfId="3" applyFont="1" applyFill="1" applyAlignment="1">
      <alignment horizontal="center"/>
    </xf>
    <xf numFmtId="0" fontId="62" fillId="4" borderId="0" xfId="3" applyFont="1" applyFill="1" applyAlignment="1">
      <alignment horizontal="center" wrapText="1"/>
    </xf>
    <xf numFmtId="4" fontId="7" fillId="0" borderId="2" xfId="0" applyNumberFormat="1" applyFont="1" applyBorder="1" applyAlignment="1">
      <alignment horizontal="center" vertical="center"/>
    </xf>
    <xf numFmtId="165" fontId="6" fillId="19" borderId="2" xfId="0" applyNumberFormat="1" applyFont="1" applyFill="1" applyBorder="1" applyAlignment="1">
      <alignment horizontal="center" vertical="center"/>
    </xf>
    <xf numFmtId="0" fontId="24" fillId="19" borderId="0" xfId="0" applyFont="1" applyFill="1" applyAlignment="1">
      <alignment horizontal="left" vertical="center" wrapText="1"/>
    </xf>
    <xf numFmtId="165" fontId="6" fillId="19" borderId="2" xfId="0" applyNumberFormat="1" applyFont="1" applyFill="1" applyBorder="1" applyAlignment="1">
      <alignment horizontal="center" vertical="center" wrapText="1"/>
    </xf>
    <xf numFmtId="0" fontId="9" fillId="26" borderId="0" xfId="0" applyFont="1" applyFill="1"/>
    <xf numFmtId="0" fontId="9" fillId="26" borderId="0" xfId="0" applyFont="1" applyFill="1" applyAlignment="1">
      <alignment horizontal="center"/>
    </xf>
    <xf numFmtId="0" fontId="11" fillId="26" borderId="0" xfId="0" applyFont="1" applyFill="1" applyAlignment="1">
      <alignment horizontal="left"/>
    </xf>
    <xf numFmtId="165" fontId="9" fillId="0" borderId="2" xfId="0" applyNumberFormat="1" applyFont="1" applyBorder="1" applyAlignment="1">
      <alignment horizontal="center" vertical="center"/>
    </xf>
    <xf numFmtId="0" fontId="66" fillId="23" borderId="0" xfId="0" applyFont="1" applyFill="1"/>
    <xf numFmtId="17" fontId="66" fillId="7" borderId="0" xfId="0" quotePrefix="1" applyNumberFormat="1" applyFont="1" applyFill="1"/>
    <xf numFmtId="17" fontId="67" fillId="7" borderId="0" xfId="0" quotePrefix="1" applyNumberFormat="1" applyFont="1" applyFill="1"/>
    <xf numFmtId="0" fontId="67" fillId="7" borderId="0" xfId="0" applyFont="1" applyFill="1"/>
    <xf numFmtId="0" fontId="67" fillId="0" borderId="0" xfId="0" applyFont="1"/>
    <xf numFmtId="17" fontId="70" fillId="7" borderId="0" xfId="0" quotePrefix="1" applyNumberFormat="1" applyFont="1" applyFill="1"/>
    <xf numFmtId="0" fontId="71" fillId="0" borderId="0" xfId="0" applyFont="1"/>
    <xf numFmtId="0" fontId="11" fillId="25" borderId="0" xfId="0" applyFont="1" applyFill="1"/>
    <xf numFmtId="0" fontId="11" fillId="25" borderId="0" xfId="0" applyFont="1" applyFill="1" applyAlignment="1">
      <alignment horizontal="center"/>
    </xf>
    <xf numFmtId="15" fontId="9" fillId="0" borderId="0" xfId="0" applyNumberFormat="1" applyFont="1" applyAlignment="1">
      <alignment horizontal="center"/>
    </xf>
    <xf numFmtId="15" fontId="9" fillId="18" borderId="0" xfId="0" applyNumberFormat="1" applyFont="1" applyFill="1" applyAlignment="1">
      <alignment horizontal="center"/>
    </xf>
    <xf numFmtId="0" fontId="9" fillId="24" borderId="0" xfId="0" applyFont="1" applyFill="1"/>
    <xf numFmtId="4" fontId="9" fillId="24" borderId="0" xfId="0" applyNumberFormat="1" applyFont="1" applyFill="1" applyAlignment="1">
      <alignment horizontal="center"/>
    </xf>
    <xf numFmtId="193" fontId="16" fillId="10" borderId="0" xfId="4" applyNumberFormat="1" applyFont="1" applyFill="1" applyAlignment="1">
      <alignment horizontal="center"/>
    </xf>
    <xf numFmtId="194" fontId="50" fillId="0" borderId="0" xfId="0" applyNumberFormat="1" applyFont="1" applyAlignment="1">
      <alignment horizontal="center"/>
    </xf>
    <xf numFmtId="0" fontId="72" fillId="27" borderId="29" xfId="0" applyFont="1" applyFill="1" applyBorder="1" applyAlignment="1">
      <alignment horizontal="left" vertical="center" wrapText="1" indent="1" readingOrder="1"/>
    </xf>
    <xf numFmtId="0" fontId="73" fillId="28" borderId="29" xfId="0" applyFont="1" applyFill="1" applyBorder="1" applyAlignment="1">
      <alignment horizontal="left" vertical="center" wrapText="1" indent="1" readingOrder="1"/>
    </xf>
    <xf numFmtId="0" fontId="74" fillId="28" borderId="29" xfId="0" applyFont="1" applyFill="1" applyBorder="1" applyAlignment="1">
      <alignment horizontal="left" vertical="center" wrapText="1" indent="1" readingOrder="1"/>
    </xf>
    <xf numFmtId="0" fontId="73" fillId="29" borderId="29" xfId="0" applyFont="1" applyFill="1" applyBorder="1" applyAlignment="1">
      <alignment horizontal="left" vertical="center" wrapText="1" indent="1" readingOrder="1"/>
    </xf>
    <xf numFmtId="0" fontId="74" fillId="29" borderId="29" xfId="0" applyFont="1" applyFill="1" applyBorder="1" applyAlignment="1">
      <alignment horizontal="left" vertical="center" wrapText="1" indent="1" readingOrder="1"/>
    </xf>
    <xf numFmtId="195" fontId="7" fillId="0" borderId="2" xfId="1" applyNumberFormat="1" applyFont="1" applyFill="1" applyBorder="1" applyAlignment="1">
      <alignment horizontal="center" vertical="center"/>
    </xf>
    <xf numFmtId="165" fontId="2" fillId="30" borderId="2" xfId="0" applyNumberFormat="1" applyFont="1" applyFill="1" applyBorder="1" applyAlignment="1">
      <alignment horizontal="left" vertical="center"/>
    </xf>
    <xf numFmtId="165" fontId="76" fillId="30" borderId="2" xfId="0" applyNumberFormat="1" applyFont="1" applyFill="1" applyBorder="1" applyAlignment="1">
      <alignment horizontal="left" vertical="center"/>
    </xf>
    <xf numFmtId="165" fontId="76" fillId="30" borderId="2" xfId="0" applyNumberFormat="1" applyFont="1" applyFill="1" applyBorder="1" applyAlignment="1">
      <alignment horizontal="center" vertical="center"/>
    </xf>
    <xf numFmtId="1" fontId="76" fillId="30" borderId="2" xfId="2" applyNumberFormat="1" applyFont="1" applyFill="1" applyBorder="1" applyAlignment="1">
      <alignment horizontal="center" vertical="center"/>
    </xf>
    <xf numFmtId="169" fontId="76" fillId="30" borderId="2" xfId="1" applyNumberFormat="1" applyFont="1" applyFill="1" applyBorder="1" applyAlignment="1">
      <alignment horizontal="center" vertical="center"/>
    </xf>
    <xf numFmtId="171" fontId="76" fillId="30" borderId="2" xfId="0" applyNumberFormat="1" applyFont="1" applyFill="1" applyBorder="1" applyAlignment="1">
      <alignment horizontal="center" vertical="center"/>
    </xf>
    <xf numFmtId="170" fontId="76" fillId="30" borderId="2" xfId="0" applyNumberFormat="1" applyFont="1" applyFill="1" applyBorder="1" applyAlignment="1">
      <alignment horizontal="center" vertical="center"/>
    </xf>
    <xf numFmtId="165" fontId="7" fillId="20" borderId="2" xfId="0" applyNumberFormat="1" applyFont="1" applyFill="1" applyBorder="1" applyAlignment="1">
      <alignment horizontal="left" vertical="center"/>
    </xf>
    <xf numFmtId="165" fontId="7" fillId="31" borderId="2" xfId="0" applyNumberFormat="1" applyFont="1" applyFill="1" applyBorder="1" applyAlignment="1">
      <alignment horizontal="left" vertical="center"/>
    </xf>
    <xf numFmtId="165" fontId="6" fillId="20" borderId="2" xfId="0" applyNumberFormat="1" applyFont="1" applyFill="1" applyBorder="1" applyAlignment="1">
      <alignment horizontal="center" vertical="center"/>
    </xf>
    <xf numFmtId="165" fontId="6" fillId="31" borderId="2" xfId="0" applyNumberFormat="1" applyFont="1" applyFill="1" applyBorder="1" applyAlignment="1">
      <alignment horizontal="center" vertical="center"/>
    </xf>
    <xf numFmtId="165" fontId="7" fillId="20" borderId="2" xfId="0" applyNumberFormat="1" applyFont="1" applyFill="1" applyBorder="1" applyAlignment="1">
      <alignment horizontal="center" vertical="center"/>
    </xf>
    <xf numFmtId="165" fontId="7" fillId="31" borderId="2" xfId="0" applyNumberFormat="1" applyFont="1" applyFill="1" applyBorder="1" applyAlignment="1">
      <alignment horizontal="center" vertical="center"/>
    </xf>
    <xf numFmtId="165" fontId="7" fillId="20" borderId="30" xfId="0" applyNumberFormat="1" applyFont="1" applyFill="1" applyBorder="1" applyAlignment="1">
      <alignment horizontal="center" vertical="center"/>
    </xf>
    <xf numFmtId="165" fontId="7" fillId="20" borderId="31" xfId="0" applyNumberFormat="1" applyFont="1" applyFill="1" applyBorder="1" applyAlignment="1">
      <alignment horizontal="center" vertical="center"/>
    </xf>
    <xf numFmtId="165" fontId="7" fillId="0" borderId="31" xfId="0" applyNumberFormat="1" applyFont="1" applyBorder="1" applyAlignment="1">
      <alignment horizontal="center" vertical="center"/>
    </xf>
    <xf numFmtId="165" fontId="7" fillId="31" borderId="31" xfId="0" applyNumberFormat="1" applyFont="1" applyFill="1" applyBorder="1" applyAlignment="1">
      <alignment horizontal="center" vertical="center"/>
    </xf>
    <xf numFmtId="165" fontId="34" fillId="9" borderId="1" xfId="0" applyNumberFormat="1" applyFont="1" applyFill="1" applyBorder="1" applyAlignment="1">
      <alignment horizontal="center" vertical="center"/>
    </xf>
    <xf numFmtId="167" fontId="6" fillId="20" borderId="2"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0" borderId="0" xfId="0" applyNumberFormat="1" applyFont="1" applyAlignment="1">
      <alignment horizontal="center" vertical="center"/>
    </xf>
    <xf numFmtId="165" fontId="7" fillId="20" borderId="21" xfId="0" applyNumberFormat="1" applyFont="1" applyFill="1" applyBorder="1" applyAlignment="1">
      <alignment horizontal="center" vertical="center"/>
    </xf>
    <xf numFmtId="165" fontId="7" fillId="0" borderId="30" xfId="0" applyNumberFormat="1" applyFont="1" applyBorder="1" applyAlignment="1">
      <alignment horizontal="center" vertical="center"/>
    </xf>
    <xf numFmtId="165" fontId="2" fillId="30" borderId="0" xfId="0" applyNumberFormat="1" applyFont="1" applyFill="1" applyAlignment="1">
      <alignment horizontal="left" vertical="center"/>
    </xf>
    <xf numFmtId="165" fontId="2" fillId="30"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1" borderId="2" xfId="0" applyNumberFormat="1" applyFont="1" applyFill="1" applyBorder="1" applyAlignment="1">
      <alignment horizontal="center" vertical="center"/>
    </xf>
    <xf numFmtId="187" fontId="9" fillId="0" borderId="0" xfId="10" applyNumberFormat="1" applyFont="1">
      <alignment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165" fontId="7" fillId="9" borderId="27" xfId="0" applyNumberFormat="1" applyFont="1" applyFill="1" applyBorder="1" applyAlignment="1">
      <alignment horizontal="left" vertical="center" indent="2"/>
    </xf>
    <xf numFmtId="0" fontId="9" fillId="0" borderId="0" xfId="0" applyFont="1" applyAlignment="1">
      <alignment horizontal="left" indent="2"/>
    </xf>
    <xf numFmtId="165" fontId="7" fillId="20" borderId="2" xfId="0" applyNumberFormat="1" applyFont="1" applyFill="1" applyBorder="1" applyAlignment="1">
      <alignment horizontal="left" vertical="center" indent="1"/>
    </xf>
    <xf numFmtId="165" fontId="7" fillId="0" borderId="2" xfId="0" applyNumberFormat="1" applyFont="1" applyBorder="1" applyAlignment="1">
      <alignment horizontal="left" vertical="center" indent="1"/>
    </xf>
    <xf numFmtId="165" fontId="7" fillId="31" borderId="2" xfId="0" applyNumberFormat="1" applyFont="1" applyFill="1" applyBorder="1" applyAlignment="1">
      <alignment horizontal="left" vertical="center" indent="1"/>
    </xf>
    <xf numFmtId="165" fontId="7" fillId="0" borderId="0" xfId="0" applyNumberFormat="1" applyFont="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0" fontId="30" fillId="0" borderId="0" xfId="0" applyFont="1" applyAlignment="1">
      <alignment horizontal="center"/>
    </xf>
    <xf numFmtId="0" fontId="78" fillId="0" borderId="0" xfId="0" applyFont="1" applyAlignment="1">
      <alignment horizontal="center"/>
    </xf>
    <xf numFmtId="0" fontId="79" fillId="30" borderId="0" xfId="0" applyFont="1" applyFill="1"/>
    <xf numFmtId="0" fontId="79" fillId="30" borderId="0" xfId="0" applyFont="1" applyFill="1" applyAlignment="1">
      <alignment horizontal="center"/>
    </xf>
    <xf numFmtId="0" fontId="36" fillId="30" borderId="0" xfId="0" applyFont="1" applyFill="1"/>
    <xf numFmtId="165" fontId="5" fillId="0" borderId="2" xfId="6" applyNumberFormat="1" applyFill="1" applyBorder="1" applyAlignment="1">
      <alignment horizontal="center" vertical="center"/>
    </xf>
    <xf numFmtId="0" fontId="17" fillId="32" borderId="0" xfId="3" applyFont="1" applyFill="1" applyAlignment="1">
      <alignment vertical="center"/>
    </xf>
    <xf numFmtId="0" fontId="17" fillId="32" borderId="0" xfId="3" applyFont="1" applyFill="1" applyAlignment="1">
      <alignment vertical="center" wrapText="1"/>
    </xf>
    <xf numFmtId="172" fontId="17" fillId="32" borderId="0" xfId="3" applyNumberFormat="1" applyFont="1" applyFill="1" applyAlignment="1">
      <alignment horizontal="center" vertical="center" wrapText="1"/>
    </xf>
    <xf numFmtId="0" fontId="17" fillId="32" borderId="0" xfId="3" applyFont="1" applyFill="1" applyAlignment="1">
      <alignment horizontal="center" vertical="center" wrapText="1"/>
    </xf>
    <xf numFmtId="0" fontId="16" fillId="13" borderId="0" xfId="3" applyFont="1" applyFill="1"/>
    <xf numFmtId="14" fontId="16" fillId="13" borderId="0" xfId="3" applyNumberFormat="1" applyFont="1" applyFill="1"/>
    <xf numFmtId="172" fontId="16" fillId="13" borderId="0" xfId="3" applyNumberFormat="1" applyFont="1" applyFill="1" applyAlignment="1">
      <alignment horizontal="center"/>
    </xf>
    <xf numFmtId="165" fontId="16" fillId="13" borderId="0" xfId="4" applyNumberFormat="1" applyFont="1" applyFill="1" applyAlignment="1">
      <alignment horizontal="center"/>
    </xf>
    <xf numFmtId="167" fontId="16" fillId="13" borderId="0" xfId="4" applyNumberFormat="1" applyFont="1" applyFill="1" applyAlignment="1">
      <alignment horizontal="center"/>
    </xf>
    <xf numFmtId="0" fontId="16" fillId="13" borderId="0" xfId="3" applyFont="1" applyFill="1" applyAlignment="1">
      <alignment horizontal="center"/>
    </xf>
    <xf numFmtId="193" fontId="16" fillId="13" borderId="0" xfId="4" applyNumberFormat="1" applyFont="1" applyFill="1" applyAlignment="1">
      <alignment horizontal="center"/>
    </xf>
    <xf numFmtId="3" fontId="16" fillId="13" borderId="0" xfId="3" applyNumberFormat="1" applyFont="1" applyFill="1" applyAlignment="1">
      <alignment horizontal="center"/>
    </xf>
    <xf numFmtId="175" fontId="16" fillId="13" borderId="0" xfId="4" applyNumberFormat="1" applyFont="1" applyFill="1" applyAlignment="1">
      <alignment horizontal="center"/>
    </xf>
    <xf numFmtId="174" fontId="16" fillId="13" borderId="0" xfId="4" applyNumberFormat="1" applyFont="1" applyFill="1" applyAlignment="1">
      <alignment horizontal="center"/>
    </xf>
    <xf numFmtId="171" fontId="16" fillId="13" borderId="0" xfId="4" applyNumberFormat="1" applyFont="1" applyFill="1" applyAlignment="1">
      <alignment horizontal="center"/>
    </xf>
    <xf numFmtId="191" fontId="16" fillId="13" borderId="0" xfId="4" applyNumberFormat="1" applyFont="1" applyFill="1" applyAlignment="1">
      <alignment horizontal="center"/>
    </xf>
    <xf numFmtId="0" fontId="16" fillId="19" borderId="0" xfId="3" applyFont="1" applyFill="1"/>
    <xf numFmtId="14" fontId="16" fillId="19" borderId="0" xfId="3" applyNumberFormat="1" applyFont="1" applyFill="1"/>
    <xf numFmtId="172" fontId="16" fillId="19" borderId="0" xfId="3" applyNumberFormat="1" applyFont="1" applyFill="1" applyAlignment="1">
      <alignment horizontal="center"/>
    </xf>
    <xf numFmtId="165" fontId="16" fillId="19" borderId="0" xfId="4" applyNumberFormat="1" applyFont="1" applyFill="1" applyAlignment="1">
      <alignment horizontal="center"/>
    </xf>
    <xf numFmtId="167" fontId="16" fillId="19" borderId="0" xfId="4" applyNumberFormat="1" applyFont="1" applyFill="1" applyAlignment="1">
      <alignment horizontal="center"/>
    </xf>
    <xf numFmtId="0" fontId="16" fillId="19" borderId="0" xfId="3" applyFont="1" applyFill="1" applyAlignment="1">
      <alignment horizontal="center"/>
    </xf>
    <xf numFmtId="193" fontId="16" fillId="19" borderId="0" xfId="4" applyNumberFormat="1" applyFont="1" applyFill="1" applyAlignment="1">
      <alignment horizontal="center"/>
    </xf>
    <xf numFmtId="3" fontId="16" fillId="19" borderId="0" xfId="3" applyNumberFormat="1" applyFont="1" applyFill="1" applyAlignment="1">
      <alignment horizontal="center"/>
    </xf>
    <xf numFmtId="0" fontId="17" fillId="21" borderId="0" xfId="3" applyFont="1" applyFill="1" applyAlignment="1">
      <alignment vertical="center" wrapText="1"/>
    </xf>
    <xf numFmtId="172" fontId="17" fillId="21" borderId="0" xfId="3" applyNumberFormat="1" applyFont="1" applyFill="1" applyAlignment="1">
      <alignment horizontal="center" vertical="center" wrapText="1"/>
    </xf>
    <xf numFmtId="0" fontId="17" fillId="21" borderId="0" xfId="3" applyFont="1" applyFill="1" applyAlignment="1">
      <alignment horizontal="center" vertical="center" wrapText="1"/>
    </xf>
    <xf numFmtId="14" fontId="16" fillId="13" borderId="0" xfId="3" applyNumberFormat="1" applyFont="1" applyFill="1" applyAlignment="1">
      <alignment horizontal="center"/>
    </xf>
    <xf numFmtId="176" fontId="16" fillId="13" borderId="0" xfId="3" applyNumberFormat="1" applyFont="1" applyFill="1" applyAlignment="1">
      <alignment horizontal="center"/>
    </xf>
    <xf numFmtId="177" fontId="16" fillId="13" borderId="0" xfId="3" applyNumberFormat="1" applyFont="1" applyFill="1" applyAlignment="1">
      <alignment horizontal="center"/>
    </xf>
    <xf numFmtId="188" fontId="16" fillId="13" borderId="0" xfId="3" applyNumberFormat="1" applyFont="1" applyFill="1" applyAlignment="1">
      <alignment horizontal="center"/>
    </xf>
    <xf numFmtId="171" fontId="16" fillId="19" borderId="0" xfId="4" applyNumberFormat="1" applyFont="1" applyFill="1" applyAlignment="1">
      <alignment horizontal="center"/>
    </xf>
    <xf numFmtId="171" fontId="16" fillId="19" borderId="0" xfId="3" applyNumberFormat="1" applyFont="1" applyFill="1" applyAlignment="1">
      <alignment horizontal="center"/>
    </xf>
    <xf numFmtId="165" fontId="7" fillId="9" borderId="2" xfId="0" applyNumberFormat="1" applyFont="1" applyFill="1" applyBorder="1" applyAlignment="1">
      <alignment horizontal="left" vertical="center"/>
    </xf>
    <xf numFmtId="165" fontId="6" fillId="9" borderId="2" xfId="0" applyNumberFormat="1" applyFont="1" applyFill="1" applyBorder="1" applyAlignment="1">
      <alignment horizontal="left" vertical="center"/>
    </xf>
    <xf numFmtId="165"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9" fontId="24" fillId="9" borderId="2" xfId="1" applyNumberFormat="1" applyFont="1" applyFill="1" applyBorder="1" applyAlignment="1">
      <alignment horizontal="center" vertical="center"/>
    </xf>
    <xf numFmtId="171" fontId="6" fillId="9" borderId="2" xfId="0" applyNumberFormat="1" applyFont="1" applyFill="1" applyBorder="1" applyAlignment="1">
      <alignment horizontal="center" vertical="center"/>
    </xf>
    <xf numFmtId="170" fontId="6" fillId="9" borderId="2" xfId="0" applyNumberFormat="1" applyFont="1" applyFill="1" applyBorder="1" applyAlignment="1">
      <alignment horizontal="center" vertical="center"/>
    </xf>
    <xf numFmtId="165" fontId="24" fillId="9" borderId="2" xfId="0" applyNumberFormat="1" applyFont="1" applyFill="1" applyBorder="1" applyAlignment="1">
      <alignment horizontal="center" vertical="center"/>
    </xf>
    <xf numFmtId="165" fontId="13" fillId="9" borderId="2" xfId="0" applyNumberFormat="1" applyFont="1" applyFill="1" applyBorder="1" applyAlignment="1">
      <alignment horizontal="center" vertical="center"/>
    </xf>
    <xf numFmtId="169" fontId="2" fillId="30" borderId="0" xfId="1" applyNumberFormat="1" applyFont="1" applyFill="1" applyBorder="1" applyAlignment="1">
      <alignment horizontal="center" vertical="center"/>
    </xf>
    <xf numFmtId="171" fontId="2" fillId="30" borderId="0" xfId="0" applyNumberFormat="1" applyFont="1" applyFill="1" applyAlignment="1">
      <alignment horizontal="center" vertical="center"/>
    </xf>
    <xf numFmtId="170" fontId="2" fillId="30" borderId="0" xfId="0" applyNumberFormat="1" applyFont="1" applyFill="1" applyAlignment="1">
      <alignment horizontal="center" vertical="center"/>
    </xf>
    <xf numFmtId="0" fontId="27" fillId="9" borderId="0" xfId="0" applyFont="1" applyFill="1"/>
    <xf numFmtId="165" fontId="6" fillId="9" borderId="0" xfId="0" applyNumberFormat="1" applyFont="1" applyFill="1" applyAlignment="1">
      <alignment horizontal="left" vertical="center"/>
    </xf>
    <xf numFmtId="3" fontId="42" fillId="9" borderId="0" xfId="0" applyNumberFormat="1" applyFont="1" applyFill="1" applyAlignment="1">
      <alignment horizontal="center"/>
    </xf>
    <xf numFmtId="165" fontId="80" fillId="30" borderId="2" xfId="0" applyNumberFormat="1" applyFont="1" applyFill="1" applyBorder="1" applyAlignment="1">
      <alignment horizontal="left" vertical="center"/>
    </xf>
    <xf numFmtId="0" fontId="11" fillId="24" borderId="26" xfId="0" applyFont="1" applyFill="1" applyBorder="1"/>
    <xf numFmtId="0" fontId="11" fillId="24" borderId="11" xfId="0" applyFont="1" applyFill="1" applyBorder="1"/>
    <xf numFmtId="0" fontId="11" fillId="24" borderId="27" xfId="0" applyFont="1" applyFill="1" applyBorder="1" applyAlignment="1">
      <alignment horizontal="center"/>
    </xf>
    <xf numFmtId="0" fontId="11" fillId="17" borderId="32" xfId="0" applyFont="1" applyFill="1" applyBorder="1"/>
    <xf numFmtId="15" fontId="11" fillId="17" borderId="32" xfId="0" applyNumberFormat="1" applyFont="1" applyFill="1" applyBorder="1"/>
    <xf numFmtId="196" fontId="9" fillId="0" borderId="7" xfId="10" applyNumberFormat="1" applyFont="1" applyBorder="1" applyAlignment="1">
      <alignment horizontal="center" vertical="center"/>
    </xf>
    <xf numFmtId="9" fontId="9" fillId="0" borderId="4" xfId="12" applyFont="1" applyFill="1" applyBorder="1">
      <alignment vertical="center"/>
    </xf>
    <xf numFmtId="0" fontId="9" fillId="0" borderId="10" xfId="10" applyFont="1" applyBorder="1">
      <alignment vertical="center"/>
    </xf>
    <xf numFmtId="0" fontId="82" fillId="0" borderId="36" xfId="0" applyFont="1" applyBorder="1" applyAlignment="1">
      <alignment horizontal="left" indent="1"/>
    </xf>
    <xf numFmtId="0" fontId="82" fillId="0" borderId="8" xfId="0" applyFont="1" applyBorder="1" applyAlignment="1">
      <alignment horizontal="center" wrapText="1"/>
    </xf>
    <xf numFmtId="0" fontId="82" fillId="0" borderId="37" xfId="0" applyFont="1" applyBorder="1" applyAlignment="1">
      <alignment horizontal="center" wrapText="1"/>
    </xf>
    <xf numFmtId="0" fontId="82" fillId="0" borderId="7" xfId="0" applyFont="1" applyBorder="1" applyAlignment="1">
      <alignment horizontal="center" wrapText="1"/>
    </xf>
    <xf numFmtId="0" fontId="82" fillId="0" borderId="16" xfId="0" applyFont="1" applyBorder="1" applyAlignment="1">
      <alignment horizontal="center"/>
    </xf>
    <xf numFmtId="0" fontId="82" fillId="0" borderId="17" xfId="0" applyFont="1" applyBorder="1" applyAlignment="1">
      <alignment horizontal="center"/>
    </xf>
    <xf numFmtId="0" fontId="82" fillId="0" borderId="35" xfId="0" applyFont="1" applyBorder="1" applyAlignment="1">
      <alignment horizontal="center"/>
    </xf>
    <xf numFmtId="0" fontId="82" fillId="0" borderId="8" xfId="0" applyFont="1" applyBorder="1" applyAlignment="1">
      <alignment horizontal="center"/>
    </xf>
    <xf numFmtId="0" fontId="0" fillId="0" borderId="36" xfId="0" applyBorder="1" applyAlignment="1">
      <alignment horizontal="left" indent="1"/>
    </xf>
    <xf numFmtId="0" fontId="0" fillId="0" borderId="8" xfId="0" applyBorder="1" applyAlignment="1">
      <alignment horizontal="center" wrapText="1"/>
    </xf>
    <xf numFmtId="197" fontId="0" fillId="0" borderId="37" xfId="0" applyNumberFormat="1" applyBorder="1" applyAlignment="1">
      <alignment horizontal="center" wrapText="1"/>
    </xf>
    <xf numFmtId="0" fontId="0" fillId="0" borderId="7" xfId="0" applyBorder="1" applyAlignment="1">
      <alignment horizontal="center" wrapText="1"/>
    </xf>
    <xf numFmtId="0" fontId="0" fillId="0" borderId="16" xfId="0" applyBorder="1" applyAlignment="1">
      <alignment horizontal="center"/>
    </xf>
    <xf numFmtId="0" fontId="0" fillId="0" borderId="17" xfId="0" applyBorder="1" applyAlignment="1">
      <alignment horizontal="center"/>
    </xf>
    <xf numFmtId="0" fontId="0" fillId="0" borderId="35" xfId="0" applyBorder="1" applyAlignment="1">
      <alignment horizontal="center"/>
    </xf>
    <xf numFmtId="198" fontId="0" fillId="0" borderId="35" xfId="0" applyNumberFormat="1" applyBorder="1" applyAlignment="1">
      <alignment horizontal="center"/>
    </xf>
    <xf numFmtId="0" fontId="0" fillId="0" borderId="8" xfId="0" applyBorder="1" applyAlignment="1">
      <alignment horizontal="center"/>
    </xf>
    <xf numFmtId="2" fontId="0" fillId="0" borderId="8" xfId="0" applyNumberFormat="1" applyBorder="1" applyAlignment="1">
      <alignment horizontal="center" wrapText="1"/>
    </xf>
    <xf numFmtId="2" fontId="0" fillId="0" borderId="35" xfId="0" applyNumberFormat="1" applyBorder="1" applyAlignment="1">
      <alignment horizontal="center"/>
    </xf>
    <xf numFmtId="2" fontId="0" fillId="0" borderId="8" xfId="0" applyNumberFormat="1" applyBorder="1" applyAlignment="1">
      <alignment horizontal="center"/>
    </xf>
    <xf numFmtId="0" fontId="0" fillId="24" borderId="7" xfId="0" applyFill="1" applyBorder="1" applyAlignment="1">
      <alignment horizontal="center" wrapText="1"/>
    </xf>
    <xf numFmtId="0" fontId="0" fillId="24" borderId="16" xfId="0" applyFill="1" applyBorder="1" applyAlignment="1">
      <alignment horizontal="center"/>
    </xf>
    <xf numFmtId="0" fontId="0" fillId="0" borderId="38" xfId="0" applyBorder="1" applyAlignment="1">
      <alignment horizontal="left" indent="1"/>
    </xf>
    <xf numFmtId="197" fontId="0" fillId="0" borderId="21" xfId="0" applyNumberFormat="1" applyBorder="1" applyAlignment="1">
      <alignment horizontal="center" wrapText="1"/>
    </xf>
    <xf numFmtId="0" fontId="0" fillId="0" borderId="39" xfId="0"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198" fontId="0" fillId="0" borderId="41" xfId="0" applyNumberFormat="1" applyBorder="1" applyAlignment="1">
      <alignment horizontal="center"/>
    </xf>
    <xf numFmtId="0" fontId="0" fillId="0" borderId="10" xfId="0" applyBorder="1" applyAlignment="1">
      <alignment horizontal="center"/>
    </xf>
    <xf numFmtId="0" fontId="82" fillId="0" borderId="0" xfId="0" applyFont="1" applyAlignment="1">
      <alignment horizontal="center" wrapText="1"/>
    </xf>
    <xf numFmtId="197" fontId="0" fillId="0" borderId="0" xfId="0" applyNumberFormat="1" applyAlignment="1">
      <alignment horizontal="center" wrapText="1"/>
    </xf>
    <xf numFmtId="197" fontId="0" fillId="0" borderId="4" xfId="0" applyNumberFormat="1" applyBorder="1" applyAlignment="1">
      <alignment horizontal="center" wrapText="1"/>
    </xf>
    <xf numFmtId="0" fontId="0" fillId="0" borderId="10" xfId="0" applyBorder="1" applyAlignment="1">
      <alignment horizontal="center" wrapText="1"/>
    </xf>
    <xf numFmtId="2" fontId="0" fillId="0" borderId="9" xfId="0" applyNumberFormat="1" applyBorder="1" applyAlignment="1">
      <alignment horizontal="center" wrapText="1"/>
    </xf>
    <xf numFmtId="165" fontId="7" fillId="33" borderId="31" xfId="0" applyNumberFormat="1" applyFont="1" applyFill="1" applyBorder="1" applyAlignment="1">
      <alignment horizontal="center" vertical="center"/>
    </xf>
    <xf numFmtId="0" fontId="0" fillId="19" borderId="14" xfId="0" applyFill="1" applyBorder="1"/>
    <xf numFmtId="0" fontId="0" fillId="19" borderId="1" xfId="0" applyFill="1" applyBorder="1" applyAlignment="1">
      <alignment horizontal="center" wrapText="1"/>
    </xf>
    <xf numFmtId="0" fontId="0" fillId="19" borderId="1" xfId="0" applyFill="1" applyBorder="1" applyAlignment="1">
      <alignment horizontal="center"/>
    </xf>
    <xf numFmtId="0" fontId="0" fillId="19" borderId="1" xfId="0" applyFill="1" applyBorder="1"/>
    <xf numFmtId="0" fontId="0" fillId="19" borderId="15" xfId="0" applyFill="1" applyBorder="1" applyAlignment="1">
      <alignment horizontal="center"/>
    </xf>
    <xf numFmtId="0" fontId="60" fillId="25" borderId="44" xfId="0" applyFont="1" applyFill="1" applyBorder="1" applyAlignment="1">
      <alignment horizontal="left" vertical="center" indent="1"/>
    </xf>
    <xf numFmtId="0" fontId="60" fillId="25" borderId="45" xfId="0" applyFont="1" applyFill="1" applyBorder="1" applyAlignment="1">
      <alignment horizontal="center" vertical="center" wrapText="1"/>
    </xf>
    <xf numFmtId="0" fontId="60" fillId="25" borderId="46" xfId="0" applyFont="1" applyFill="1" applyBorder="1" applyAlignment="1">
      <alignment horizontal="center" vertical="center" wrapText="1"/>
    </xf>
    <xf numFmtId="0" fontId="60" fillId="25" borderId="43" xfId="0" applyFont="1" applyFill="1" applyBorder="1" applyAlignment="1">
      <alignment horizontal="center" vertical="center" wrapText="1"/>
    </xf>
    <xf numFmtId="0" fontId="60" fillId="19" borderId="47" xfId="0" applyFont="1" applyFill="1" applyBorder="1" applyAlignment="1">
      <alignment horizontal="center" vertical="center" wrapText="1"/>
    </xf>
    <xf numFmtId="0" fontId="60" fillId="19" borderId="48" xfId="0" applyFont="1" applyFill="1" applyBorder="1" applyAlignment="1">
      <alignment horizontal="center" vertical="center"/>
    </xf>
    <xf numFmtId="0" fontId="60" fillId="19" borderId="49" xfId="0" applyFont="1" applyFill="1" applyBorder="1" applyAlignment="1">
      <alignment horizontal="center" vertical="center"/>
    </xf>
    <xf numFmtId="0" fontId="60" fillId="19" borderId="50" xfId="0" applyFont="1" applyFill="1" applyBorder="1" applyAlignment="1">
      <alignment horizontal="center" vertical="center"/>
    </xf>
    <xf numFmtId="0" fontId="60" fillId="19" borderId="46" xfId="0" applyFont="1" applyFill="1" applyBorder="1" applyAlignment="1">
      <alignment horizontal="center" vertical="center"/>
    </xf>
    <xf numFmtId="0" fontId="11" fillId="35" borderId="0" xfId="0" applyFont="1" applyFill="1"/>
    <xf numFmtId="0" fontId="11" fillId="35" borderId="0" xfId="0" applyFont="1" applyFill="1" applyAlignment="1">
      <alignment horizontal="center"/>
    </xf>
    <xf numFmtId="165" fontId="7" fillId="33" borderId="2" xfId="0" applyNumberFormat="1" applyFont="1" applyFill="1" applyBorder="1" applyAlignment="1">
      <alignment horizontal="left" vertical="center"/>
    </xf>
    <xf numFmtId="165" fontId="6" fillId="33" borderId="2" xfId="0" applyNumberFormat="1" applyFont="1" applyFill="1" applyBorder="1" applyAlignment="1">
      <alignment horizontal="center" vertical="center"/>
    </xf>
    <xf numFmtId="1" fontId="6" fillId="33" borderId="2" xfId="2" applyNumberFormat="1" applyFont="1" applyFill="1" applyBorder="1" applyAlignment="1">
      <alignment horizontal="center" vertical="center"/>
    </xf>
    <xf numFmtId="171" fontId="6" fillId="33" borderId="2" xfId="0" applyNumberFormat="1" applyFont="1" applyFill="1" applyBorder="1" applyAlignment="1">
      <alignment horizontal="center" vertical="center"/>
    </xf>
    <xf numFmtId="170" fontId="6" fillId="33" borderId="2" xfId="0" applyNumberFormat="1" applyFont="1" applyFill="1" applyBorder="1" applyAlignment="1">
      <alignment horizontal="center" vertical="center"/>
    </xf>
    <xf numFmtId="165" fontId="57" fillId="0" borderId="0" xfId="0" applyNumberFormat="1" applyFont="1" applyAlignment="1">
      <alignment horizontal="center" vertical="center"/>
    </xf>
    <xf numFmtId="169" fontId="6" fillId="0" borderId="0" xfId="0" applyNumberFormat="1" applyFont="1" applyAlignment="1">
      <alignment horizontal="center" vertical="center"/>
    </xf>
    <xf numFmtId="165" fontId="6" fillId="19" borderId="0" xfId="0" applyNumberFormat="1" applyFont="1" applyFill="1" applyAlignment="1">
      <alignment horizontal="center" vertical="center"/>
    </xf>
    <xf numFmtId="165" fontId="6" fillId="19" borderId="0" xfId="0" applyNumberFormat="1" applyFont="1" applyFill="1" applyAlignment="1">
      <alignment horizontal="center" vertical="center" wrapText="1"/>
    </xf>
    <xf numFmtId="165" fontId="58" fillId="0" borderId="0" xfId="6" applyNumberFormat="1" applyFont="1" applyFill="1" applyBorder="1" applyAlignment="1">
      <alignment horizontal="center" vertical="center"/>
    </xf>
    <xf numFmtId="165" fontId="2" fillId="22" borderId="0" xfId="0" applyNumberFormat="1" applyFont="1" applyFill="1" applyAlignment="1">
      <alignment horizontal="left" vertical="center" indent="1"/>
    </xf>
    <xf numFmtId="0" fontId="27" fillId="0" borderId="0" xfId="0" applyFont="1" applyAlignment="1">
      <alignment horizontal="left" indent="1"/>
    </xf>
    <xf numFmtId="0" fontId="9" fillId="0" borderId="0" xfId="0" applyFont="1" applyAlignment="1">
      <alignment horizontal="left" indent="1"/>
    </xf>
    <xf numFmtId="199" fontId="9" fillId="0" borderId="0" xfId="0" applyNumberFormat="1" applyFont="1"/>
    <xf numFmtId="4" fontId="11" fillId="0" borderId="0" xfId="0" applyNumberFormat="1" applyFont="1" applyAlignment="1">
      <alignment horizontal="center"/>
    </xf>
    <xf numFmtId="0" fontId="24" fillId="0" borderId="0" xfId="0" applyFont="1" applyAlignment="1">
      <alignment horizontal="left" vertical="center" wrapText="1"/>
    </xf>
    <xf numFmtId="0" fontId="24" fillId="19" borderId="0" xfId="0" applyFont="1" applyFill="1" applyAlignment="1">
      <alignment horizontal="left" vertical="center" wrapText="1"/>
    </xf>
    <xf numFmtId="0" fontId="82" fillId="21" borderId="33" xfId="0" applyFont="1" applyFill="1" applyBorder="1" applyAlignment="1">
      <alignment horizontal="center" vertical="center" wrapText="1"/>
    </xf>
    <xf numFmtId="0" fontId="82" fillId="21" borderId="34" xfId="0" applyFont="1" applyFill="1" applyBorder="1" applyAlignment="1">
      <alignment horizontal="center" vertical="center" wrapText="1"/>
    </xf>
    <xf numFmtId="0" fontId="82" fillId="21" borderId="42" xfId="0" applyFont="1" applyFill="1" applyBorder="1" applyAlignment="1">
      <alignment horizontal="center" vertical="center" wrapText="1"/>
    </xf>
    <xf numFmtId="0" fontId="82" fillId="34" borderId="33" xfId="0" applyFont="1" applyFill="1" applyBorder="1" applyAlignment="1">
      <alignment horizontal="center" vertical="center"/>
    </xf>
    <xf numFmtId="0" fontId="82" fillId="34" borderId="34" xfId="0" applyFont="1" applyFill="1" applyBorder="1" applyAlignment="1">
      <alignment horizontal="center" vertical="center"/>
    </xf>
    <xf numFmtId="0" fontId="82" fillId="34" borderId="42" xfId="0" applyFont="1" applyFill="1" applyBorder="1" applyAlignment="1">
      <alignment horizontal="center" vertical="center"/>
    </xf>
    <xf numFmtId="0" fontId="2" fillId="2" borderId="0" xfId="0" applyFont="1" applyFill="1" applyAlignment="1">
      <alignment horizontal="center" vertical="center" wrapText="1"/>
    </xf>
  </cellXfs>
  <cellStyles count="14">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Percent" xfId="1" builtinId="5"/>
    <cellStyle name="Percent 2" xfId="12" xr:uid="{00000000-0005-0000-0000-00003A000000}"/>
  </cellStyles>
  <dxfs count="0"/>
  <tableStyles count="0" defaultTableStyle="TableStyleMedium2" defaultPivotStyle="PivotStyleLight16"/>
  <colors>
    <mruColors>
      <color rgb="FFF8483A"/>
      <color rgb="FF0000FF"/>
      <color rgb="FFCCFFCC"/>
      <color rgb="FF0000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cowper/AppData/Local/Microsoft/Windows/INetCache/Content.Outlook/CXOJLCLH/2020%20Depreciation%20Budget%20v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ucy.malkin/AppData/Local/Microsoft/Windows/INetCache/Content.Outlook/W41H5SDE/FLYR%20-%20Detailed%20Bridge%20Financing%20Pro%20Forma%20Cap%20Tabl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Divyesh.mahajan\Desktop\0.%20Portfolio%20Management%20-%20Monthly\1.%20Main%20(monthly%20report)\16.%2030%20Apr%2024\1.%20Portfolio%20Summary%20Apr24%20%20v1.0.xlsx" TargetMode="External"/><Relationship Id="rId1" Type="http://schemas.openxmlformats.org/officeDocument/2006/relationships/externalLinkPath" Target="/Users/Divyesh.mahajan/Desktop/0.%20Portfolio%20Management%20-%20Monthly/1.%20Main%20(monthly%20report)/16.%2030%20Apr%2024/1.%20Portfolio%20Summary%20Apr24%20%20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Additions"/>
      <sheetName val="ONT"/>
      <sheetName val="OXUS"/>
      <sheetName val="OXGF"/>
      <sheetName val="OXSG"/>
      <sheetName val="UEL"/>
      <sheetName val="Output"/>
      <sheetName val="Capex"/>
      <sheetName val="Summary"/>
    </sheetNames>
    <sheetDataSet>
      <sheetData sheetId="0" refreshError="1"/>
      <sheetData sheetId="1"/>
      <sheetData sheetId="2">
        <row r="2">
          <cell r="N2">
            <v>43739</v>
          </cell>
          <cell r="O2">
            <v>43770</v>
          </cell>
          <cell r="P2">
            <v>43800</v>
          </cell>
          <cell r="Q2">
            <v>43831</v>
          </cell>
          <cell r="R2">
            <v>43862</v>
          </cell>
          <cell r="S2">
            <v>43891</v>
          </cell>
          <cell r="T2">
            <v>43922</v>
          </cell>
          <cell r="U2">
            <v>43952</v>
          </cell>
          <cell r="V2">
            <v>43983</v>
          </cell>
          <cell r="W2">
            <v>44013</v>
          </cell>
          <cell r="X2">
            <v>44044</v>
          </cell>
          <cell r="Y2">
            <v>44075</v>
          </cell>
          <cell r="Z2">
            <v>44105</v>
          </cell>
          <cell r="AA2">
            <v>44136</v>
          </cell>
          <cell r="AB2">
            <v>44166</v>
          </cell>
          <cell r="AC2">
            <v>44197</v>
          </cell>
          <cell r="AD2">
            <v>44228</v>
          </cell>
          <cell r="AE2">
            <v>44256</v>
          </cell>
          <cell r="AF2">
            <v>44287</v>
          </cell>
          <cell r="AG2">
            <v>44317</v>
          </cell>
          <cell r="AH2">
            <v>44348</v>
          </cell>
          <cell r="AI2">
            <v>44378</v>
          </cell>
          <cell r="AJ2">
            <v>44409</v>
          </cell>
          <cell r="AK2">
            <v>44440</v>
          </cell>
          <cell r="AL2">
            <v>44470</v>
          </cell>
          <cell r="AM2">
            <v>44501</v>
          </cell>
          <cell r="AN2">
            <v>44531</v>
          </cell>
        </row>
      </sheetData>
      <sheetData sheetId="3"/>
      <sheetData sheetId="4"/>
      <sheetData sheetId="5"/>
      <sheetData sheetId="6">
        <row r="3">
          <cell r="B3" t="str">
            <v>BLDG</v>
          </cell>
        </row>
        <row r="4">
          <cell r="B4" t="str">
            <v>ELECT</v>
          </cell>
        </row>
        <row r="5">
          <cell r="B5" t="str">
            <v>LAND</v>
          </cell>
        </row>
        <row r="6">
          <cell r="B6" t="str">
            <v>LHI</v>
          </cell>
        </row>
        <row r="7">
          <cell r="B7" t="str">
            <v>REFURB</v>
          </cell>
        </row>
        <row r="8">
          <cell r="B8" t="str">
            <v>FURN</v>
          </cell>
        </row>
        <row r="9">
          <cell r="B9" t="str">
            <v>IT EQUIP</v>
          </cell>
        </row>
        <row r="10">
          <cell r="B10" t="str">
            <v>BLDG PLANT</v>
          </cell>
        </row>
        <row r="11">
          <cell r="B11" t="str">
            <v>IT PLANT 7</v>
          </cell>
        </row>
        <row r="12">
          <cell r="B12" t="str">
            <v>IT PLANT10</v>
          </cell>
        </row>
        <row r="13">
          <cell r="B13" t="str">
            <v>LAB EQUIP</v>
          </cell>
        </row>
        <row r="14">
          <cell r="B14" t="str">
            <v>PLANT ACQD</v>
          </cell>
        </row>
        <row r="15">
          <cell r="B15" t="str">
            <v>INTERNAL</v>
          </cell>
        </row>
        <row r="18">
          <cell r="B18" t="str">
            <v>ONT</v>
          </cell>
        </row>
        <row r="19">
          <cell r="B19" t="str">
            <v>OXUS</v>
          </cell>
        </row>
        <row r="20">
          <cell r="B20" t="str">
            <v>GF</v>
          </cell>
        </row>
      </sheetData>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Cap"/>
      <sheetName val="Pro Forma (2)"/>
    </sheetNames>
    <sheetDataSet>
      <sheetData sheetId="0">
        <row r="133">
          <cell r="T133">
            <v>43086515</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
      <sheetName val="S | 01 "/>
      <sheetName val="D S | 01"/>
      <sheetName val="S | 02"/>
      <sheetName val="S | 03"/>
      <sheetName val="NAV"/>
      <sheetName val="CF (Equity, Debt)"/>
      <sheetName val="CF (Funds)"/>
      <sheetName val="1. IRR Equity"/>
      <sheetName val="2. IRR Debt"/>
      <sheetName val="3. IRR Funds"/>
      <sheetName val="4.All"/>
      <sheetName val="5. Mozn-IRR"/>
      <sheetName val="5. G42 Investments-IRR"/>
      <sheetName val="5.Core42-IRR"/>
      <sheetName val="5.G42 Capital-IRR"/>
      <sheetName val="5. Glossary"/>
      <sheetName val="6. %"/>
      <sheetName val="7. Board"/>
      <sheetName val="8. Log"/>
      <sheetName val="5. CF Profile"/>
      <sheetName val="8. NewSpace"/>
      <sheetName val="1.1 Geo"/>
      <sheetName val="1.2 Attribution"/>
    </sheetNames>
    <sheetDataSet>
      <sheetData sheetId="0"/>
      <sheetData sheetId="1">
        <row r="9">
          <cell r="I9">
            <v>5.6999998161926343E-2</v>
          </cell>
          <cell r="J9">
            <v>65</v>
          </cell>
          <cell r="K9">
            <v>65</v>
          </cell>
          <cell r="L9">
            <v>0</v>
          </cell>
          <cell r="M9">
            <v>0</v>
          </cell>
          <cell r="N9">
            <v>0</v>
          </cell>
          <cell r="O9">
            <v>-65</v>
          </cell>
          <cell r="P9">
            <v>0</v>
          </cell>
          <cell r="R9" t="str">
            <v>In Liquidation</v>
          </cell>
        </row>
        <row r="10">
          <cell r="I10">
            <v>0.14000000235296001</v>
          </cell>
          <cell r="J10">
            <v>8</v>
          </cell>
          <cell r="K10">
            <v>8</v>
          </cell>
          <cell r="L10">
            <v>0</v>
          </cell>
          <cell r="M10">
            <v>0</v>
          </cell>
          <cell r="N10">
            <v>0</v>
          </cell>
          <cell r="O10">
            <v>-8</v>
          </cell>
          <cell r="P10">
            <v>0</v>
          </cell>
          <cell r="R10" t="str">
            <v>In Liquidation</v>
          </cell>
        </row>
        <row r="11">
          <cell r="I11">
            <v>8.5025484621212399E-2</v>
          </cell>
          <cell r="J11">
            <v>10</v>
          </cell>
          <cell r="K11">
            <v>10</v>
          </cell>
          <cell r="L11">
            <v>0</v>
          </cell>
          <cell r="M11">
            <v>0</v>
          </cell>
          <cell r="N11">
            <v>62.900000000000006</v>
          </cell>
          <cell r="O11">
            <v>52.900000000000006</v>
          </cell>
          <cell r="P11">
            <v>6.2900000000000009</v>
          </cell>
          <cell r="R11" t="str">
            <v>Flyr Warrantsa 2025 expiry</v>
          </cell>
        </row>
        <row r="12">
          <cell r="I12" t="str">
            <v>n/a</v>
          </cell>
          <cell r="J12">
            <v>2.5</v>
          </cell>
          <cell r="K12">
            <v>2.5</v>
          </cell>
          <cell r="L12">
            <v>0</v>
          </cell>
          <cell r="M12">
            <v>5</v>
          </cell>
          <cell r="N12">
            <v>0</v>
          </cell>
          <cell r="O12">
            <v>2.5</v>
          </cell>
          <cell r="P12">
            <v>2</v>
          </cell>
          <cell r="R12"/>
        </row>
        <row r="13">
          <cell r="I13">
            <v>9.4347728005070269E-2</v>
          </cell>
          <cell r="J13">
            <v>90</v>
          </cell>
          <cell r="K13">
            <v>90</v>
          </cell>
          <cell r="L13">
            <v>0</v>
          </cell>
          <cell r="M13">
            <v>0</v>
          </cell>
          <cell r="N13">
            <v>73.800000000000011</v>
          </cell>
          <cell r="O13">
            <v>-16.199999999999989</v>
          </cell>
          <cell r="P13">
            <v>0.82000000000000017</v>
          </cell>
          <cell r="R13"/>
        </row>
        <row r="14">
          <cell r="I14">
            <v>5.1651565402323088E-2</v>
          </cell>
          <cell r="J14">
            <v>141.4702596743665</v>
          </cell>
          <cell r="K14">
            <v>141.4702596743665</v>
          </cell>
          <cell r="L14">
            <v>0</v>
          </cell>
          <cell r="M14">
            <v>0</v>
          </cell>
          <cell r="N14">
            <v>54.340248933726599</v>
          </cell>
          <cell r="O14">
            <v>-87.130010740639904</v>
          </cell>
          <cell r="P14">
            <v>0.3841107598077923</v>
          </cell>
          <cell r="R14"/>
        </row>
        <row r="15">
          <cell r="I15">
            <v>0.14380000000000001</v>
          </cell>
          <cell r="J15">
            <v>60</v>
          </cell>
          <cell r="K15">
            <v>60</v>
          </cell>
          <cell r="L15">
            <v>0</v>
          </cell>
          <cell r="M15">
            <v>0</v>
          </cell>
          <cell r="N15">
            <v>149.39859152003655</v>
          </cell>
          <cell r="O15">
            <v>89.398591520036547</v>
          </cell>
          <cell r="P15">
            <v>2.4899765253339425</v>
          </cell>
          <cell r="R15"/>
        </row>
        <row r="16">
          <cell r="I16">
            <v>0.03</v>
          </cell>
          <cell r="J16">
            <v>20</v>
          </cell>
          <cell r="K16">
            <v>20</v>
          </cell>
          <cell r="L16">
            <v>0</v>
          </cell>
          <cell r="M16">
            <v>24.5</v>
          </cell>
          <cell r="N16">
            <v>0</v>
          </cell>
          <cell r="O16">
            <v>4.5</v>
          </cell>
          <cell r="P16">
            <v>1.2250000000000001</v>
          </cell>
          <cell r="R16"/>
        </row>
        <row r="17">
          <cell r="I17">
            <v>9.117206771726628E-3</v>
          </cell>
          <cell r="J17">
            <v>39.999983359999995</v>
          </cell>
          <cell r="K17">
            <v>39.999983359999995</v>
          </cell>
          <cell r="L17">
            <v>0</v>
          </cell>
          <cell r="M17">
            <v>0</v>
          </cell>
          <cell r="N17">
            <v>39.999983359999995</v>
          </cell>
          <cell r="O17">
            <v>0</v>
          </cell>
          <cell r="P17">
            <v>1</v>
          </cell>
          <cell r="R17"/>
        </row>
        <row r="18">
          <cell r="I18">
            <v>0.16080402010050251</v>
          </cell>
          <cell r="J18">
            <v>8</v>
          </cell>
          <cell r="K18">
            <v>8</v>
          </cell>
          <cell r="L18">
            <v>0</v>
          </cell>
          <cell r="M18">
            <v>0</v>
          </cell>
          <cell r="N18">
            <v>8</v>
          </cell>
          <cell r="O18">
            <v>0</v>
          </cell>
          <cell r="P18">
            <v>1</v>
          </cell>
          <cell r="R18"/>
        </row>
        <row r="19">
          <cell r="I19">
            <v>1.1489405791845828E-2</v>
          </cell>
          <cell r="J19">
            <v>5.0237201984774336</v>
          </cell>
          <cell r="K19">
            <v>5.0237201984774336</v>
          </cell>
          <cell r="L19">
            <v>0</v>
          </cell>
          <cell r="M19">
            <v>7.9421925299999989</v>
          </cell>
          <cell r="N19">
            <v>0</v>
          </cell>
          <cell r="O19">
            <v>2.9184723315225654</v>
          </cell>
          <cell r="P19">
            <v>1.5809384711368046</v>
          </cell>
          <cell r="R19"/>
        </row>
        <row r="20">
          <cell r="I20">
            <v>5.1000000000000004E-2</v>
          </cell>
          <cell r="J20">
            <v>493.50095619999996</v>
          </cell>
          <cell r="K20">
            <v>493.50095619999996</v>
          </cell>
          <cell r="L20">
            <v>0</v>
          </cell>
          <cell r="M20">
            <v>403</v>
          </cell>
          <cell r="N20">
            <v>0</v>
          </cell>
          <cell r="O20">
            <v>-90.500956199999962</v>
          </cell>
          <cell r="P20">
            <v>0.81661442584252486</v>
          </cell>
          <cell r="R20"/>
        </row>
        <row r="21">
          <cell r="I21">
            <v>0.11141913554582343</v>
          </cell>
          <cell r="J21">
            <v>300</v>
          </cell>
          <cell r="K21">
            <v>300</v>
          </cell>
          <cell r="L21">
            <v>0</v>
          </cell>
          <cell r="M21">
            <v>0</v>
          </cell>
          <cell r="N21">
            <v>204.6</v>
          </cell>
          <cell r="O21">
            <v>-95.4</v>
          </cell>
          <cell r="P21">
            <v>0.68199999999999994</v>
          </cell>
          <cell r="R21" t="str">
            <v>DN Warrants b</v>
          </cell>
        </row>
        <row r="22">
          <cell r="I22">
            <v>2.134358174658308E-3</v>
          </cell>
          <cell r="J22">
            <v>24.53125</v>
          </cell>
          <cell r="K22">
            <v>24.53125</v>
          </cell>
          <cell r="L22">
            <v>0</v>
          </cell>
          <cell r="M22">
            <v>0</v>
          </cell>
          <cell r="N22">
            <v>7.2444302999999994</v>
          </cell>
          <cell r="O22">
            <v>-17.286819700000002</v>
          </cell>
          <cell r="P22">
            <v>0.29531435617834395</v>
          </cell>
          <cell r="R22" t="str">
            <v>vTv $30m milestn payment c</v>
          </cell>
        </row>
        <row r="23">
          <cell r="I23">
            <v>1.8823528000000003E-2</v>
          </cell>
          <cell r="J23">
            <v>800</v>
          </cell>
          <cell r="K23">
            <v>800</v>
          </cell>
          <cell r="L23">
            <v>0</v>
          </cell>
          <cell r="M23">
            <v>802.8</v>
          </cell>
          <cell r="N23">
            <v>0</v>
          </cell>
          <cell r="O23">
            <v>2.7999999999999545</v>
          </cell>
          <cell r="P23">
            <v>1.0034999999999998</v>
          </cell>
          <cell r="R23"/>
        </row>
        <row r="24">
          <cell r="I24" t="str">
            <v>n/a</v>
          </cell>
          <cell r="J24">
            <v>15</v>
          </cell>
          <cell r="K24">
            <v>11.5</v>
          </cell>
          <cell r="L24">
            <v>3.5</v>
          </cell>
          <cell r="M24">
            <v>0</v>
          </cell>
          <cell r="N24">
            <v>11.5</v>
          </cell>
          <cell r="O24">
            <v>0</v>
          </cell>
          <cell r="P24">
            <v>1</v>
          </cell>
          <cell r="R24"/>
        </row>
        <row r="25">
          <cell r="I25">
            <v>2.7864956399278339E-2</v>
          </cell>
          <cell r="J25">
            <v>15</v>
          </cell>
          <cell r="K25">
            <v>15</v>
          </cell>
          <cell r="L25">
            <v>0</v>
          </cell>
          <cell r="M25">
            <v>0</v>
          </cell>
          <cell r="N25">
            <v>20.888121539999997</v>
          </cell>
          <cell r="O25">
            <v>5.8881215399999967</v>
          </cell>
          <cell r="P25">
            <v>1.3925414359999997</v>
          </cell>
          <cell r="R25"/>
        </row>
        <row r="26">
          <cell r="I26">
            <v>6.2621982517370271E-3</v>
          </cell>
          <cell r="J26">
            <v>14.999998939999999</v>
          </cell>
          <cell r="K26">
            <v>14.999998939999999</v>
          </cell>
          <cell r="L26">
            <v>0</v>
          </cell>
          <cell r="M26">
            <v>0</v>
          </cell>
          <cell r="N26">
            <v>14.999998939999999</v>
          </cell>
          <cell r="O26">
            <v>0</v>
          </cell>
          <cell r="P26">
            <v>1</v>
          </cell>
          <cell r="R26"/>
        </row>
        <row r="27">
          <cell r="I27">
            <v>6.2500000000000003E-3</v>
          </cell>
          <cell r="J27">
            <v>6.875E-3</v>
          </cell>
          <cell r="K27">
            <v>6.875E-3</v>
          </cell>
          <cell r="L27">
            <v>0</v>
          </cell>
          <cell r="M27">
            <v>0</v>
          </cell>
          <cell r="N27">
            <v>120.19230769230769</v>
          </cell>
          <cell r="O27">
            <v>120.1854326923077</v>
          </cell>
          <cell r="P27" t="str">
            <v>NM</v>
          </cell>
          <cell r="R27" t="str">
            <v>Crypto Tokensd</v>
          </cell>
        </row>
        <row r="28">
          <cell r="I28">
            <v>0.11483735948644427</v>
          </cell>
          <cell r="J28">
            <v>6</v>
          </cell>
          <cell r="K28">
            <v>6</v>
          </cell>
          <cell r="L28">
            <v>0</v>
          </cell>
          <cell r="M28">
            <v>0</v>
          </cell>
          <cell r="N28">
            <v>6</v>
          </cell>
          <cell r="O28">
            <v>0</v>
          </cell>
          <cell r="P28" t="str">
            <v>NM</v>
          </cell>
          <cell r="R28" t="str">
            <v>Optionse</v>
          </cell>
        </row>
        <row r="29">
          <cell r="I29">
            <v>0.25</v>
          </cell>
          <cell r="J29">
            <v>2.75</v>
          </cell>
          <cell r="K29">
            <v>2.5</v>
          </cell>
          <cell r="L29">
            <v>0.25</v>
          </cell>
          <cell r="M29">
            <v>0</v>
          </cell>
          <cell r="N29">
            <v>2.5</v>
          </cell>
          <cell r="O29">
            <v>0</v>
          </cell>
          <cell r="P29" t="str">
            <v>NM</v>
          </cell>
          <cell r="R29" t="str">
            <v>Cloud Creditg</v>
          </cell>
        </row>
        <row r="30">
          <cell r="I30" t="str">
            <v>n/a</v>
          </cell>
          <cell r="J30">
            <v>20</v>
          </cell>
          <cell r="K30">
            <v>20</v>
          </cell>
          <cell r="L30">
            <v>0</v>
          </cell>
          <cell r="M30">
            <v>0</v>
          </cell>
          <cell r="N30">
            <v>20</v>
          </cell>
          <cell r="O30">
            <v>0</v>
          </cell>
          <cell r="P30" t="str">
            <v>NM</v>
          </cell>
          <cell r="R30"/>
        </row>
        <row r="31">
          <cell r="I31"/>
          <cell r="J31"/>
          <cell r="K31"/>
          <cell r="L31"/>
          <cell r="M31"/>
          <cell r="N31"/>
          <cell r="O31"/>
          <cell r="P31"/>
          <cell r="R31"/>
        </row>
        <row r="32">
          <cell r="I32"/>
          <cell r="J32">
            <v>2141.7830433728436</v>
          </cell>
          <cell r="K32">
            <v>2138.0330433728436</v>
          </cell>
          <cell r="L32">
            <v>3.75</v>
          </cell>
          <cell r="M32">
            <v>1243.24219253</v>
          </cell>
          <cell r="N32">
            <v>796.36368228607091</v>
          </cell>
          <cell r="O32">
            <v>-98.427168556773097</v>
          </cell>
          <cell r="P32">
            <v>0.95396368224435879</v>
          </cell>
          <cell r="R32"/>
        </row>
        <row r="33">
          <cell r="I33"/>
          <cell r="J33"/>
          <cell r="K33"/>
          <cell r="L33"/>
          <cell r="M33"/>
          <cell r="N33"/>
          <cell r="O33"/>
          <cell r="P33"/>
          <cell r="R33"/>
        </row>
        <row r="34">
          <cell r="I34"/>
          <cell r="J34"/>
          <cell r="K34"/>
          <cell r="L34"/>
          <cell r="M34"/>
          <cell r="N34"/>
          <cell r="O34"/>
          <cell r="P34"/>
          <cell r="R34"/>
        </row>
        <row r="35">
          <cell r="I35" t="str">
            <v>n/a</v>
          </cell>
          <cell r="J35">
            <v>8</v>
          </cell>
          <cell r="K35">
            <v>8</v>
          </cell>
          <cell r="L35">
            <v>0</v>
          </cell>
          <cell r="M35">
            <v>0</v>
          </cell>
          <cell r="N35">
            <v>0</v>
          </cell>
          <cell r="O35">
            <v>-8</v>
          </cell>
          <cell r="P35">
            <v>0</v>
          </cell>
          <cell r="R35" t="str">
            <v>In Default</v>
          </cell>
        </row>
        <row r="36">
          <cell r="I36" t="str">
            <v>n/a</v>
          </cell>
          <cell r="J36">
            <v>2.3539819999999998</v>
          </cell>
          <cell r="K36">
            <v>2.3539819999999998</v>
          </cell>
          <cell r="L36">
            <v>0</v>
          </cell>
          <cell r="M36">
            <v>0</v>
          </cell>
          <cell r="N36">
            <v>0</v>
          </cell>
          <cell r="O36">
            <v>-2.3539819999999998</v>
          </cell>
          <cell r="P36">
            <v>0</v>
          </cell>
          <cell r="R36" t="str">
            <v>In Liquidation</v>
          </cell>
        </row>
        <row r="37">
          <cell r="I37" t="str">
            <v>n/a</v>
          </cell>
          <cell r="J37">
            <v>0.41176499999999999</v>
          </cell>
          <cell r="K37">
            <v>0.41176499999999999</v>
          </cell>
          <cell r="L37">
            <v>0</v>
          </cell>
          <cell r="M37">
            <v>0.47078465000000003</v>
          </cell>
          <cell r="N37">
            <v>0</v>
          </cell>
          <cell r="O37">
            <v>5.9019650000000035E-2</v>
          </cell>
          <cell r="P37">
            <v>1.1433333333333333</v>
          </cell>
          <cell r="R37"/>
        </row>
        <row r="38">
          <cell r="I38"/>
          <cell r="J38">
            <v>10.765747000000001</v>
          </cell>
          <cell r="K38">
            <v>10.765747000000001</v>
          </cell>
          <cell r="L38">
            <v>0</v>
          </cell>
          <cell r="M38">
            <v>0.47078465000000003</v>
          </cell>
          <cell r="N38">
            <v>0</v>
          </cell>
          <cell r="O38">
            <v>-10.29496235</v>
          </cell>
          <cell r="P38">
            <v>4.3729863798582673E-2</v>
          </cell>
          <cell r="R38"/>
        </row>
        <row r="39">
          <cell r="I39"/>
          <cell r="J39"/>
          <cell r="K39"/>
          <cell r="L39"/>
          <cell r="M39"/>
          <cell r="N39"/>
          <cell r="O39"/>
          <cell r="P39"/>
          <cell r="R39"/>
        </row>
        <row r="40">
          <cell r="I40"/>
          <cell r="J40"/>
          <cell r="K40"/>
          <cell r="L40"/>
          <cell r="M40"/>
          <cell r="N40"/>
          <cell r="O40"/>
          <cell r="P40"/>
          <cell r="R40"/>
        </row>
        <row r="41">
          <cell r="I41" t="str">
            <v>n/a</v>
          </cell>
          <cell r="J41">
            <v>25.871206236355206</v>
          </cell>
          <cell r="K41">
            <v>14.205048664962405</v>
          </cell>
          <cell r="L41">
            <v>11.6661575713928</v>
          </cell>
          <cell r="M41">
            <v>2.9557743514081998</v>
          </cell>
          <cell r="N41">
            <v>16.129971152909398</v>
          </cell>
          <cell r="O41">
            <v>4.8806968393551919</v>
          </cell>
          <cell r="P41">
            <v>1.3435888855061595</v>
          </cell>
          <cell r="R41"/>
        </row>
        <row r="42">
          <cell r="I42" t="str">
            <v>n/a</v>
          </cell>
          <cell r="J42">
            <v>2.7058823529411762</v>
          </cell>
          <cell r="K42">
            <v>2.7058823529411762</v>
          </cell>
          <cell r="L42">
            <v>0</v>
          </cell>
          <cell r="M42">
            <v>0</v>
          </cell>
          <cell r="N42">
            <v>3.0725557740441074</v>
          </cell>
          <cell r="O42">
            <v>0.36667342110293122</v>
          </cell>
          <cell r="P42">
            <v>1.1355097425815182</v>
          </cell>
          <cell r="R42"/>
        </row>
        <row r="43">
          <cell r="I43" t="str">
            <v>n/a</v>
          </cell>
          <cell r="J43">
            <v>83.334352999999979</v>
          </cell>
          <cell r="K43">
            <v>83.214652999999984</v>
          </cell>
          <cell r="L43">
            <v>0.11969999999999459</v>
          </cell>
          <cell r="M43">
            <v>7.8158709999999996</v>
          </cell>
          <cell r="N43">
            <v>74.725861000000009</v>
          </cell>
          <cell r="O43">
            <v>-0.6729209999999739</v>
          </cell>
          <cell r="P43">
            <v>0.99191343140011679</v>
          </cell>
          <cell r="R43"/>
        </row>
        <row r="44">
          <cell r="I44" t="str">
            <v>n/a</v>
          </cell>
          <cell r="J44">
            <v>50</v>
          </cell>
          <cell r="K44">
            <v>24.959693000000001</v>
          </cell>
          <cell r="L44">
            <v>0</v>
          </cell>
          <cell r="M44">
            <v>25.403521350000002</v>
          </cell>
          <cell r="N44">
            <v>0</v>
          </cell>
          <cell r="O44">
            <v>0.44382835000000043</v>
          </cell>
          <cell r="P44">
            <v>1.0177818032457371</v>
          </cell>
          <cell r="R44"/>
        </row>
        <row r="45">
          <cell r="I45">
            <v>0.33</v>
          </cell>
          <cell r="J45">
            <v>17.112500000000001</v>
          </cell>
          <cell r="K45">
            <v>14.0151375</v>
          </cell>
          <cell r="L45">
            <v>3.0973625000000009</v>
          </cell>
          <cell r="M45">
            <v>0</v>
          </cell>
          <cell r="N45">
            <v>12.310425</v>
          </cell>
          <cell r="O45">
            <v>-1.7047124999999994</v>
          </cell>
          <cell r="P45">
            <v>0.87836633782579732</v>
          </cell>
          <cell r="R45" t="str">
            <v>9.9% GP | Anchorf</v>
          </cell>
        </row>
        <row r="46">
          <cell r="I46"/>
          <cell r="J46">
            <v>179.02394158929638</v>
          </cell>
          <cell r="K46">
            <v>139.10041451790357</v>
          </cell>
          <cell r="L46">
            <v>14.883220071392795</v>
          </cell>
          <cell r="M46">
            <v>36.175166701408202</v>
          </cell>
          <cell r="N46">
            <v>106.23881292695351</v>
          </cell>
          <cell r="O46">
            <v>3.3135651104581427</v>
          </cell>
          <cell r="P46">
            <v>1.0238213891881081</v>
          </cell>
          <cell r="R46"/>
        </row>
        <row r="47">
          <cell r="I47"/>
          <cell r="J47"/>
          <cell r="K47"/>
          <cell r="L47"/>
          <cell r="M47"/>
          <cell r="N47"/>
          <cell r="O47"/>
          <cell r="P47"/>
          <cell r="R47"/>
        </row>
        <row r="48">
          <cell r="I48"/>
          <cell r="J48">
            <v>2331.5727319621401</v>
          </cell>
          <cell r="K48">
            <v>2287.8992048907471</v>
          </cell>
          <cell r="L48">
            <v>18.633220071392795</v>
          </cell>
          <cell r="M48">
            <v>1279.8881438814083</v>
          </cell>
          <cell r="N48">
            <v>902.60249521302444</v>
          </cell>
          <cell r="O48">
            <v>-105.40856579631463</v>
          </cell>
          <cell r="P48">
            <v>0.95392779298537844</v>
          </cell>
          <cell r="R48"/>
        </row>
        <row r="49">
          <cell r="I49"/>
          <cell r="J49"/>
          <cell r="K49" t="b">
            <v>1</v>
          </cell>
          <cell r="L49"/>
          <cell r="M49" t="b">
            <v>1</v>
          </cell>
          <cell r="N49" t="b">
            <v>1</v>
          </cell>
          <cell r="O49"/>
          <cell r="P49"/>
          <cell r="R49"/>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20" dT="2024-04-09T13:16:08.93" personId="{00000000-0000-0000-0000-000000000000}" id="{EE6B2636-8562-4C26-A84A-95E5C726EBAD}">
    <text>GP Fee (of 189K) and Fund Expenses (of 11K) until Sep24</text>
  </threadedComment>
  <threadedComment ref="N20" dT="2024-04-09T13:16:08.93" personId="{00000000-0000-0000-0000-000000000000}" id="{6C6E28D6-DC85-4A35-923F-1378B05FBCC4}">
    <text>GP Fee (of 189K) and Fund Expenses (of 11K) until Sep24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printerSettings" Target="../printerSettings/printerSettings4.bin"/><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vmlDrawing" Target="../drawings/vmlDrawing2.vml"/><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comments" Target="../comments2.x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N20"/>
  <sheetViews>
    <sheetView showGridLines="0" zoomScale="115" zoomScaleNormal="115" zoomScaleSheetLayoutView="115" workbookViewId="0">
      <selection activeCell="E13" sqref="E13"/>
    </sheetView>
  </sheetViews>
  <sheetFormatPr defaultColWidth="9.140625" defaultRowHeight="15" x14ac:dyDescent="0.25"/>
  <cols>
    <col min="1" max="1" width="9.140625" style="26"/>
    <col min="2" max="2" width="5.28515625" style="26" customWidth="1"/>
    <col min="3" max="3" width="21.5703125" style="27" customWidth="1"/>
    <col min="4" max="4" width="15.85546875" style="26" bestFit="1" customWidth="1"/>
    <col min="5" max="8" width="14.5703125" style="26" customWidth="1"/>
    <col min="9" max="10" width="17.28515625" style="26" customWidth="1"/>
    <col min="11" max="12" width="13.7109375" style="26" customWidth="1"/>
    <col min="13" max="16384" width="9.140625" style="26"/>
  </cols>
  <sheetData>
    <row r="1" spans="2:14" ht="15.75" thickBot="1" x14ac:dyDescent="0.3"/>
    <row r="2" spans="2:14" s="58" customFormat="1" ht="15.75" thickBot="1" x14ac:dyDescent="0.3">
      <c r="C2" s="127" t="s">
        <v>163</v>
      </c>
      <c r="D2" s="130">
        <v>45473</v>
      </c>
      <c r="E2" s="468" t="str">
        <f>TEXT(D2,"dddddd")</f>
        <v>Sunday</v>
      </c>
      <c r="G2" s="26"/>
      <c r="H2" s="26"/>
      <c r="I2" s="26"/>
      <c r="J2" s="26"/>
      <c r="K2" s="26"/>
      <c r="L2" s="26"/>
      <c r="M2" s="26"/>
      <c r="N2" s="26"/>
    </row>
    <row r="3" spans="2:14" s="58" customFormat="1" x14ac:dyDescent="0.25">
      <c r="C3" s="57"/>
      <c r="D3" s="132"/>
      <c r="E3" s="467"/>
      <c r="G3" s="26"/>
      <c r="H3" s="26"/>
      <c r="I3" s="26"/>
      <c r="J3" s="26"/>
      <c r="K3" s="26"/>
      <c r="L3" s="26"/>
      <c r="M3" s="26"/>
      <c r="N3" s="26"/>
    </row>
    <row r="4" spans="2:14" x14ac:dyDescent="0.25">
      <c r="B4" s="469"/>
      <c r="C4" s="470"/>
      <c r="D4" s="469"/>
      <c r="E4" s="469"/>
      <c r="F4" s="469"/>
      <c r="G4" s="469"/>
      <c r="H4" s="471" t="s">
        <v>169</v>
      </c>
      <c r="I4" s="469"/>
      <c r="J4" s="469"/>
      <c r="K4" s="469"/>
      <c r="L4" s="469"/>
      <c r="M4" s="469"/>
    </row>
    <row r="5" spans="2:14" ht="15.75" thickBot="1" x14ac:dyDescent="0.3">
      <c r="B5" s="153" t="s">
        <v>625</v>
      </c>
      <c r="D5" s="133"/>
      <c r="M5" s="153"/>
    </row>
    <row r="6" spans="2:14" x14ac:dyDescent="0.25">
      <c r="B6" s="146"/>
      <c r="C6" s="75"/>
      <c r="D6" s="147"/>
      <c r="E6" s="147"/>
      <c r="F6" s="147"/>
      <c r="G6" s="147"/>
      <c r="H6" s="147"/>
      <c r="I6" s="147"/>
      <c r="J6" s="147"/>
      <c r="K6" s="147"/>
      <c r="L6" s="147"/>
      <c r="M6" s="77"/>
    </row>
    <row r="7" spans="2:14" ht="34.5" customHeight="1" x14ac:dyDescent="0.25">
      <c r="B7" s="81"/>
      <c r="D7" s="55" t="s">
        <v>168</v>
      </c>
      <c r="E7" s="55" t="s">
        <v>32</v>
      </c>
      <c r="F7" s="56" t="s">
        <v>2</v>
      </c>
      <c r="G7" s="56" t="s">
        <v>190</v>
      </c>
      <c r="H7" s="56" t="s">
        <v>33</v>
      </c>
      <c r="I7" s="56" t="s">
        <v>155</v>
      </c>
      <c r="J7" s="56" t="s">
        <v>187</v>
      </c>
      <c r="K7" s="56" t="s">
        <v>34</v>
      </c>
      <c r="L7" s="56" t="s">
        <v>94</v>
      </c>
      <c r="M7" s="82"/>
    </row>
    <row r="8" spans="2:14" x14ac:dyDescent="0.25">
      <c r="B8" s="81"/>
      <c r="D8" s="27"/>
      <c r="M8" s="82"/>
    </row>
    <row r="9" spans="2:14" x14ac:dyDescent="0.25">
      <c r="B9" s="81"/>
      <c r="C9" s="26" t="s">
        <v>667</v>
      </c>
      <c r="D9" s="151">
        <f>COUNTIF('S | 01 '!C9:C33,"*")</f>
        <v>23</v>
      </c>
      <c r="E9" s="128">
        <f ca="1">'S | 01 '!J33</f>
        <v>2151.7830433728436</v>
      </c>
      <c r="F9" s="128">
        <f ca="1">'S | 01 '!K33</f>
        <v>2148.0330433728436</v>
      </c>
      <c r="G9" s="128">
        <f ca="1">'S | 01 '!L33</f>
        <v>3.75</v>
      </c>
      <c r="H9" s="128">
        <f ca="1">'S | 01 '!M33</f>
        <v>1243.24219253</v>
      </c>
      <c r="I9" s="128">
        <f ca="1">'S | 01 '!N33</f>
        <v>757.71882746284189</v>
      </c>
      <c r="J9" s="128">
        <f ca="1">H9+I9-F9</f>
        <v>-147.07202338000161</v>
      </c>
      <c r="K9" s="155">
        <f ca="1">(H9+I9)/F9</f>
        <v>0.9315317686411988</v>
      </c>
      <c r="L9" s="129">
        <f ca="1">H9/F9</f>
        <v>0.57878168884118275</v>
      </c>
      <c r="M9" s="82"/>
    </row>
    <row r="10" spans="2:14" x14ac:dyDescent="0.25">
      <c r="B10" s="81"/>
      <c r="D10" s="27"/>
      <c r="M10" s="82"/>
    </row>
    <row r="11" spans="2:14" x14ac:dyDescent="0.25">
      <c r="B11" s="81"/>
      <c r="D11" s="27"/>
      <c r="M11" s="82"/>
    </row>
    <row r="12" spans="2:14" x14ac:dyDescent="0.25">
      <c r="B12" s="81"/>
      <c r="C12" s="26" t="s">
        <v>165</v>
      </c>
      <c r="D12" s="151">
        <f>COUNTIF('S | 01 '!C36:C38,"*")</f>
        <v>3</v>
      </c>
      <c r="E12" s="128">
        <f>'S | 01 '!J39</f>
        <v>10.765747000000001</v>
      </c>
      <c r="F12" s="128">
        <f>'S | 01 '!K39</f>
        <v>10.765747000000001</v>
      </c>
      <c r="G12" s="128">
        <f>'S | 01 '!L39</f>
        <v>0</v>
      </c>
      <c r="H12" s="128">
        <f>'S | 01 '!M39</f>
        <v>0.47078465000000003</v>
      </c>
      <c r="I12" s="128">
        <f>'S | 01 '!N39</f>
        <v>0</v>
      </c>
      <c r="J12" s="128">
        <f>H12+I12-F12</f>
        <v>-10.29496235</v>
      </c>
      <c r="K12" s="155">
        <f>(H12+I12)/F12</f>
        <v>4.3729863798582673E-2</v>
      </c>
      <c r="L12" s="129">
        <f>H12/F12</f>
        <v>4.3729863798582673E-2</v>
      </c>
      <c r="M12" s="82"/>
    </row>
    <row r="13" spans="2:14" x14ac:dyDescent="0.25">
      <c r="B13" s="81"/>
      <c r="D13" s="152"/>
      <c r="M13" s="82"/>
    </row>
    <row r="14" spans="2:14" x14ac:dyDescent="0.25">
      <c r="B14" s="81"/>
      <c r="D14" s="152"/>
      <c r="M14" s="82"/>
    </row>
    <row r="15" spans="2:14" x14ac:dyDescent="0.25">
      <c r="B15" s="81"/>
      <c r="C15" s="26" t="s">
        <v>166</v>
      </c>
      <c r="D15" s="151">
        <f>COUNTIF('S | 01 '!C42:C46,"*")</f>
        <v>5</v>
      </c>
      <c r="E15" s="128">
        <f ca="1">'S | 01 '!J47</f>
        <v>178.33516446189816</v>
      </c>
      <c r="F15" s="128">
        <f ca="1">'S | 01 '!K47</f>
        <v>140.87350187458156</v>
      </c>
      <c r="G15" s="128">
        <f ca="1">'S | 01 '!L47</f>
        <v>15.352482594157999</v>
      </c>
      <c r="H15" s="128">
        <f>'S | 01 '!M47</f>
        <v>36.6388614281652</v>
      </c>
      <c r="I15" s="128">
        <f ca="1">'S | 01 '!N47</f>
        <v>108.15165165164674</v>
      </c>
      <c r="J15" s="128">
        <f ca="1">H15+I15-F15</f>
        <v>3.9170112052303807</v>
      </c>
      <c r="K15" s="155">
        <f ca="1">(H15+I15)/F15</f>
        <v>1.0278051667141608</v>
      </c>
      <c r="L15" s="129">
        <f ca="1">H15/F15</f>
        <v>0.26008341484109948</v>
      </c>
      <c r="M15" s="82"/>
    </row>
    <row r="16" spans="2:14" x14ac:dyDescent="0.25">
      <c r="B16" s="81"/>
      <c r="D16" s="152"/>
      <c r="M16" s="82"/>
    </row>
    <row r="17" spans="2:13" x14ac:dyDescent="0.25">
      <c r="B17" s="81"/>
      <c r="D17" s="27"/>
      <c r="M17" s="82"/>
    </row>
    <row r="18" spans="2:13" x14ac:dyDescent="0.25">
      <c r="B18" s="81"/>
      <c r="C18" s="26" t="s">
        <v>167</v>
      </c>
      <c r="D18" s="151">
        <f t="shared" ref="D18:I18" si="0">D9+D12+D15</f>
        <v>31</v>
      </c>
      <c r="E18" s="128">
        <f t="shared" ca="1" si="0"/>
        <v>2340.8839548347419</v>
      </c>
      <c r="F18" s="128">
        <f t="shared" ca="1" si="0"/>
        <v>2299.672292247425</v>
      </c>
      <c r="G18" s="128">
        <f t="shared" ca="1" si="0"/>
        <v>19.102482594157998</v>
      </c>
      <c r="H18" s="128">
        <f t="shared" ca="1" si="0"/>
        <v>1280.3518386081653</v>
      </c>
      <c r="I18" s="128">
        <f t="shared" ca="1" si="0"/>
        <v>865.8704791144886</v>
      </c>
      <c r="J18" s="128">
        <f ca="1">H18+I18-F18</f>
        <v>-153.44997452477128</v>
      </c>
      <c r="K18" s="155">
        <f ca="1">(H18+I18)/F18</f>
        <v>0.93327311241602706</v>
      </c>
      <c r="L18" s="129">
        <f ca="1">H18/F18</f>
        <v>0.55675403966227832</v>
      </c>
      <c r="M18" s="82"/>
    </row>
    <row r="19" spans="2:13" s="35" customFormat="1" ht="15.75" thickBot="1" x14ac:dyDescent="0.3">
      <c r="B19" s="148"/>
      <c r="C19" s="149"/>
      <c r="D19" s="149"/>
      <c r="E19" s="189"/>
      <c r="F19" s="149"/>
      <c r="G19" s="149"/>
      <c r="H19" s="149"/>
      <c r="I19" s="149"/>
      <c r="J19" s="149"/>
      <c r="K19" s="149"/>
      <c r="L19" s="149"/>
      <c r="M19" s="150"/>
    </row>
    <row r="20" spans="2:13" x14ac:dyDescent="0.25">
      <c r="C20" s="467" t="s">
        <v>668</v>
      </c>
      <c r="E20" s="190" t="b">
        <f ca="1">E18='S | 01 '!J49</f>
        <v>1</v>
      </c>
      <c r="F20" s="190" t="b">
        <f ca="1">F18='S | 01 '!K49</f>
        <v>1</v>
      </c>
      <c r="G20" s="191" t="b">
        <f ca="1">ROUND(G18,1)=ROUND('S | 01 '!L49,1)</f>
        <v>1</v>
      </c>
      <c r="H20" s="191" t="b">
        <f ca="1">ROUND(H18,1)=ROUND('S | 01 '!M49,1)</f>
        <v>1</v>
      </c>
      <c r="I20" s="191" t="b">
        <f ca="1">ROUND(I18,1)=ROUND('S | 01 '!N49,1)</f>
        <v>1</v>
      </c>
      <c r="J20" s="191"/>
    </row>
  </sheetData>
  <pageMargins left="0.7" right="0.7" top="0.75" bottom="0.75" header="0.3" footer="0.3"/>
  <pageSetup paperSize="9" scale="37"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39997558519241921"/>
  </sheetPr>
  <dimension ref="B1:S87"/>
  <sheetViews>
    <sheetView showGridLines="0" tabSelected="1" view="pageBreakPreview" zoomScale="70" zoomScaleNormal="80" zoomScaleSheetLayoutView="70" workbookViewId="0">
      <selection activeCell="E4" sqref="E4"/>
    </sheetView>
  </sheetViews>
  <sheetFormatPr defaultColWidth="9.140625" defaultRowHeight="15" x14ac:dyDescent="0.25"/>
  <cols>
    <col min="1" max="2" width="5.42578125" style="26" customWidth="1"/>
    <col min="3" max="3" width="45.28515625" style="71"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5"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thickBot="1" x14ac:dyDescent="0.3">
      <c r="C1" s="159"/>
    </row>
    <row r="2" spans="2:18" ht="15.75" thickBot="1" x14ac:dyDescent="0.3">
      <c r="C2" s="185" t="s">
        <v>170</v>
      </c>
      <c r="D2" s="186">
        <f>D!D2</f>
        <v>45473</v>
      </c>
      <c r="E2" s="26">
        <v>1</v>
      </c>
      <c r="F2" s="26"/>
      <c r="G2" s="26"/>
      <c r="H2" s="26"/>
      <c r="I2" s="26"/>
      <c r="J2" s="26"/>
      <c r="K2" s="26"/>
      <c r="L2" s="26"/>
      <c r="M2" s="26"/>
      <c r="N2" s="26"/>
      <c r="O2" s="26"/>
      <c r="P2" s="26"/>
      <c r="Q2" s="26"/>
    </row>
    <row r="3" spans="2:18" ht="21.75" customHeight="1" thickBot="1" x14ac:dyDescent="0.3">
      <c r="C3" s="159"/>
    </row>
    <row r="4" spans="2:18" x14ac:dyDescent="0.25">
      <c r="B4" s="73"/>
      <c r="C4" s="74"/>
      <c r="D4" s="75"/>
      <c r="E4" s="75"/>
      <c r="F4" s="75"/>
      <c r="G4" s="75"/>
      <c r="H4" s="75"/>
      <c r="I4" s="75"/>
      <c r="J4" s="75"/>
      <c r="K4" s="75"/>
      <c r="L4" s="75"/>
      <c r="M4" s="75"/>
      <c r="N4" s="75"/>
      <c r="O4" s="75"/>
      <c r="P4" s="161"/>
      <c r="Q4" s="75"/>
      <c r="R4" s="247"/>
    </row>
    <row r="5" spans="2:18" x14ac:dyDescent="0.25">
      <c r="B5" s="81"/>
      <c r="R5" s="230"/>
    </row>
    <row r="6" spans="2:18" s="80" customFormat="1" ht="60" customHeight="1" x14ac:dyDescent="0.25">
      <c r="B6" s="78"/>
      <c r="C6" s="3" t="s">
        <v>51</v>
      </c>
      <c r="D6" s="1" t="s">
        <v>25</v>
      </c>
      <c r="E6" s="1" t="s">
        <v>61</v>
      </c>
      <c r="F6" s="1" t="s">
        <v>617</v>
      </c>
      <c r="G6" s="1" t="s">
        <v>137</v>
      </c>
      <c r="H6" s="1" t="s">
        <v>36</v>
      </c>
      <c r="I6" s="1" t="s">
        <v>53</v>
      </c>
      <c r="J6" s="1" t="s">
        <v>32</v>
      </c>
      <c r="K6" s="1" t="s">
        <v>2</v>
      </c>
      <c r="L6" s="1" t="s">
        <v>50</v>
      </c>
      <c r="M6" s="1" t="s">
        <v>33</v>
      </c>
      <c r="N6" s="1" t="s">
        <v>27</v>
      </c>
      <c r="O6" s="1" t="s">
        <v>187</v>
      </c>
      <c r="P6" s="1" t="s">
        <v>34</v>
      </c>
      <c r="Q6" s="1" t="s">
        <v>665</v>
      </c>
      <c r="R6" s="289"/>
    </row>
    <row r="7" spans="2:18" x14ac:dyDescent="0.25">
      <c r="B7" s="81"/>
      <c r="C7" s="5"/>
      <c r="D7" s="8"/>
      <c r="E7" s="8"/>
      <c r="F7" s="8"/>
      <c r="G7" s="8" t="s">
        <v>84</v>
      </c>
      <c r="H7" s="8"/>
      <c r="I7" s="8" t="s">
        <v>53</v>
      </c>
      <c r="J7" s="8" t="s">
        <v>274</v>
      </c>
      <c r="K7" s="8" t="s">
        <v>274</v>
      </c>
      <c r="L7" s="8" t="s">
        <v>274</v>
      </c>
      <c r="M7" s="8" t="s">
        <v>274</v>
      </c>
      <c r="N7" s="8" t="s">
        <v>274</v>
      </c>
      <c r="O7" s="8" t="s">
        <v>274</v>
      </c>
      <c r="P7" s="12" t="s">
        <v>275</v>
      </c>
      <c r="Q7" s="8"/>
      <c r="R7" s="230"/>
    </row>
    <row r="8" spans="2:18" x14ac:dyDescent="0.25">
      <c r="B8" s="81"/>
      <c r="C8" s="521" t="s">
        <v>666</v>
      </c>
      <c r="D8" s="429"/>
      <c r="E8" s="429"/>
      <c r="F8" s="429"/>
      <c r="G8" s="429"/>
      <c r="H8" s="429"/>
      <c r="I8" s="429"/>
      <c r="J8" s="429"/>
      <c r="K8" s="429"/>
      <c r="L8" s="429"/>
      <c r="M8" s="429"/>
      <c r="N8" s="429"/>
      <c r="O8" s="429"/>
      <c r="P8" s="429"/>
      <c r="Q8" s="429"/>
      <c r="R8" s="230"/>
    </row>
    <row r="9" spans="2:18" x14ac:dyDescent="0.25">
      <c r="B9" s="81"/>
      <c r="C9" s="4" t="s">
        <v>47</v>
      </c>
      <c r="D9" s="2" t="s">
        <v>448</v>
      </c>
      <c r="E9" s="2" t="s">
        <v>63</v>
      </c>
      <c r="F9" s="2" t="s">
        <v>8</v>
      </c>
      <c r="G9" s="6">
        <v>2019</v>
      </c>
      <c r="H9" s="2" t="s">
        <v>73</v>
      </c>
      <c r="I9" s="105">
        <f>'6. %'!F9</f>
        <v>5.6999998161926343E-2</v>
      </c>
      <c r="J9" s="17">
        <f t="shared" ref="J9:J23" ca="1" si="0">K9</f>
        <v>65</v>
      </c>
      <c r="K9" s="17">
        <f ca="1">-SUMIF('CF (Equity, Debt)'!$C$3:$K$53,'S | 01 '!C9,'CF (Equity, Debt)'!$E$3:$E$53)</f>
        <v>65</v>
      </c>
      <c r="L9" s="17">
        <v>0</v>
      </c>
      <c r="M9" s="17">
        <f ca="1">SUMIF('CF (Equity, Debt)'!$C$3:$K$53,'S | 01 '!C9,'CF (Equity, Debt)'!$F$3:$F$53)</f>
        <v>0</v>
      </c>
      <c r="N9" s="17">
        <f>VLOOKUP(C9,NAV!$B$4:$E$44,4,0)</f>
        <v>0</v>
      </c>
      <c r="O9" s="17">
        <f ca="1">N9+M9-K9</f>
        <v>-65</v>
      </c>
      <c r="P9" s="10">
        <f t="shared" ref="P9:P21" ca="1" si="1">(M9+N9)/K9</f>
        <v>0</v>
      </c>
      <c r="Q9" s="102" t="s">
        <v>82</v>
      </c>
      <c r="R9" s="230"/>
    </row>
    <row r="10" spans="2:18" x14ac:dyDescent="0.25">
      <c r="B10" s="81"/>
      <c r="C10" s="4" t="s">
        <v>0</v>
      </c>
      <c r="D10" s="2" t="s">
        <v>448</v>
      </c>
      <c r="E10" s="2" t="s">
        <v>63</v>
      </c>
      <c r="F10" s="2" t="s">
        <v>8</v>
      </c>
      <c r="G10" s="6">
        <v>2019</v>
      </c>
      <c r="H10" s="2" t="s">
        <v>68</v>
      </c>
      <c r="I10" s="105">
        <f>'6. %'!F10</f>
        <v>0.14000000235296001</v>
      </c>
      <c r="J10" s="17">
        <f t="shared" ca="1" si="0"/>
        <v>8</v>
      </c>
      <c r="K10" s="17">
        <f ca="1">-SUMIF('CF (Equity, Debt)'!$C$3:$K$53,'S | 01 '!C10,'CF (Equity, Debt)'!$E$3:$E$53)</f>
        <v>8</v>
      </c>
      <c r="L10" s="17">
        <v>0</v>
      </c>
      <c r="M10" s="17">
        <f ca="1">SUMIF('CF (Equity, Debt)'!$C$3:$K$53,'S | 01 '!C10,'CF (Equity, Debt)'!$F$3:$F$53)</f>
        <v>0</v>
      </c>
      <c r="N10" s="17">
        <f>VLOOKUP(C10,NAV!$B$4:$E$44,4,0)</f>
        <v>0</v>
      </c>
      <c r="O10" s="17">
        <f t="shared" ref="O10:O29" ca="1" si="2">N10+M10-K10</f>
        <v>-8</v>
      </c>
      <c r="P10" s="10">
        <f t="shared" ca="1" si="1"/>
        <v>0</v>
      </c>
      <c r="Q10" s="102" t="s">
        <v>82</v>
      </c>
      <c r="R10" s="230"/>
    </row>
    <row r="11" spans="2:18" ht="17.25" x14ac:dyDescent="0.25">
      <c r="B11" s="81"/>
      <c r="C11" s="4" t="s">
        <v>38</v>
      </c>
      <c r="D11" s="2" t="s">
        <v>78</v>
      </c>
      <c r="E11" s="2" t="s">
        <v>62</v>
      </c>
      <c r="F11" s="2" t="s">
        <v>8</v>
      </c>
      <c r="G11" s="6">
        <v>2019</v>
      </c>
      <c r="H11" s="2" t="s">
        <v>75</v>
      </c>
      <c r="I11" s="105">
        <f>'6. %'!F11</f>
        <v>8.5025484621212399E-2</v>
      </c>
      <c r="J11" s="17">
        <f t="shared" ca="1" si="0"/>
        <v>10</v>
      </c>
      <c r="K11" s="17">
        <f ca="1">-SUMIF('CF (Equity, Debt)'!$C$3:$K$53,'S | 01 '!C11,'CF (Equity, Debt)'!$E$3:$E$53)</f>
        <v>10</v>
      </c>
      <c r="L11" s="17">
        <v>0</v>
      </c>
      <c r="M11" s="17">
        <f ca="1">SUMIF('CF (Equity, Debt)'!$C$3:$K$53,'S | 01 '!C11,'CF (Equity, Debt)'!$F$3:$F$53)</f>
        <v>0</v>
      </c>
      <c r="N11" s="17">
        <f>VLOOKUP(C11,NAV!$B$4:$E$44,4,0)</f>
        <v>37.118730497400001</v>
      </c>
      <c r="O11" s="17">
        <f t="shared" ca="1" si="2"/>
        <v>27.118730497400001</v>
      </c>
      <c r="P11" s="10">
        <f t="shared" ca="1" si="1"/>
        <v>3.7118730497400003</v>
      </c>
      <c r="Q11" s="102" t="s">
        <v>556</v>
      </c>
      <c r="R11" s="230"/>
    </row>
    <row r="12" spans="2:18" x14ac:dyDescent="0.25">
      <c r="B12" s="81"/>
      <c r="C12" s="4" t="s">
        <v>39</v>
      </c>
      <c r="D12" s="2" t="s">
        <v>79</v>
      </c>
      <c r="E12" s="2" t="s">
        <v>62</v>
      </c>
      <c r="F12" s="2" t="s">
        <v>8</v>
      </c>
      <c r="G12" s="6">
        <v>2020</v>
      </c>
      <c r="H12" s="2" t="s">
        <v>44</v>
      </c>
      <c r="I12" s="105" t="str">
        <f>'6. %'!F12</f>
        <v>n/a</v>
      </c>
      <c r="J12" s="17">
        <f t="shared" ca="1" si="0"/>
        <v>2.5</v>
      </c>
      <c r="K12" s="17">
        <f ca="1">-SUMIF('CF (Equity, Debt)'!$C$3:$K$53,'S | 01 '!C12,'CF (Equity, Debt)'!$E$3:$E$53)</f>
        <v>2.5</v>
      </c>
      <c r="L12" s="17">
        <v>0</v>
      </c>
      <c r="M12" s="17">
        <f ca="1">SUMIF('CF (Equity, Debt)'!$C$3:$K$53,'S | 01 '!C12,'CF (Equity, Debt)'!$F$3:$F$53)</f>
        <v>5</v>
      </c>
      <c r="N12" s="17">
        <f>VLOOKUP(C12,NAV!$B$4:$E$44,4,0)</f>
        <v>0</v>
      </c>
      <c r="O12" s="17">
        <f t="shared" ca="1" si="2"/>
        <v>2.5</v>
      </c>
      <c r="P12" s="10">
        <f t="shared" ca="1" si="1"/>
        <v>2</v>
      </c>
      <c r="Q12" s="102"/>
      <c r="R12" s="230"/>
    </row>
    <row r="13" spans="2:18" x14ac:dyDescent="0.25">
      <c r="B13" s="81"/>
      <c r="C13" s="4" t="s">
        <v>37</v>
      </c>
      <c r="D13" s="2" t="s">
        <v>78</v>
      </c>
      <c r="E13" s="2" t="s">
        <v>64</v>
      </c>
      <c r="F13" s="2" t="s">
        <v>8</v>
      </c>
      <c r="G13" s="6">
        <v>2020</v>
      </c>
      <c r="H13" s="2" t="s">
        <v>67</v>
      </c>
      <c r="I13" s="105">
        <f>'6. %'!F13</f>
        <v>9.4347728005070269E-2</v>
      </c>
      <c r="J13" s="17">
        <f t="shared" ca="1" si="0"/>
        <v>90</v>
      </c>
      <c r="K13" s="17">
        <f ca="1">-SUMIF('CF (Equity, Debt)'!$C$3:$K$53,'S | 01 '!C13,'CF (Equity, Debt)'!$E$3:$E$53)</f>
        <v>90</v>
      </c>
      <c r="L13" s="17">
        <v>0</v>
      </c>
      <c r="M13" s="17">
        <f ca="1">SUMIF('CF (Equity, Debt)'!$C$3:$K$53,'S | 01 '!C13,'CF (Equity, Debt)'!$F$3:$F$53)</f>
        <v>0</v>
      </c>
      <c r="N13" s="17">
        <f>VLOOKUP(C13,NAV!$B$4:$E$44,4,0)</f>
        <v>73.800000000000011</v>
      </c>
      <c r="O13" s="17">
        <f t="shared" ca="1" si="2"/>
        <v>-16.199999999999989</v>
      </c>
      <c r="P13" s="10">
        <f t="shared" ca="1" si="1"/>
        <v>0.82000000000000017</v>
      </c>
      <c r="Q13" s="102"/>
      <c r="R13" s="230"/>
    </row>
    <row r="14" spans="2:18" x14ac:dyDescent="0.25">
      <c r="B14" s="81"/>
      <c r="C14" s="4" t="s">
        <v>87</v>
      </c>
      <c r="D14" s="2" t="s">
        <v>78</v>
      </c>
      <c r="E14" s="2" t="s">
        <v>64</v>
      </c>
      <c r="F14" s="2" t="s">
        <v>8</v>
      </c>
      <c r="G14" s="6">
        <v>2020</v>
      </c>
      <c r="H14" s="2" t="s">
        <v>45</v>
      </c>
      <c r="I14" s="105">
        <f>'6. %'!F14</f>
        <v>5.1651565402323088E-2</v>
      </c>
      <c r="J14" s="17">
        <f t="shared" ca="1" si="0"/>
        <v>141.4702596743665</v>
      </c>
      <c r="K14" s="17">
        <f ca="1">-SUMIF('CF (Equity, Debt)'!$C$3:$K$53,'S | 01 '!C14,'CF (Equity, Debt)'!$E$3:$E$53)</f>
        <v>141.4702596743665</v>
      </c>
      <c r="L14" s="17">
        <v>0</v>
      </c>
      <c r="M14" s="17">
        <f ca="1">SUMIF('CF (Equity, Debt)'!$C$3:$K$53,'S | 01 '!C14,'CF (Equity, Debt)'!$F$3:$F$53)</f>
        <v>0</v>
      </c>
      <c r="N14" s="17">
        <f>VLOOKUP(C14,NAV!$B$4:$E$44,4,0)</f>
        <v>53.000051393097593</v>
      </c>
      <c r="O14" s="17">
        <f t="shared" ca="1" si="2"/>
        <v>-88.47020828126891</v>
      </c>
      <c r="P14" s="10">
        <f t="shared" ca="1" si="1"/>
        <v>0.37463740799721496</v>
      </c>
      <c r="Q14" s="102"/>
      <c r="R14" s="230"/>
    </row>
    <row r="15" spans="2:18" x14ac:dyDescent="0.25">
      <c r="B15" s="81"/>
      <c r="C15" s="4" t="s">
        <v>9</v>
      </c>
      <c r="D15" s="2" t="s">
        <v>78</v>
      </c>
      <c r="E15" s="2" t="s">
        <v>63</v>
      </c>
      <c r="F15" s="2" t="s">
        <v>8</v>
      </c>
      <c r="G15" s="6">
        <v>2020</v>
      </c>
      <c r="H15" s="2" t="s">
        <v>72</v>
      </c>
      <c r="I15" s="105">
        <f>'6. %'!F15</f>
        <v>0.14380000000000001</v>
      </c>
      <c r="J15" s="17">
        <f t="shared" ca="1" si="0"/>
        <v>60</v>
      </c>
      <c r="K15" s="17">
        <f ca="1">-SUMIF('CF (Equity, Debt)'!$C$3:$K$53,'S | 01 '!C15,'CF (Equity, Debt)'!$E$3:$E$53)</f>
        <v>60</v>
      </c>
      <c r="L15" s="17">
        <v>0</v>
      </c>
      <c r="M15" s="17">
        <f ca="1">SUMIF('CF (Equity, Debt)'!$C$3:$K$53,'S | 01 '!C15,'CF (Equity, Debt)'!$F$3:$F$53)</f>
        <v>0</v>
      </c>
      <c r="N15" s="17">
        <f>VLOOKUP(C15,NAV!$B$4:$E$44,4,0)</f>
        <v>149.39859152003655</v>
      </c>
      <c r="O15" s="17">
        <f t="shared" ca="1" si="2"/>
        <v>89.398591520036547</v>
      </c>
      <c r="P15" s="10">
        <f t="shared" ca="1" si="1"/>
        <v>2.4899765253339425</v>
      </c>
      <c r="Q15" s="102"/>
      <c r="R15" s="230"/>
    </row>
    <row r="16" spans="2:18" ht="17.25" x14ac:dyDescent="0.25">
      <c r="B16" s="81"/>
      <c r="C16" s="4" t="s">
        <v>18</v>
      </c>
      <c r="D16" s="2" t="s">
        <v>79</v>
      </c>
      <c r="E16" s="2" t="s">
        <v>62</v>
      </c>
      <c r="F16" s="2" t="s">
        <v>280</v>
      </c>
      <c r="G16" s="6">
        <v>2021</v>
      </c>
      <c r="H16" s="2" t="s">
        <v>49</v>
      </c>
      <c r="I16" s="105">
        <f>'6. %'!F16</f>
        <v>0.03</v>
      </c>
      <c r="J16" s="17">
        <f t="shared" ca="1" si="0"/>
        <v>20</v>
      </c>
      <c r="K16" s="17">
        <f ca="1">-SUMIF('CF (Equity, Debt)'!$C$3:$K$53,'S | 01 '!C16,'CF (Equity, Debt)'!$E$3:$E$53)</f>
        <v>20</v>
      </c>
      <c r="L16" s="17">
        <v>0</v>
      </c>
      <c r="M16" s="17">
        <f ca="1">SUMIF('CF (Equity, Debt)'!$C$3:$K$53,'S | 01 '!C16,'CF (Equity, Debt)'!$F$3:$F$53)</f>
        <v>24.5</v>
      </c>
      <c r="N16" s="17">
        <f>VLOOKUP(C16,NAV!$B$4:$E$44,4,0)</f>
        <v>0</v>
      </c>
      <c r="O16" s="17">
        <f t="shared" ca="1" si="2"/>
        <v>4.5</v>
      </c>
      <c r="P16" s="10">
        <f t="shared" ca="1" si="1"/>
        <v>1.2250000000000001</v>
      </c>
      <c r="Q16" s="102"/>
      <c r="R16" s="230"/>
    </row>
    <row r="17" spans="2:18" x14ac:dyDescent="0.25">
      <c r="B17" s="81"/>
      <c r="C17" s="4" t="s">
        <v>40</v>
      </c>
      <c r="D17" s="2" t="s">
        <v>78</v>
      </c>
      <c r="E17" s="2" t="s">
        <v>66</v>
      </c>
      <c r="F17" s="2" t="s">
        <v>8</v>
      </c>
      <c r="G17" s="6">
        <v>2021</v>
      </c>
      <c r="H17" s="2" t="s">
        <v>69</v>
      </c>
      <c r="I17" s="105">
        <f>'6. %'!F17</f>
        <v>9.117206771726628E-3</v>
      </c>
      <c r="J17" s="17">
        <f t="shared" ca="1" si="0"/>
        <v>39.999983359999995</v>
      </c>
      <c r="K17" s="17">
        <f ca="1">-SUMIF('CF (Equity, Debt)'!$C$3:$K$53,'S | 01 '!C17,'CF (Equity, Debt)'!$E$3:$E$53)</f>
        <v>39.999983359999995</v>
      </c>
      <c r="L17" s="17">
        <v>0</v>
      </c>
      <c r="M17" s="17">
        <f ca="1">SUMIF('CF (Equity, Debt)'!$C$3:$K$53,'S | 01 '!C17,'CF (Equity, Debt)'!$F$3:$F$53)</f>
        <v>0</v>
      </c>
      <c r="N17" s="17">
        <f>VLOOKUP(C17,NAV!$B$4:$E$44,4,0)</f>
        <v>21.135483260000001</v>
      </c>
      <c r="O17" s="17">
        <f t="shared" ca="1" si="2"/>
        <v>-18.864500099999994</v>
      </c>
      <c r="P17" s="10">
        <f t="shared" ca="1" si="1"/>
        <v>0.52838730130911749</v>
      </c>
      <c r="Q17" s="102"/>
      <c r="R17" s="230"/>
    </row>
    <row r="18" spans="2:18" x14ac:dyDescent="0.25">
      <c r="B18" s="81"/>
      <c r="C18" s="4" t="s">
        <v>41</v>
      </c>
      <c r="D18" s="2" t="s">
        <v>78</v>
      </c>
      <c r="E18" s="2" t="s">
        <v>62</v>
      </c>
      <c r="F18" s="2" t="s">
        <v>8</v>
      </c>
      <c r="G18" s="6">
        <v>2021</v>
      </c>
      <c r="H18" s="2" t="s">
        <v>74</v>
      </c>
      <c r="I18" s="105">
        <f>'6. %'!F18</f>
        <v>0.16080402010050251</v>
      </c>
      <c r="J18" s="17">
        <f t="shared" ca="1" si="0"/>
        <v>8</v>
      </c>
      <c r="K18" s="17">
        <f ca="1">-SUMIF('CF (Equity, Debt)'!$C$3:$K$53,'S | 01 '!C18,'CF (Equity, Debt)'!$E$3:$E$53)</f>
        <v>8</v>
      </c>
      <c r="L18" s="17">
        <v>0</v>
      </c>
      <c r="M18" s="17">
        <f ca="1">SUMIF('CF (Equity, Debt)'!$C$3:$K$53,'S | 01 '!C18,'CF (Equity, Debt)'!$F$3:$F$53)</f>
        <v>0</v>
      </c>
      <c r="N18" s="17">
        <f>VLOOKUP(C18,NAV!$B$4:$E$44,4,0)</f>
        <v>8</v>
      </c>
      <c r="O18" s="17">
        <f t="shared" ca="1" si="2"/>
        <v>0</v>
      </c>
      <c r="P18" s="10">
        <f t="shared" ca="1" si="1"/>
        <v>1</v>
      </c>
      <c r="Q18" s="102"/>
      <c r="R18" s="230"/>
    </row>
    <row r="19" spans="2:18" x14ac:dyDescent="0.25">
      <c r="B19" s="81"/>
      <c r="C19" s="4" t="s">
        <v>42</v>
      </c>
      <c r="D19" s="2" t="s">
        <v>79</v>
      </c>
      <c r="E19" s="2" t="s">
        <v>66</v>
      </c>
      <c r="F19" s="2" t="s">
        <v>8</v>
      </c>
      <c r="G19" s="6">
        <v>2021</v>
      </c>
      <c r="H19" s="2" t="s">
        <v>76</v>
      </c>
      <c r="I19" s="105">
        <f>'6. %'!F19</f>
        <v>1.1489405791845828E-2</v>
      </c>
      <c r="J19" s="17">
        <f t="shared" ca="1" si="0"/>
        <v>5.0237201984774336</v>
      </c>
      <c r="K19" s="17">
        <f ca="1">-SUMIF('CF (Equity, Debt)'!$C$3:$K$53,'S | 01 '!C19,'CF (Equity, Debt)'!$E$3:$E$53)</f>
        <v>5.0237201984774336</v>
      </c>
      <c r="L19" s="17">
        <v>0</v>
      </c>
      <c r="M19" s="17">
        <f ca="1">SUMIF('CF (Equity, Debt)'!$C$3:$K$53,'S | 01 '!C19,'CF (Equity, Debt)'!$F$3:$F$53)</f>
        <v>7.9421925299999989</v>
      </c>
      <c r="N19" s="17">
        <f>VLOOKUP(C19,NAV!$B$4:$E$44,4,0)</f>
        <v>0</v>
      </c>
      <c r="O19" s="17">
        <f t="shared" ca="1" si="2"/>
        <v>2.9184723315225654</v>
      </c>
      <c r="P19" s="10">
        <f t="shared" ca="1" si="1"/>
        <v>1.5809384711368046</v>
      </c>
      <c r="Q19" s="102"/>
      <c r="R19" s="230"/>
    </row>
    <row r="20" spans="2:18" ht="17.25" x14ac:dyDescent="0.25">
      <c r="B20" s="81"/>
      <c r="C20" s="4" t="s">
        <v>70</v>
      </c>
      <c r="D20" s="2" t="s">
        <v>79</v>
      </c>
      <c r="E20" s="2" t="s">
        <v>63</v>
      </c>
      <c r="F20" s="2" t="s">
        <v>281</v>
      </c>
      <c r="G20" s="6">
        <v>2022</v>
      </c>
      <c r="H20" s="2" t="s">
        <v>77</v>
      </c>
      <c r="I20" s="105">
        <f>'6. %'!F20</f>
        <v>5.1000000000000004E-2</v>
      </c>
      <c r="J20" s="17">
        <f t="shared" ca="1" si="0"/>
        <v>493.50095619999996</v>
      </c>
      <c r="K20" s="17">
        <f ca="1">-SUMIF('CF (Equity, Debt)'!$C$3:$K$53,'S | 01 '!C20,'CF (Equity, Debt)'!$E$3:$E$53)</f>
        <v>493.50095619999996</v>
      </c>
      <c r="L20" s="17">
        <v>0</v>
      </c>
      <c r="M20" s="17">
        <f ca="1">SUMIF('CF (Equity, Debt)'!$C$3:$K$53,'S | 01 '!C20,'CF (Equity, Debt)'!$F$3:$F$53)</f>
        <v>403</v>
      </c>
      <c r="N20" s="17">
        <f>VLOOKUP(C20,NAV!$B$4:$E$44,4,0)</f>
        <v>0</v>
      </c>
      <c r="O20" s="17">
        <f t="shared" ca="1" si="2"/>
        <v>-90.500956199999962</v>
      </c>
      <c r="P20" s="10">
        <f t="shared" ca="1" si="1"/>
        <v>0.81661442584252486</v>
      </c>
      <c r="Q20" s="102"/>
      <c r="R20" s="230"/>
    </row>
    <row r="21" spans="2:18" ht="17.25" x14ac:dyDescent="0.25">
      <c r="B21" s="81"/>
      <c r="C21" s="4" t="s">
        <v>19</v>
      </c>
      <c r="D21" s="2" t="s">
        <v>78</v>
      </c>
      <c r="E21" s="2" t="s">
        <v>65</v>
      </c>
      <c r="F21" s="2" t="s">
        <v>11</v>
      </c>
      <c r="G21" s="6">
        <v>2022</v>
      </c>
      <c r="H21" s="2" t="s">
        <v>77</v>
      </c>
      <c r="I21" s="105">
        <f>'6. %'!F21</f>
        <v>0.11141913554582343</v>
      </c>
      <c r="J21" s="17">
        <f t="shared" ca="1" si="0"/>
        <v>300</v>
      </c>
      <c r="K21" s="17">
        <f ca="1">-SUMIF('CF (Equity, Debt)'!$C$3:$K$53,'S | 01 '!C21,'CF (Equity, Debt)'!$E$3:$E$53)</f>
        <v>300</v>
      </c>
      <c r="L21" s="17">
        <f>0</f>
        <v>0</v>
      </c>
      <c r="M21" s="17">
        <f ca="1">SUMIF('CF (Equity, Debt)'!$C$3:$K$53,'S | 01 '!C21,'CF (Equity, Debt)'!$F$3:$F$53)</f>
        <v>0</v>
      </c>
      <c r="N21" s="17">
        <f>VLOOKUP(C21,NAV!$B$4:$E$44,4,0)</f>
        <v>204.6</v>
      </c>
      <c r="O21" s="17">
        <f t="shared" ca="1" si="2"/>
        <v>-95.4</v>
      </c>
      <c r="P21" s="10">
        <f t="shared" ca="1" si="1"/>
        <v>0.68199999999999994</v>
      </c>
      <c r="Q21" s="102" t="s">
        <v>145</v>
      </c>
      <c r="R21" s="230"/>
    </row>
    <row r="22" spans="2:18" ht="17.25" x14ac:dyDescent="0.25">
      <c r="B22" s="81"/>
      <c r="C22" s="4" t="s">
        <v>88</v>
      </c>
      <c r="D22" s="2" t="s">
        <v>78</v>
      </c>
      <c r="E22" s="2" t="s">
        <v>64</v>
      </c>
      <c r="F22" s="2" t="s">
        <v>11</v>
      </c>
      <c r="G22" s="6">
        <v>2022</v>
      </c>
      <c r="H22" s="2" t="s">
        <v>45</v>
      </c>
      <c r="I22" s="105">
        <f>'6. %'!F22</f>
        <v>2.134358174658308E-3</v>
      </c>
      <c r="J22" s="17">
        <f t="shared" ca="1" si="0"/>
        <v>24.53125</v>
      </c>
      <c r="K22" s="17">
        <f ca="1">-SUMIF('CF (Equity, Debt)'!$C$3:$K$53,'S | 01 '!C22,'CF (Equity, Debt)'!$E$3:$E$53)</f>
        <v>24.53125</v>
      </c>
      <c r="L22" s="17">
        <f t="shared" ref="L22:L29" ca="1" si="3">J22-K22</f>
        <v>0</v>
      </c>
      <c r="M22" s="17">
        <f ca="1">SUMIF('CF (Equity, Debt)'!$C$3:$K$53,'S | 01 '!C22,'CF (Equity, Debt)'!$F$3:$F$53)</f>
        <v>0</v>
      </c>
      <c r="N22" s="17">
        <f>VLOOKUP(C22,NAV!$B$4:$E$44,4,0)</f>
        <v>4.58554262</v>
      </c>
      <c r="O22" s="17">
        <f t="shared" ca="1" si="2"/>
        <v>-19.945707380000002</v>
      </c>
      <c r="P22" s="10">
        <f ca="1">(M22+N22)/K22</f>
        <v>0.18692657814012739</v>
      </c>
      <c r="Q22" s="102" t="s">
        <v>161</v>
      </c>
      <c r="R22" s="230"/>
    </row>
    <row r="23" spans="2:18" ht="17.25" x14ac:dyDescent="0.25">
      <c r="B23" s="81"/>
      <c r="C23" s="4" t="s">
        <v>35</v>
      </c>
      <c r="D23" s="2" t="s">
        <v>79</v>
      </c>
      <c r="E23" s="2" t="s">
        <v>63</v>
      </c>
      <c r="F23" s="2" t="s">
        <v>282</v>
      </c>
      <c r="G23" s="6">
        <v>2022</v>
      </c>
      <c r="H23" s="2" t="s">
        <v>77</v>
      </c>
      <c r="I23" s="105">
        <f>'6. %'!F23</f>
        <v>1.8823528000000003E-2</v>
      </c>
      <c r="J23" s="17">
        <f t="shared" ca="1" si="0"/>
        <v>800</v>
      </c>
      <c r="K23" s="17">
        <f ca="1">-SUMIF('CF (Equity, Debt)'!$C$3:$K$53,'S | 01 '!C23,'CF (Equity, Debt)'!$E$3:$E$53)</f>
        <v>800</v>
      </c>
      <c r="L23" s="17">
        <f t="shared" ca="1" si="3"/>
        <v>0</v>
      </c>
      <c r="M23" s="17">
        <f ca="1">SUMIF('CF (Equity, Debt)'!$C$3:$K$53,'S | 01 '!C23,'CF (Equity, Debt)'!$F$3:$F$53)</f>
        <v>802.8</v>
      </c>
      <c r="N23" s="17">
        <f>VLOOKUP(C23,NAV!$B$4:$E$44,4,0)</f>
        <v>0</v>
      </c>
      <c r="O23" s="17">
        <f t="shared" ca="1" si="2"/>
        <v>2.7999999999999545</v>
      </c>
      <c r="P23" s="268">
        <f t="shared" ref="P23" ca="1" si="4">(M23+N23)/K23</f>
        <v>1.0034999999999998</v>
      </c>
      <c r="Q23" s="102"/>
      <c r="R23" s="230"/>
    </row>
    <row r="24" spans="2:18" x14ac:dyDescent="0.25">
      <c r="B24" s="81"/>
      <c r="C24" s="4" t="s">
        <v>246</v>
      </c>
      <c r="D24" s="2" t="s">
        <v>78</v>
      </c>
      <c r="E24" s="2" t="s">
        <v>64</v>
      </c>
      <c r="F24" s="2" t="s">
        <v>8</v>
      </c>
      <c r="G24" s="6">
        <v>2022</v>
      </c>
      <c r="H24" s="2" t="s">
        <v>44</v>
      </c>
      <c r="I24" s="105" t="str">
        <f>'6. %'!F24</f>
        <v>n/a</v>
      </c>
      <c r="J24" s="17">
        <v>15</v>
      </c>
      <c r="K24" s="17">
        <f ca="1">-SUMIF('CF (Equity, Debt)'!$C$3:$K$53,'S | 01 '!C24,'CF (Equity, Debt)'!$E$3:$E$53)</f>
        <v>11.5</v>
      </c>
      <c r="L24" s="17">
        <f t="shared" ca="1" si="3"/>
        <v>3.5</v>
      </c>
      <c r="M24" s="17">
        <v>0</v>
      </c>
      <c r="N24" s="17">
        <f>VLOOKUP(C24,NAV!$B$4:$E$44,4,0)</f>
        <v>11.5</v>
      </c>
      <c r="O24" s="17">
        <f t="shared" ca="1" si="2"/>
        <v>0</v>
      </c>
      <c r="P24" s="10">
        <f t="shared" ref="P24:P33" ca="1" si="5">(M24+N24)/K24</f>
        <v>1</v>
      </c>
      <c r="Q24" s="102"/>
      <c r="R24" s="230"/>
    </row>
    <row r="25" spans="2:18" ht="17.25" x14ac:dyDescent="0.25">
      <c r="B25" s="81"/>
      <c r="C25" s="4" t="s">
        <v>276</v>
      </c>
      <c r="D25" s="2" t="s">
        <v>78</v>
      </c>
      <c r="E25" s="2" t="s">
        <v>65</v>
      </c>
      <c r="F25" s="2" t="s">
        <v>292</v>
      </c>
      <c r="G25" s="6">
        <v>2022</v>
      </c>
      <c r="H25" s="2" t="s">
        <v>68</v>
      </c>
      <c r="I25" s="105">
        <f>'6. %'!F25</f>
        <v>2.7864956399278339E-2</v>
      </c>
      <c r="J25" s="17">
        <f t="shared" ref="J25:J27" ca="1" si="6">K25</f>
        <v>15</v>
      </c>
      <c r="K25" s="17">
        <f ca="1">-SUMIF('CF (Equity, Debt)'!$C$3:$K$53,'S | 01 '!C25,'CF (Equity, Debt)'!$E$3:$E$53)</f>
        <v>15</v>
      </c>
      <c r="L25" s="17">
        <f t="shared" ca="1" si="3"/>
        <v>0</v>
      </c>
      <c r="M25" s="17">
        <v>0</v>
      </c>
      <c r="N25" s="17">
        <f>VLOOKUP(C25,NAV!$B$4:$E$44,4,0)</f>
        <v>20.888121539999997</v>
      </c>
      <c r="O25" s="17">
        <f t="shared" ca="1" si="2"/>
        <v>5.8881215399999967</v>
      </c>
      <c r="P25" s="10">
        <f t="shared" ca="1" si="5"/>
        <v>1.3925414359999997</v>
      </c>
      <c r="Q25" s="102"/>
      <c r="R25" s="230"/>
    </row>
    <row r="26" spans="2:18" x14ac:dyDescent="0.25">
      <c r="B26" s="81"/>
      <c r="C26" s="4" t="s">
        <v>348</v>
      </c>
      <c r="D26" s="2" t="s">
        <v>78</v>
      </c>
      <c r="E26" s="2" t="s">
        <v>64</v>
      </c>
      <c r="F26" s="2" t="s">
        <v>8</v>
      </c>
      <c r="G26" s="6">
        <v>2023</v>
      </c>
      <c r="H26" s="2" t="s">
        <v>67</v>
      </c>
      <c r="I26" s="105">
        <f>'6. %'!F26</f>
        <v>6.2621982517370271E-3</v>
      </c>
      <c r="J26" s="17">
        <f t="shared" ca="1" si="6"/>
        <v>14.999998939999999</v>
      </c>
      <c r="K26" s="17">
        <f ca="1">-SUMIF('CF (Equity, Debt)'!$C$3:$K$53,'S | 01 '!C26,'CF (Equity, Debt)'!$E$3:$E$53)</f>
        <v>14.999998939999999</v>
      </c>
      <c r="L26" s="17">
        <f t="shared" ca="1" si="3"/>
        <v>0</v>
      </c>
      <c r="M26" s="17">
        <v>0</v>
      </c>
      <c r="N26" s="17">
        <f ca="1">VLOOKUP(C26,NAV!$B$4:$E$44,4,0)</f>
        <v>14.999998939999999</v>
      </c>
      <c r="O26" s="17">
        <f t="shared" ca="1" si="2"/>
        <v>0</v>
      </c>
      <c r="P26" s="10">
        <f t="shared" ca="1" si="5"/>
        <v>1</v>
      </c>
      <c r="Q26" s="102"/>
      <c r="R26" s="230"/>
    </row>
    <row r="27" spans="2:18" ht="17.25" x14ac:dyDescent="0.25">
      <c r="B27" s="81"/>
      <c r="C27" s="4" t="s">
        <v>413</v>
      </c>
      <c r="D27" s="2" t="s">
        <v>78</v>
      </c>
      <c r="E27" s="2" t="s">
        <v>64</v>
      </c>
      <c r="F27" s="2" t="s">
        <v>8</v>
      </c>
      <c r="G27" s="6">
        <v>2023</v>
      </c>
      <c r="H27" s="2" t="s">
        <v>416</v>
      </c>
      <c r="I27" s="105">
        <f>'6. %'!F27</f>
        <v>6.2500000000000003E-3</v>
      </c>
      <c r="J27" s="17">
        <f t="shared" ca="1" si="6"/>
        <v>6.875E-3</v>
      </c>
      <c r="K27" s="17">
        <f ca="1">-SUMIF('CF (Equity, Debt)'!$C$3:$K$53,'S | 01 '!C27,'CF (Equity, Debt)'!$E$3:$E$53)</f>
        <v>6.875E-3</v>
      </c>
      <c r="L27" s="17">
        <f t="shared" ca="1" si="3"/>
        <v>0</v>
      </c>
      <c r="M27" s="17">
        <v>0</v>
      </c>
      <c r="N27" s="17">
        <f>VLOOKUP(C27,NAV!$B$4:$E$44,4,0)</f>
        <v>120.19230769230769</v>
      </c>
      <c r="O27" s="17">
        <f t="shared" ca="1" si="2"/>
        <v>120.1854326923077</v>
      </c>
      <c r="P27" s="10" t="s">
        <v>351</v>
      </c>
      <c r="Q27" s="102" t="s">
        <v>557</v>
      </c>
      <c r="R27" s="230"/>
    </row>
    <row r="28" spans="2:18" ht="17.25" x14ac:dyDescent="0.25">
      <c r="B28" s="81"/>
      <c r="C28" s="4" t="s">
        <v>424</v>
      </c>
      <c r="D28" s="2" t="s">
        <v>78</v>
      </c>
      <c r="E28" s="2" t="s">
        <v>62</v>
      </c>
      <c r="F28" s="2" t="s">
        <v>8</v>
      </c>
      <c r="G28" s="6">
        <v>2023</v>
      </c>
      <c r="H28" s="2" t="s">
        <v>68</v>
      </c>
      <c r="I28" s="105">
        <f>'6. %'!F28</f>
        <v>0.11483735948644427</v>
      </c>
      <c r="J28" s="17">
        <f ca="1">K28</f>
        <v>6</v>
      </c>
      <c r="K28" s="17">
        <f ca="1">-SUMIF('CF (Equity, Debt)'!$C$3:$K$53,'S | 01 '!C28,'CF (Equity, Debt)'!$E$3:$E$53)</f>
        <v>6</v>
      </c>
      <c r="L28" s="17">
        <f t="shared" ca="1" si="3"/>
        <v>0</v>
      </c>
      <c r="M28" s="17">
        <v>0</v>
      </c>
      <c r="N28" s="17">
        <f ca="1">VLOOKUP(C28,NAV!$B$4:$E$44,4,0)</f>
        <v>6</v>
      </c>
      <c r="O28" s="17">
        <f t="shared" ca="1" si="2"/>
        <v>0</v>
      </c>
      <c r="P28" s="10">
        <f t="shared" ca="1" si="5"/>
        <v>1</v>
      </c>
      <c r="Q28" s="102" t="s">
        <v>438</v>
      </c>
      <c r="R28" s="230"/>
    </row>
    <row r="29" spans="2:18" ht="17.25" x14ac:dyDescent="0.25">
      <c r="B29" s="81"/>
      <c r="C29" s="4" t="s">
        <v>467</v>
      </c>
      <c r="D29" s="2" t="s">
        <v>78</v>
      </c>
      <c r="E29" s="2" t="s">
        <v>468</v>
      </c>
      <c r="F29" s="2" t="s">
        <v>611</v>
      </c>
      <c r="G29" s="6">
        <v>2024</v>
      </c>
      <c r="H29" s="2" t="s">
        <v>470</v>
      </c>
      <c r="I29" s="105">
        <f>'6. %'!F29</f>
        <v>0.25</v>
      </c>
      <c r="J29" s="17">
        <f ca="1">K29+0.25</f>
        <v>2.75</v>
      </c>
      <c r="K29" s="17">
        <f ca="1">-SUMIF('CF (Equity, Debt)'!$C$3:$K$53,'S | 01 '!C29,'CF (Equity, Debt)'!$E$3:$E$53)</f>
        <v>2.5</v>
      </c>
      <c r="L29" s="17">
        <f t="shared" ca="1" si="3"/>
        <v>0.25</v>
      </c>
      <c r="M29" s="17">
        <v>0</v>
      </c>
      <c r="N29" s="17">
        <f ca="1">VLOOKUP(C29,NAV!$B$4:$E$44,4,0)</f>
        <v>2.5</v>
      </c>
      <c r="O29" s="17">
        <f t="shared" ca="1" si="2"/>
        <v>0</v>
      </c>
      <c r="P29" s="10">
        <f t="shared" ca="1" si="5"/>
        <v>1</v>
      </c>
      <c r="Q29" s="102" t="s">
        <v>541</v>
      </c>
      <c r="R29" s="230"/>
    </row>
    <row r="30" spans="2:18" x14ac:dyDescent="0.25">
      <c r="B30" s="81"/>
      <c r="C30" s="4" t="s">
        <v>607</v>
      </c>
      <c r="D30" s="2" t="s">
        <v>78</v>
      </c>
      <c r="E30" s="2" t="s">
        <v>64</v>
      </c>
      <c r="F30" s="2" t="s">
        <v>608</v>
      </c>
      <c r="G30" s="6">
        <v>2024</v>
      </c>
      <c r="H30" s="2" t="s">
        <v>44</v>
      </c>
      <c r="I30" s="105" t="str">
        <f>'6. %'!F30</f>
        <v>n/a</v>
      </c>
      <c r="J30" s="17">
        <f t="shared" ref="J30" ca="1" si="7">K30</f>
        <v>20</v>
      </c>
      <c r="K30" s="17">
        <f ca="1">-SUMIF('CF (Equity, Debt)'!$C$3:$K$53,'S | 01 '!C30,'CF (Equity, Debt)'!$E$3:$E$53)</f>
        <v>20</v>
      </c>
      <c r="L30" s="17">
        <f t="shared" ref="L30:L31" ca="1" si="8">J30-K30</f>
        <v>0</v>
      </c>
      <c r="M30" s="17">
        <v>0</v>
      </c>
      <c r="N30" s="17">
        <f>VLOOKUP(C30,NAV!$B$4:$E$44,4,0)</f>
        <v>20</v>
      </c>
      <c r="O30" s="17">
        <f t="shared" ref="O30:O31" ca="1" si="9">N30+M30-K30</f>
        <v>0</v>
      </c>
      <c r="P30" s="10">
        <f t="shared" ca="1" si="5"/>
        <v>1</v>
      </c>
      <c r="Q30" s="102"/>
      <c r="R30" s="230"/>
    </row>
    <row r="31" spans="2:18" x14ac:dyDescent="0.25">
      <c r="B31" s="81"/>
      <c r="C31" s="4" t="s">
        <v>685</v>
      </c>
      <c r="D31" s="2" t="s">
        <v>78</v>
      </c>
      <c r="E31" s="2" t="s">
        <v>64</v>
      </c>
      <c r="F31" s="2" t="s">
        <v>608</v>
      </c>
      <c r="G31" s="6">
        <v>2024</v>
      </c>
      <c r="H31" s="2" t="s">
        <v>686</v>
      </c>
      <c r="I31" s="105" t="s">
        <v>124</v>
      </c>
      <c r="J31" s="17">
        <v>10</v>
      </c>
      <c r="K31" s="17">
        <f ca="1">-SUMIF('CF (Equity, Debt)'!$C$3:$K$53,'S | 01 '!C31,'CF (Equity, Debt)'!$E$3:$E$53)</f>
        <v>10</v>
      </c>
      <c r="L31" s="17">
        <f t="shared" ca="1" si="8"/>
        <v>0</v>
      </c>
      <c r="M31" s="17">
        <v>0</v>
      </c>
      <c r="N31" s="17">
        <f>VLOOKUP(C31,NAV!$B$4:$E$44,4,0)</f>
        <v>10</v>
      </c>
      <c r="O31" s="17">
        <f t="shared" ca="1" si="9"/>
        <v>0</v>
      </c>
      <c r="P31" s="10">
        <f t="shared" ca="1" si="5"/>
        <v>1</v>
      </c>
      <c r="Q31" s="102" t="s">
        <v>693</v>
      </c>
      <c r="R31" s="230"/>
    </row>
    <row r="32" spans="2:18" x14ac:dyDescent="0.25">
      <c r="B32" s="81"/>
      <c r="C32" s="5"/>
      <c r="D32" s="7"/>
      <c r="E32" s="7"/>
      <c r="F32" s="7"/>
      <c r="G32" s="14"/>
      <c r="H32" s="7"/>
      <c r="I32" s="207"/>
      <c r="J32" s="24"/>
      <c r="K32" s="7"/>
      <c r="L32" s="24"/>
      <c r="M32" s="24"/>
      <c r="N32" s="24"/>
      <c r="O32" s="24"/>
      <c r="P32" s="15"/>
      <c r="Q32" s="220"/>
      <c r="R32" s="230"/>
    </row>
    <row r="33" spans="2:18" s="85" customFormat="1" x14ac:dyDescent="0.25">
      <c r="B33" s="83"/>
      <c r="C33" s="98"/>
      <c r="D33" s="98"/>
      <c r="E33" s="98"/>
      <c r="F33" s="98"/>
      <c r="G33" s="98"/>
      <c r="H33" s="98"/>
      <c r="I33" s="99"/>
      <c r="J33" s="100">
        <f ca="1">SUM(J9:J31)</f>
        <v>2151.7830433728436</v>
      </c>
      <c r="K33" s="100">
        <f t="shared" ref="K33:O33" ca="1" si="10">SUM(K9:K31)</f>
        <v>2148.0330433728436</v>
      </c>
      <c r="L33" s="100">
        <f t="shared" ca="1" si="10"/>
        <v>3.75</v>
      </c>
      <c r="M33" s="100">
        <f t="shared" ca="1" si="10"/>
        <v>1243.24219253</v>
      </c>
      <c r="N33" s="98">
        <f t="shared" ca="1" si="10"/>
        <v>757.71882746284189</v>
      </c>
      <c r="O33" s="100">
        <f t="shared" ca="1" si="10"/>
        <v>-147.07202338000212</v>
      </c>
      <c r="P33" s="101">
        <f t="shared" ca="1" si="5"/>
        <v>0.9315317686411988</v>
      </c>
      <c r="Q33" s="103"/>
      <c r="R33" s="290"/>
    </row>
    <row r="34" spans="2:18" x14ac:dyDescent="0.25">
      <c r="B34" s="81"/>
      <c r="C34" s="5"/>
      <c r="D34" s="8"/>
      <c r="E34" s="8"/>
      <c r="F34" s="8"/>
      <c r="G34" s="8"/>
      <c r="H34" s="8"/>
      <c r="I34" s="22"/>
      <c r="J34" s="19"/>
      <c r="K34" s="19"/>
      <c r="L34" s="19"/>
      <c r="M34" s="19"/>
      <c r="N34" s="19"/>
      <c r="O34" s="19"/>
      <c r="P34" s="12"/>
      <c r="Q34" s="104"/>
      <c r="R34" s="230"/>
    </row>
    <row r="35" spans="2:18" x14ac:dyDescent="0.25">
      <c r="B35" s="81"/>
      <c r="C35" s="521" t="s">
        <v>29</v>
      </c>
      <c r="D35" s="429"/>
      <c r="E35" s="429"/>
      <c r="F35" s="429"/>
      <c r="G35" s="430"/>
      <c r="H35" s="429"/>
      <c r="I35" s="431"/>
      <c r="J35" s="432"/>
      <c r="K35" s="432"/>
      <c r="L35" s="432"/>
      <c r="M35" s="432"/>
      <c r="N35" s="432"/>
      <c r="O35" s="432"/>
      <c r="P35" s="433"/>
      <c r="Q35" s="429"/>
      <c r="R35" s="230"/>
    </row>
    <row r="36" spans="2:18" x14ac:dyDescent="0.25">
      <c r="B36" s="81"/>
      <c r="C36" s="4" t="s">
        <v>48</v>
      </c>
      <c r="D36" s="2" t="s">
        <v>448</v>
      </c>
      <c r="E36" s="2" t="s">
        <v>306</v>
      </c>
      <c r="F36" s="2" t="s">
        <v>8</v>
      </c>
      <c r="G36" s="6">
        <v>2019</v>
      </c>
      <c r="H36" s="2" t="s">
        <v>126</v>
      </c>
      <c r="I36" s="105" t="s">
        <v>124</v>
      </c>
      <c r="J36" s="17">
        <v>8</v>
      </c>
      <c r="K36" s="17">
        <v>8</v>
      </c>
      <c r="L36" s="17">
        <v>0</v>
      </c>
      <c r="M36" s="17">
        <v>0</v>
      </c>
      <c r="N36" s="17">
        <v>0</v>
      </c>
      <c r="O36" s="17">
        <f t="shared" ref="O36:O38" si="11">N36+M36-K36</f>
        <v>-8</v>
      </c>
      <c r="P36" s="10">
        <f>(M36+N36)/K36</f>
        <v>0</v>
      </c>
      <c r="Q36" s="102" t="s">
        <v>449</v>
      </c>
      <c r="R36" s="230"/>
    </row>
    <row r="37" spans="2:18" x14ac:dyDescent="0.25">
      <c r="B37" s="81"/>
      <c r="C37" s="4" t="s">
        <v>248</v>
      </c>
      <c r="D37" s="2" t="s">
        <v>448</v>
      </c>
      <c r="E37" s="2" t="s">
        <v>63</v>
      </c>
      <c r="F37" s="2" t="s">
        <v>8</v>
      </c>
      <c r="G37" s="6">
        <v>2021</v>
      </c>
      <c r="H37" s="2" t="s">
        <v>128</v>
      </c>
      <c r="I37" s="105" t="s">
        <v>124</v>
      </c>
      <c r="J37" s="17">
        <v>2.3539819999999998</v>
      </c>
      <c r="K37" s="17">
        <f>J37</f>
        <v>2.3539819999999998</v>
      </c>
      <c r="L37" s="17">
        <v>0</v>
      </c>
      <c r="M37" s="17">
        <v>0</v>
      </c>
      <c r="N37" s="17">
        <f>VLOOKUP(C37,NAV!$B$4:$E$44,4,0)</f>
        <v>0</v>
      </c>
      <c r="O37" s="17">
        <f t="shared" si="11"/>
        <v>-2.3539819999999998</v>
      </c>
      <c r="P37" s="10">
        <f>(M37+N37)/K37</f>
        <v>0</v>
      </c>
      <c r="Q37" s="102" t="s">
        <v>82</v>
      </c>
      <c r="R37" s="230"/>
    </row>
    <row r="38" spans="2:18" x14ac:dyDescent="0.25">
      <c r="B38" s="81"/>
      <c r="C38" s="4" t="s">
        <v>240</v>
      </c>
      <c r="D38" s="2" t="s">
        <v>79</v>
      </c>
      <c r="E38" s="2" t="s">
        <v>62</v>
      </c>
      <c r="F38" s="2" t="s">
        <v>8</v>
      </c>
      <c r="G38" s="6">
        <v>2021</v>
      </c>
      <c r="H38" s="2" t="s">
        <v>128</v>
      </c>
      <c r="I38" s="105" t="s">
        <v>124</v>
      </c>
      <c r="J38" s="17">
        <v>0.41176499999999999</v>
      </c>
      <c r="K38" s="17">
        <v>0.41176499999999999</v>
      </c>
      <c r="L38" s="17">
        <v>0</v>
      </c>
      <c r="M38" s="17">
        <f>'CF (Equity, Debt)'!F58</f>
        <v>0.47078465000000003</v>
      </c>
      <c r="N38" s="17">
        <v>0</v>
      </c>
      <c r="O38" s="17">
        <f t="shared" si="11"/>
        <v>5.9019650000000035E-2</v>
      </c>
      <c r="P38" s="10">
        <f>(M38+N38)/K38</f>
        <v>1.1433333333333333</v>
      </c>
      <c r="Q38" s="102"/>
      <c r="R38" s="230"/>
    </row>
    <row r="39" spans="2:18" s="85" customFormat="1" x14ac:dyDescent="0.25">
      <c r="B39" s="83"/>
      <c r="C39" s="98"/>
      <c r="D39" s="98"/>
      <c r="E39" s="98"/>
      <c r="F39" s="98"/>
      <c r="G39" s="98"/>
      <c r="H39" s="98"/>
      <c r="I39" s="106"/>
      <c r="J39" s="100">
        <f>SUM(J36:J38)</f>
        <v>10.765747000000001</v>
      </c>
      <c r="K39" s="100">
        <f>SUM(K36:K38)</f>
        <v>10.765747000000001</v>
      </c>
      <c r="L39" s="100">
        <f>SUM(L36:L38)</f>
        <v>0</v>
      </c>
      <c r="M39" s="100">
        <f>SUM(M36:M38)</f>
        <v>0.47078465000000003</v>
      </c>
      <c r="N39" s="100">
        <f>SUM(N36:N38)</f>
        <v>0</v>
      </c>
      <c r="O39" s="100">
        <f>N39+M39-K39</f>
        <v>-10.29496235</v>
      </c>
      <c r="P39" s="101">
        <f t="shared" ref="P39" si="12">(M39+N39)/K39</f>
        <v>4.3729863798582673E-2</v>
      </c>
      <c r="Q39" s="103"/>
      <c r="R39" s="290"/>
    </row>
    <row r="40" spans="2:18" x14ac:dyDescent="0.25">
      <c r="B40" s="81"/>
      <c r="C40" s="5"/>
      <c r="D40" s="8"/>
      <c r="E40" s="8"/>
      <c r="F40" s="8"/>
      <c r="G40" s="8"/>
      <c r="H40" s="8"/>
      <c r="I40" s="107"/>
      <c r="J40" s="19"/>
      <c r="K40" s="19"/>
      <c r="L40" s="19"/>
      <c r="M40" s="19"/>
      <c r="N40" s="19"/>
      <c r="O40" s="19"/>
      <c r="P40" s="12"/>
      <c r="Q40" s="8"/>
      <c r="R40" s="230"/>
    </row>
    <row r="41" spans="2:18" x14ac:dyDescent="0.25">
      <c r="B41" s="81"/>
      <c r="C41" s="521" t="s">
        <v>30</v>
      </c>
      <c r="D41" s="429"/>
      <c r="E41" s="429"/>
      <c r="F41" s="429"/>
      <c r="G41" s="430"/>
      <c r="H41" s="429"/>
      <c r="I41" s="431"/>
      <c r="J41" s="432"/>
      <c r="K41" s="432"/>
      <c r="L41" s="432"/>
      <c r="M41" s="432"/>
      <c r="N41" s="432"/>
      <c r="O41" s="432"/>
      <c r="P41" s="433"/>
      <c r="Q41" s="429"/>
      <c r="R41" s="230"/>
    </row>
    <row r="42" spans="2:18" x14ac:dyDescent="0.25">
      <c r="B42" s="81"/>
      <c r="C42" s="4" t="s">
        <v>118</v>
      </c>
      <c r="D42" s="2" t="s">
        <v>78</v>
      </c>
      <c r="E42" s="2" t="s">
        <v>62</v>
      </c>
      <c r="F42" s="2" t="s">
        <v>615</v>
      </c>
      <c r="G42" s="6">
        <v>2020</v>
      </c>
      <c r="H42" s="2" t="s">
        <v>54</v>
      </c>
      <c r="I42" s="105" t="s">
        <v>124</v>
      </c>
      <c r="J42" s="17">
        <f>'8. NewSpace'!P7*10^-6*NAV!K21</f>
        <v>24.886432108956999</v>
      </c>
      <c r="K42" s="17">
        <f ca="1">-SUMIF('CF (Funds)'!$C$4:$E$2011,C42,'CF (Funds)'!$E$4:$E$2011)</f>
        <v>15.922439021640404</v>
      </c>
      <c r="L42" s="17">
        <f>'8. NewSpace'!P22*10^-6*NAV!K21</f>
        <v>11.895120094157999</v>
      </c>
      <c r="M42" s="17">
        <f>SUM('CF (Funds)'!F38:F61)</f>
        <v>3.4194690781652</v>
      </c>
      <c r="N42" s="17">
        <f>VLOOKUP(C42,NAV!$B$4:$E$44,4,0)</f>
        <v>19.274963442142997</v>
      </c>
      <c r="O42" s="17">
        <f t="shared" ref="O42:O46" ca="1" si="13">N42+M42-K42</f>
        <v>6.7719934986677934</v>
      </c>
      <c r="P42" s="10">
        <f ca="1">(M42+N42)/K42</f>
        <v>1.4253113162791131</v>
      </c>
      <c r="Q42" s="2"/>
      <c r="R42" s="230"/>
    </row>
    <row r="43" spans="2:18" x14ac:dyDescent="0.25">
      <c r="B43" s="81"/>
      <c r="C43" s="4" t="s">
        <v>347</v>
      </c>
      <c r="D43" s="2" t="s">
        <v>78</v>
      </c>
      <c r="E43" s="2" t="s">
        <v>62</v>
      </c>
      <c r="F43" s="2" t="s">
        <v>615</v>
      </c>
      <c r="G43" s="6">
        <v>2023</v>
      </c>
      <c r="H43" s="2" t="s">
        <v>54</v>
      </c>
      <c r="I43" s="105" t="s">
        <v>124</v>
      </c>
      <c r="J43" s="17">
        <f>2.3/0.85</f>
        <v>2.7058823529411762</v>
      </c>
      <c r="K43" s="17">
        <v>2.7058823529411762</v>
      </c>
      <c r="L43" s="17">
        <v>0</v>
      </c>
      <c r="M43" s="17">
        <v>0</v>
      </c>
      <c r="N43" s="17">
        <f ca="1">VLOOKUP(C43,NAV!$B$4:$E$44,4,0)</f>
        <v>3.2756152095037327</v>
      </c>
      <c r="O43" s="17">
        <f t="shared" ca="1" si="13"/>
        <v>0.56973285656255657</v>
      </c>
      <c r="P43" s="10">
        <f ca="1">(M43+N43)/K43</f>
        <v>1.2105534469905102</v>
      </c>
      <c r="Q43" s="94"/>
      <c r="R43" s="230"/>
    </row>
    <row r="44" spans="2:18" x14ac:dyDescent="0.25">
      <c r="B44" s="81"/>
      <c r="C44" s="4" t="s">
        <v>1</v>
      </c>
      <c r="D44" s="2" t="s">
        <v>78</v>
      </c>
      <c r="E44" s="2" t="s">
        <v>63</v>
      </c>
      <c r="F44" s="2" t="s">
        <v>615</v>
      </c>
      <c r="G44" s="6">
        <v>2020</v>
      </c>
      <c r="H44" s="2" t="s">
        <v>54</v>
      </c>
      <c r="I44" s="105" t="s">
        <v>124</v>
      </c>
      <c r="J44" s="17">
        <f ca="1">K44+L44</f>
        <v>83.630349999999979</v>
      </c>
      <c r="K44" s="17">
        <f ca="1">-SUMIF('CF (Funds)'!$C$4:$E$2011,C44,'CF (Funds)'!$E$4:$E$2011)</f>
        <v>83.270349999999979</v>
      </c>
      <c r="L44" s="17">
        <f>0.12*3</f>
        <v>0.36</v>
      </c>
      <c r="M44" s="17">
        <f>SUM('CF (Funds)'!F26:'CF (Funds)'!F36)</f>
        <v>7.8158709999999996</v>
      </c>
      <c r="N44" s="17">
        <f>VLOOKUP(C44,NAV!$B$4:$E$44,4,0)</f>
        <v>74.725861000000009</v>
      </c>
      <c r="O44" s="17">
        <f t="shared" ca="1" si="13"/>
        <v>-0.7286179999999689</v>
      </c>
      <c r="P44" s="10">
        <f ca="1">(M44+N44)/K44</f>
        <v>0.99124997072787646</v>
      </c>
      <c r="Q44" s="2"/>
      <c r="R44" s="230"/>
    </row>
    <row r="45" spans="2:18" x14ac:dyDescent="0.25">
      <c r="B45" s="81"/>
      <c r="C45" s="4" t="s">
        <v>12</v>
      </c>
      <c r="D45" s="2" t="s">
        <v>79</v>
      </c>
      <c r="E45" s="2" t="s">
        <v>63</v>
      </c>
      <c r="F45" s="2" t="s">
        <v>615</v>
      </c>
      <c r="G45" s="6">
        <v>2020</v>
      </c>
      <c r="H45" s="2" t="s">
        <v>54</v>
      </c>
      <c r="I45" s="105" t="s">
        <v>124</v>
      </c>
      <c r="J45" s="17">
        <v>50</v>
      </c>
      <c r="K45" s="17">
        <f ca="1">-SUMIF('CF (Funds)'!$C$4:$E$2011,C45,'CF (Funds)'!$E$4:$E$2011)</f>
        <v>24.959693000000001</v>
      </c>
      <c r="L45" s="17">
        <v>0</v>
      </c>
      <c r="M45" s="17">
        <f>SUM('CF (Funds)'!F4:F21)</f>
        <v>25.403521350000002</v>
      </c>
      <c r="N45" s="17">
        <f>VLOOKUP(C45,NAV!$B$4:$E$44,4,0)</f>
        <v>0</v>
      </c>
      <c r="O45" s="17">
        <f ca="1">N45+M45-K45</f>
        <v>0.44382835000000043</v>
      </c>
      <c r="P45" s="10">
        <f ca="1">(M45+N45)/K45</f>
        <v>1.0177818032457371</v>
      </c>
      <c r="Q45" s="94"/>
      <c r="R45" s="230"/>
    </row>
    <row r="46" spans="2:18" ht="17.25" x14ac:dyDescent="0.25">
      <c r="B46" s="81"/>
      <c r="C46" s="4" t="s">
        <v>164</v>
      </c>
      <c r="D46" s="2" t="s">
        <v>78</v>
      </c>
      <c r="E46" s="2" t="s">
        <v>64</v>
      </c>
      <c r="F46" s="2" t="s">
        <v>615</v>
      </c>
      <c r="G46" s="6">
        <v>2021</v>
      </c>
      <c r="H46" s="2" t="s">
        <v>54</v>
      </c>
      <c r="I46" s="105">
        <v>0.33</v>
      </c>
      <c r="J46" s="17">
        <v>17.112500000000001</v>
      </c>
      <c r="K46" s="17">
        <f ca="1">-SUMIF('CF (Funds)'!$C$4:$E$2011,C46,'CF (Funds)'!$E$4:$E$2011)</f>
        <v>14.0151375</v>
      </c>
      <c r="L46" s="17">
        <f ca="1">J46-K46</f>
        <v>3.0973625000000009</v>
      </c>
      <c r="M46" s="17">
        <v>0</v>
      </c>
      <c r="N46" s="17">
        <f>VLOOKUP(C46,NAV!$B$4:$E$44,4,0)</f>
        <v>10.875211999999999</v>
      </c>
      <c r="O46" s="17">
        <f t="shared" ca="1" si="13"/>
        <v>-3.1399255000000004</v>
      </c>
      <c r="P46" s="10">
        <f ca="1">(M46+N46)/K46</f>
        <v>0.77596184839428084</v>
      </c>
      <c r="Q46" s="2" t="s">
        <v>439</v>
      </c>
      <c r="R46" s="230"/>
    </row>
    <row r="47" spans="2:18" s="85" customFormat="1" x14ac:dyDescent="0.25">
      <c r="B47" s="83"/>
      <c r="C47" s="9"/>
      <c r="D47" s="9"/>
      <c r="E47" s="9"/>
      <c r="F47" s="9"/>
      <c r="G47" s="9"/>
      <c r="H47" s="9"/>
      <c r="I47" s="108"/>
      <c r="J47" s="18">
        <f ca="1">SUM(J42:J46)</f>
        <v>178.33516446189816</v>
      </c>
      <c r="K47" s="18">
        <f ca="1">SUM(K42:K46)</f>
        <v>140.87350187458156</v>
      </c>
      <c r="L47" s="18">
        <f ca="1">SUM(L42:L46)</f>
        <v>15.352482594157999</v>
      </c>
      <c r="M47" s="18">
        <f>SUM(M42:M46)</f>
        <v>36.6388614281652</v>
      </c>
      <c r="N47" s="9">
        <f ca="1">SUM(N42:N46)</f>
        <v>108.15165165164674</v>
      </c>
      <c r="O47" s="18">
        <f ca="1">N47+M47-K47</f>
        <v>3.9170112052303807</v>
      </c>
      <c r="P47" s="11">
        <f t="shared" ref="P47:P49" ca="1" si="14">(M47+N47)/K47</f>
        <v>1.0278051667141608</v>
      </c>
      <c r="Q47" s="9"/>
      <c r="R47" s="290"/>
    </row>
    <row r="48" spans="2:18" s="85" customFormat="1" x14ac:dyDescent="0.25">
      <c r="B48" s="83"/>
      <c r="C48" s="181"/>
      <c r="D48" s="181"/>
      <c r="E48" s="181"/>
      <c r="F48" s="181"/>
      <c r="G48" s="181"/>
      <c r="H48" s="181"/>
      <c r="I48" s="107"/>
      <c r="J48" s="182"/>
      <c r="K48" s="182"/>
      <c r="L48" s="182"/>
      <c r="M48" s="182"/>
      <c r="N48" s="182"/>
      <c r="O48" s="182"/>
      <c r="P48" s="183"/>
      <c r="Q48" s="181"/>
      <c r="R48" s="290"/>
    </row>
    <row r="49" spans="2:19" s="85" customFormat="1" x14ac:dyDescent="0.25">
      <c r="B49" s="83"/>
      <c r="C49" s="184" t="s">
        <v>56</v>
      </c>
      <c r="D49" s="177"/>
      <c r="E49" s="177"/>
      <c r="F49" s="177"/>
      <c r="G49" s="177"/>
      <c r="H49" s="177"/>
      <c r="I49" s="178"/>
      <c r="J49" s="179">
        <f ca="1">J33+J39+J47</f>
        <v>2340.8839548347419</v>
      </c>
      <c r="K49" s="179">
        <f ca="1">K33+K39+K47</f>
        <v>2299.672292247425</v>
      </c>
      <c r="L49" s="179">
        <f ca="1">L33+L39+L47</f>
        <v>19.102482594157998</v>
      </c>
      <c r="M49" s="179">
        <f ca="1">M33+M39+M47</f>
        <v>1280.3518386081653</v>
      </c>
      <c r="N49" s="179">
        <f ca="1">N33+N39+N47</f>
        <v>865.8704791144886</v>
      </c>
      <c r="O49" s="179">
        <f ca="1">N49+M49-K49</f>
        <v>-153.44997452477128</v>
      </c>
      <c r="P49" s="180">
        <f t="shared" ca="1" si="14"/>
        <v>0.93327311241602706</v>
      </c>
      <c r="Q49" s="177"/>
      <c r="R49" s="290"/>
    </row>
    <row r="50" spans="2:19" s="218" customFormat="1" ht="15.75" thickBot="1" x14ac:dyDescent="0.3">
      <c r="B50" s="211"/>
      <c r="C50" s="212"/>
      <c r="D50" s="213"/>
      <c r="E50" s="213"/>
      <c r="F50" s="213"/>
      <c r="G50" s="213"/>
      <c r="H50" s="213"/>
      <c r="I50" s="214"/>
      <c r="J50" s="215"/>
      <c r="K50" s="215"/>
      <c r="L50" s="215"/>
      <c r="M50" s="215"/>
      <c r="N50" s="215"/>
      <c r="O50" s="215"/>
      <c r="P50" s="216"/>
      <c r="Q50" s="213"/>
      <c r="R50" s="291"/>
    </row>
    <row r="51" spans="2:19" x14ac:dyDescent="0.25">
      <c r="I51" s="91"/>
    </row>
    <row r="52" spans="2:19" x14ac:dyDescent="0.25">
      <c r="C52" s="187" t="s">
        <v>146</v>
      </c>
      <c r="D52" s="109"/>
      <c r="E52" s="110"/>
      <c r="F52" s="111"/>
      <c r="G52" s="111"/>
      <c r="H52" s="111"/>
      <c r="I52" s="111"/>
      <c r="J52" s="111"/>
      <c r="K52" s="111"/>
      <c r="L52" s="111"/>
      <c r="M52" s="111"/>
      <c r="N52" s="111"/>
      <c r="O52" s="111"/>
      <c r="P52" s="111"/>
      <c r="Q52" s="111"/>
    </row>
    <row r="53" spans="2:19" x14ac:dyDescent="0.25">
      <c r="C53" s="72" t="s">
        <v>211</v>
      </c>
      <c r="G53" s="122"/>
      <c r="K53" s="188"/>
      <c r="N53" s="95"/>
      <c r="O53" s="95"/>
      <c r="Q53" s="95"/>
    </row>
    <row r="54" spans="2:19" x14ac:dyDescent="0.25">
      <c r="C54" s="71" t="s">
        <v>212</v>
      </c>
      <c r="N54" s="95"/>
      <c r="O54" s="95"/>
      <c r="Q54" s="95"/>
    </row>
    <row r="55" spans="2:19" x14ac:dyDescent="0.25">
      <c r="C55" s="71" t="s">
        <v>214</v>
      </c>
      <c r="N55" s="95"/>
      <c r="O55" s="95"/>
      <c r="Q55" s="95"/>
    </row>
    <row r="56" spans="2:19" x14ac:dyDescent="0.25">
      <c r="C56" s="71" t="s">
        <v>437</v>
      </c>
      <c r="N56" s="95"/>
      <c r="O56" s="95"/>
      <c r="Q56" s="95"/>
    </row>
    <row r="57" spans="2:19" x14ac:dyDescent="0.25">
      <c r="C57" s="71" t="s">
        <v>441</v>
      </c>
      <c r="N57" s="95"/>
      <c r="O57" s="95"/>
      <c r="Q57" s="95"/>
    </row>
    <row r="58" spans="2:19" x14ac:dyDescent="0.25">
      <c r="C58" s="72" t="s">
        <v>440</v>
      </c>
      <c r="N58" s="95"/>
      <c r="O58" s="95"/>
      <c r="Q58" s="95"/>
    </row>
    <row r="59" spans="2:19" x14ac:dyDescent="0.25">
      <c r="C59" s="72" t="s">
        <v>542</v>
      </c>
      <c r="N59" s="95"/>
      <c r="O59" s="95"/>
      <c r="Q59" s="95"/>
    </row>
    <row r="60" spans="2:19" x14ac:dyDescent="0.25">
      <c r="C60" s="72" t="s">
        <v>291</v>
      </c>
      <c r="N60" s="95"/>
      <c r="O60" s="95"/>
      <c r="Q60" s="95"/>
      <c r="R60" s="292"/>
      <c r="S60" s="265"/>
    </row>
    <row r="61" spans="2:19" x14ac:dyDescent="0.25">
      <c r="C61" s="72"/>
      <c r="N61" s="95"/>
      <c r="O61" s="95"/>
      <c r="Q61" s="95"/>
      <c r="R61" s="292"/>
      <c r="S61" s="265"/>
    </row>
    <row r="62" spans="2:19" x14ac:dyDescent="0.25">
      <c r="C62" s="187" t="s">
        <v>622</v>
      </c>
      <c r="D62" s="109"/>
      <c r="E62" s="110"/>
      <c r="F62" s="111"/>
      <c r="G62" s="111"/>
      <c r="H62" s="111"/>
      <c r="I62" s="110"/>
      <c r="J62" s="111"/>
      <c r="K62" s="111"/>
      <c r="L62" s="111"/>
      <c r="M62" s="111"/>
      <c r="N62" s="111"/>
      <c r="O62" s="111"/>
      <c r="P62" s="111"/>
      <c r="Q62" s="111"/>
      <c r="R62" s="292"/>
      <c r="S62" s="265"/>
    </row>
    <row r="63" spans="2:19" x14ac:dyDescent="0.25">
      <c r="C63" s="72" t="s">
        <v>289</v>
      </c>
      <c r="N63" s="95"/>
      <c r="O63" s="95"/>
      <c r="Q63" s="95"/>
      <c r="R63" s="292"/>
      <c r="S63" s="265"/>
    </row>
    <row r="64" spans="2:19" x14ac:dyDescent="0.25">
      <c r="C64" s="219" t="s">
        <v>290</v>
      </c>
      <c r="N64" s="95"/>
      <c r="O64" s="95"/>
      <c r="Q64" s="95"/>
    </row>
    <row r="65" spans="3:17" x14ac:dyDescent="0.25">
      <c r="C65" s="27"/>
      <c r="N65" s="95"/>
      <c r="O65" s="95"/>
      <c r="Q65" s="95"/>
    </row>
    <row r="66" spans="3:17" x14ac:dyDescent="0.25">
      <c r="C66" s="187" t="s">
        <v>618</v>
      </c>
      <c r="D66" s="109"/>
      <c r="E66" s="110"/>
      <c r="F66" s="111"/>
      <c r="G66" s="111"/>
      <c r="H66" s="111"/>
      <c r="I66" s="110"/>
      <c r="J66" s="111"/>
      <c r="K66" s="111"/>
      <c r="L66" s="111"/>
      <c r="M66" s="111"/>
      <c r="N66" s="111"/>
      <c r="O66" s="111"/>
      <c r="P66" s="111"/>
      <c r="Q66" s="111"/>
    </row>
    <row r="67" spans="3:17" x14ac:dyDescent="0.25">
      <c r="C67" s="13" t="s">
        <v>619</v>
      </c>
      <c r="N67" s="95"/>
      <c r="O67" s="95"/>
      <c r="Q67" s="95"/>
    </row>
    <row r="68" spans="3:17" x14ac:dyDescent="0.25">
      <c r="C68" s="13" t="s">
        <v>620</v>
      </c>
      <c r="N68" s="95"/>
      <c r="O68" s="95"/>
      <c r="Q68" s="95"/>
    </row>
    <row r="69" spans="3:17" x14ac:dyDescent="0.25">
      <c r="C69" s="13" t="s">
        <v>284</v>
      </c>
      <c r="N69" s="95"/>
      <c r="O69" s="95"/>
      <c r="Q69" s="95"/>
    </row>
    <row r="70" spans="3:17" x14ac:dyDescent="0.25">
      <c r="C70" s="13" t="s">
        <v>621</v>
      </c>
      <c r="N70" s="95"/>
      <c r="O70" s="95"/>
      <c r="Q70" s="95"/>
    </row>
    <row r="71" spans="3:17" x14ac:dyDescent="0.25">
      <c r="C71" s="13"/>
      <c r="N71" s="95"/>
      <c r="O71" s="95"/>
      <c r="Q71" s="95"/>
    </row>
    <row r="72" spans="3:17" x14ac:dyDescent="0.25">
      <c r="C72" s="72" t="s">
        <v>285</v>
      </c>
      <c r="N72" s="95"/>
      <c r="O72" s="95"/>
      <c r="Q72" s="95"/>
    </row>
    <row r="73" spans="3:17" x14ac:dyDescent="0.25">
      <c r="C73" s="13" t="s">
        <v>286</v>
      </c>
      <c r="N73" s="95"/>
      <c r="O73" s="95"/>
      <c r="Q73" s="95"/>
    </row>
    <row r="74" spans="3:17" x14ac:dyDescent="0.25">
      <c r="C74" s="72" t="s">
        <v>287</v>
      </c>
      <c r="N74" s="95"/>
      <c r="O74" s="95"/>
      <c r="Q74" s="95"/>
    </row>
    <row r="75" spans="3:17" x14ac:dyDescent="0.25">
      <c r="C75" s="72" t="s">
        <v>288</v>
      </c>
      <c r="P75" s="27"/>
    </row>
    <row r="76" spans="3:17" x14ac:dyDescent="0.25">
      <c r="C76" s="72" t="s">
        <v>616</v>
      </c>
      <c r="P76" s="27"/>
    </row>
    <row r="77" spans="3:17" x14ac:dyDescent="0.25">
      <c r="C77" s="26"/>
      <c r="P77" s="27"/>
    </row>
    <row r="78" spans="3:17" x14ac:dyDescent="0.25">
      <c r="C78" s="187" t="s">
        <v>147</v>
      </c>
      <c r="D78" s="109"/>
      <c r="E78" s="110"/>
      <c r="F78" s="111"/>
      <c r="G78" s="111"/>
      <c r="H78" s="111"/>
      <c r="I78" s="110"/>
      <c r="J78" s="111"/>
      <c r="K78" s="111"/>
      <c r="L78" s="111"/>
      <c r="M78" s="111"/>
      <c r="N78" s="111"/>
      <c r="O78" s="111"/>
      <c r="P78" s="111"/>
      <c r="Q78" s="111"/>
    </row>
    <row r="79" spans="3:17" x14ac:dyDescent="0.25">
      <c r="C79" s="13" t="s">
        <v>247</v>
      </c>
      <c r="P79" s="27"/>
    </row>
    <row r="80" spans="3:17" x14ac:dyDescent="0.25">
      <c r="C80" s="13" t="s">
        <v>140</v>
      </c>
      <c r="P80" s="27"/>
    </row>
    <row r="81" spans="3:9" x14ac:dyDescent="0.25">
      <c r="C81" s="72" t="s">
        <v>213</v>
      </c>
      <c r="I81" s="72"/>
    </row>
    <row r="82" spans="3:9" x14ac:dyDescent="0.25">
      <c r="H82" s="163"/>
      <c r="I82" s="72"/>
    </row>
    <row r="83" spans="3:9" x14ac:dyDescent="0.25">
      <c r="H83" s="72"/>
      <c r="I83" s="72"/>
    </row>
    <row r="84" spans="3:9" x14ac:dyDescent="0.25">
      <c r="C84" s="72"/>
      <c r="E84" s="72"/>
      <c r="H84" s="72"/>
      <c r="I84" s="72"/>
    </row>
    <row r="85" spans="3:9" x14ac:dyDescent="0.25">
      <c r="C85" s="27"/>
      <c r="H85" s="72"/>
      <c r="I85" s="72"/>
    </row>
    <row r="86" spans="3:9" x14ac:dyDescent="0.25">
      <c r="C86" s="27"/>
    </row>
    <row r="87" spans="3:9" x14ac:dyDescent="0.25">
      <c r="F87" s="72"/>
    </row>
  </sheetData>
  <pageMargins left="0.7" right="0.7" top="0.75" bottom="0.75" header="0.3" footer="0.3"/>
  <pageSetup paperSize="9" scale="25" orientation="portrait" verticalDpi="0" r:id="rId1"/>
  <ignoredErrors>
    <ignoredError sqref="J43"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W85"/>
  <sheetViews>
    <sheetView showGridLines="0" view="pageBreakPreview" zoomScale="70" zoomScaleNormal="90" zoomScaleSheetLayoutView="70" workbookViewId="0">
      <selection activeCell="D36" sqref="D36"/>
    </sheetView>
  </sheetViews>
  <sheetFormatPr defaultColWidth="9.140625" defaultRowHeight="15" outlineLevelCol="1" x14ac:dyDescent="0.25"/>
  <cols>
    <col min="1" max="2" width="5.42578125" style="26" customWidth="1"/>
    <col min="3" max="3" width="53.140625" style="71" bestFit="1" customWidth="1"/>
    <col min="4" max="4" width="18.7109375" style="71"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7.5703125" style="95" customWidth="1"/>
    <col min="18" max="18" width="17.5703125" style="27" customWidth="1"/>
    <col min="19" max="19" width="25.5703125" style="27" bestFit="1" customWidth="1"/>
    <col min="20" max="20" width="3" style="26" customWidth="1"/>
    <col min="21" max="21" width="6.28515625" style="26" customWidth="1"/>
    <col min="22" max="22" width="12.140625" style="26" bestFit="1" customWidth="1"/>
    <col min="23" max="23" width="18.5703125" style="26" customWidth="1"/>
    <col min="24" max="16384" width="9.140625" style="26"/>
  </cols>
  <sheetData>
    <row r="1" spans="2:23" ht="21.75" customHeight="1" thickBot="1" x14ac:dyDescent="0.3">
      <c r="C1" s="159"/>
      <c r="D1" s="159"/>
    </row>
    <row r="2" spans="2:23" ht="15.75" thickBot="1" x14ac:dyDescent="0.3">
      <c r="C2" s="185" t="s">
        <v>170</v>
      </c>
      <c r="D2" s="186">
        <f>D!D2</f>
        <v>45473</v>
      </c>
      <c r="F2" s="26"/>
      <c r="G2" s="26"/>
      <c r="H2" s="26"/>
      <c r="I2" s="26"/>
      <c r="J2" s="26"/>
      <c r="K2" s="26"/>
      <c r="L2" s="26"/>
      <c r="M2" s="26"/>
      <c r="N2" s="26"/>
      <c r="O2" s="26"/>
      <c r="P2" s="26"/>
      <c r="Q2" s="26"/>
      <c r="R2" s="26"/>
      <c r="S2" s="26"/>
    </row>
    <row r="3" spans="2:23" ht="21.75" customHeight="1" thickBot="1" x14ac:dyDescent="0.3">
      <c r="C3" s="159"/>
      <c r="D3" s="159"/>
    </row>
    <row r="4" spans="2:23" x14ac:dyDescent="0.25">
      <c r="B4" s="73"/>
      <c r="C4" s="74"/>
      <c r="D4" s="74"/>
      <c r="E4" s="75"/>
      <c r="F4" s="75"/>
      <c r="G4" s="75"/>
      <c r="H4" s="75"/>
      <c r="I4" s="75"/>
      <c r="J4" s="75"/>
      <c r="K4" s="75"/>
      <c r="L4" s="75"/>
      <c r="M4" s="75"/>
      <c r="N4" s="75"/>
      <c r="O4" s="75"/>
      <c r="P4" s="75"/>
      <c r="Q4" s="161"/>
      <c r="R4" s="75"/>
      <c r="S4" s="75"/>
      <c r="T4" s="77"/>
    </row>
    <row r="5" spans="2:23" s="218" customFormat="1" x14ac:dyDescent="0.25">
      <c r="B5" s="238"/>
      <c r="C5" s="239"/>
      <c r="D5" s="239"/>
      <c r="E5" s="240">
        <v>2</v>
      </c>
      <c r="F5" s="240">
        <v>3</v>
      </c>
      <c r="G5" s="240">
        <v>4</v>
      </c>
      <c r="H5" s="240">
        <v>5</v>
      </c>
      <c r="I5" s="240">
        <v>6</v>
      </c>
      <c r="J5" s="240">
        <v>7</v>
      </c>
      <c r="K5" s="240">
        <v>8</v>
      </c>
      <c r="L5" s="240">
        <v>9</v>
      </c>
      <c r="M5" s="240">
        <v>11</v>
      </c>
      <c r="N5" s="240">
        <v>12</v>
      </c>
      <c r="O5" s="240">
        <v>13</v>
      </c>
      <c r="P5" s="240"/>
      <c r="Q5" s="240">
        <v>14</v>
      </c>
      <c r="R5" s="240">
        <v>10</v>
      </c>
      <c r="S5" s="240">
        <v>15</v>
      </c>
      <c r="T5" s="241"/>
    </row>
    <row r="6" spans="2:23" s="80" customFormat="1" ht="60" customHeight="1" x14ac:dyDescent="0.25">
      <c r="B6" s="78"/>
      <c r="C6" s="3" t="s">
        <v>51</v>
      </c>
      <c r="D6" s="3" t="s">
        <v>153</v>
      </c>
      <c r="E6" s="1" t="s">
        <v>25</v>
      </c>
      <c r="F6" s="1" t="s">
        <v>61</v>
      </c>
      <c r="G6" s="1" t="s">
        <v>31</v>
      </c>
      <c r="H6" s="1" t="s">
        <v>137</v>
      </c>
      <c r="I6" s="1" t="s">
        <v>36</v>
      </c>
      <c r="J6" s="1" t="s">
        <v>53</v>
      </c>
      <c r="K6" s="1" t="s">
        <v>32</v>
      </c>
      <c r="L6" s="1" t="s">
        <v>2</v>
      </c>
      <c r="M6" s="1" t="s">
        <v>33</v>
      </c>
      <c r="N6" s="1" t="s">
        <v>27</v>
      </c>
      <c r="O6" s="1" t="s">
        <v>187</v>
      </c>
      <c r="P6" s="1" t="s">
        <v>412</v>
      </c>
      <c r="Q6" s="1" t="s">
        <v>34</v>
      </c>
      <c r="R6" s="1" t="s">
        <v>50</v>
      </c>
      <c r="S6" s="1" t="s">
        <v>452</v>
      </c>
      <c r="T6" s="79"/>
    </row>
    <row r="7" spans="2:23" ht="15.75" thickBot="1" x14ac:dyDescent="0.3">
      <c r="B7" s="81"/>
      <c r="C7" s="5"/>
      <c r="D7" s="5"/>
      <c r="E7" s="8"/>
      <c r="F7" s="8"/>
      <c r="G7" s="8"/>
      <c r="H7" s="8"/>
      <c r="I7" s="8" t="s">
        <v>84</v>
      </c>
      <c r="J7" s="8" t="s">
        <v>53</v>
      </c>
      <c r="K7" s="8" t="s">
        <v>274</v>
      </c>
      <c r="L7" s="8" t="s">
        <v>274</v>
      </c>
      <c r="M7" s="8" t="s">
        <v>274</v>
      </c>
      <c r="N7" s="8" t="s">
        <v>274</v>
      </c>
      <c r="O7" s="8" t="s">
        <v>274</v>
      </c>
      <c r="P7" s="8"/>
      <c r="Q7" s="12" t="s">
        <v>275</v>
      </c>
      <c r="R7" s="8" t="s">
        <v>274</v>
      </c>
      <c r="S7" s="8"/>
      <c r="T7" s="82"/>
      <c r="V7" s="278" t="s">
        <v>315</v>
      </c>
      <c r="W7" s="278"/>
    </row>
    <row r="8" spans="2:23" x14ac:dyDescent="0.25">
      <c r="B8" s="81"/>
      <c r="C8" s="521" t="s">
        <v>609</v>
      </c>
      <c r="D8" s="428"/>
      <c r="E8" s="429"/>
      <c r="F8" s="429"/>
      <c r="G8" s="429"/>
      <c r="H8" s="429"/>
      <c r="I8" s="430"/>
      <c r="J8" s="431"/>
      <c r="K8" s="432"/>
      <c r="L8" s="432"/>
      <c r="M8" s="432"/>
      <c r="N8" s="432"/>
      <c r="O8" s="432"/>
      <c r="P8" s="432"/>
      <c r="Q8" s="433"/>
      <c r="R8" s="432"/>
      <c r="S8" s="429"/>
      <c r="T8" s="82"/>
    </row>
    <row r="9" spans="2:23" ht="17.25" x14ac:dyDescent="0.25">
      <c r="B9" s="81"/>
      <c r="C9" s="4" t="s">
        <v>424</v>
      </c>
      <c r="D9" s="44" t="s">
        <v>293</v>
      </c>
      <c r="E9" s="2" t="str">
        <f>VLOOKUP($C9,'S | 01 '!$C$6:$Q$49,E$5,0)</f>
        <v>Unrealized</v>
      </c>
      <c r="F9" s="2" t="str">
        <f>VLOOKUP($C9,'S | 01 '!$C$6:$Q$49,F$5,0)</f>
        <v>Sushil</v>
      </c>
      <c r="G9" s="2" t="str">
        <f>VLOOKUP($C9,'S | 01 '!$C$6:$Q$49,G$5,0)</f>
        <v>Mozn</v>
      </c>
      <c r="H9" s="6">
        <f>VLOOKUP($C9,'S | 01 '!$C$6:$Q$49,H$5,0)</f>
        <v>2023</v>
      </c>
      <c r="I9" s="6" t="str">
        <f>VLOOKUP($C9,'S | 01 '!$C$6:$Q$49,I$5,0)</f>
        <v>B Prefs</v>
      </c>
      <c r="J9" s="105">
        <f>VLOOKUP($C9,'S | 01 '!$C$6:$Q$49,J$5,0)</f>
        <v>0.11483735948644427</v>
      </c>
      <c r="K9" s="17">
        <f ca="1">VLOOKUP($C9,'S | 01 '!$C$6:$Q$49,K$5,0)</f>
        <v>6</v>
      </c>
      <c r="L9" s="17">
        <f ca="1">VLOOKUP($C9,'S | 01 '!$C$6:$Q$49,L$5,0)</f>
        <v>6</v>
      </c>
      <c r="M9" s="17">
        <f>VLOOKUP($C9,'S | 01 '!$C$6:$Q$49,M$5,0)</f>
        <v>0</v>
      </c>
      <c r="N9" s="17">
        <f ca="1">VLOOKUP($C9,'S | 01 '!$C$6:$Q$49,N$5,0)</f>
        <v>6</v>
      </c>
      <c r="O9" s="17">
        <f ca="1">VLOOKUP($C9,'S | 01 '!$C$6:$Q$49,O$5,0)</f>
        <v>0</v>
      </c>
      <c r="P9" s="17" t="s">
        <v>124</v>
      </c>
      <c r="Q9" s="10">
        <f ca="1">VLOOKUP($C9,'S | 01 '!$C$6:$Q$49,Q$5,0)</f>
        <v>1</v>
      </c>
      <c r="R9" s="17">
        <f ca="1">VLOOKUP($C9,'S | 01 '!$C$6:$Q$49,R$5,0)</f>
        <v>0</v>
      </c>
      <c r="S9" s="2" t="s">
        <v>438</v>
      </c>
      <c r="T9" s="82"/>
    </row>
    <row r="10" spans="2:23" x14ac:dyDescent="0.25">
      <c r="B10" s="81"/>
      <c r="C10" s="4" t="s">
        <v>413</v>
      </c>
      <c r="D10" s="44" t="s">
        <v>293</v>
      </c>
      <c r="E10" s="2" t="str">
        <f>VLOOKUP($C10,'S | 01 '!$C$6:$Q$49,E$5,0)</f>
        <v>Unrealized</v>
      </c>
      <c r="F10" s="2" t="str">
        <f>VLOOKUP($C10,'S | 01 '!$C$6:$Q$49,F$5,0)</f>
        <v>Divyesh</v>
      </c>
      <c r="G10" s="2" t="str">
        <f>VLOOKUP($C10,'S | 01 '!$C$6:$Q$49,G$5,0)</f>
        <v>Mozn</v>
      </c>
      <c r="H10" s="6">
        <f>VLOOKUP($C10,'S | 01 '!$C$6:$Q$49,H$5,0)</f>
        <v>2023</v>
      </c>
      <c r="I10" s="6" t="str">
        <f>VLOOKUP($C10,'S | 01 '!$C$6:$Q$49,I$5,0)</f>
        <v>Tokens</v>
      </c>
      <c r="J10" s="105">
        <f>VLOOKUP($C10,'S | 01 '!$C$6:$Q$49,J$5,0)</f>
        <v>6.2500000000000003E-3</v>
      </c>
      <c r="K10" s="17">
        <f ca="1">VLOOKUP($C10,'S | 01 '!$C$6:$Q$49,K$5,0)</f>
        <v>6.875E-3</v>
      </c>
      <c r="L10" s="17">
        <f ca="1">VLOOKUP($C10,'S | 01 '!$C$6:$Q$49,L$5,0)</f>
        <v>6.875E-3</v>
      </c>
      <c r="M10" s="17">
        <f>VLOOKUP($C10,'S | 01 '!$C$6:$Q$49,M$5,0)</f>
        <v>0</v>
      </c>
      <c r="N10" s="17">
        <f>VLOOKUP($C10,'S | 01 '!$C$6:$Q$49,N$5,0)</f>
        <v>120.19230769230769</v>
      </c>
      <c r="O10" s="17">
        <f ca="1">VLOOKUP($C10,'S | 01 '!$C$6:$Q$49,O$5,0)</f>
        <v>120.1854326923077</v>
      </c>
      <c r="P10" s="17" t="s">
        <v>124</v>
      </c>
      <c r="Q10" s="10" t="str">
        <f>VLOOKUP($C10,'S | 01 '!$C$6:$Q$49,Q$5,0)</f>
        <v>NM</v>
      </c>
      <c r="R10" s="17">
        <f ca="1">VLOOKUP($C10,'S | 01 '!$C$6:$Q$49,R$5,0)</f>
        <v>0</v>
      </c>
      <c r="S10" s="2"/>
      <c r="T10" s="82"/>
    </row>
    <row r="11" spans="2:23" x14ac:dyDescent="0.25">
      <c r="B11" s="81"/>
      <c r="C11" s="4" t="s">
        <v>348</v>
      </c>
      <c r="D11" s="44" t="s">
        <v>293</v>
      </c>
      <c r="E11" s="2" t="str">
        <f>VLOOKUP($C11,'S | 01 '!$C$6:$Q$49,E$5,0)</f>
        <v>Unrealized</v>
      </c>
      <c r="F11" s="2" t="str">
        <f>VLOOKUP($C11,'S | 01 '!$C$6:$Q$49,F$5,0)</f>
        <v>Divyesh</v>
      </c>
      <c r="G11" s="2" t="str">
        <f>VLOOKUP($C11,'S | 01 '!$C$6:$Q$49,G$5,0)</f>
        <v>Mozn</v>
      </c>
      <c r="H11" s="6">
        <f>VLOOKUP($C11,'S | 01 '!$C$6:$Q$49,H$5,0)</f>
        <v>2023</v>
      </c>
      <c r="I11" s="6" t="str">
        <f>VLOOKUP($C11,'S | 01 '!$C$6:$Q$49,I$5,0)</f>
        <v>C Prefs</v>
      </c>
      <c r="J11" s="105">
        <f>VLOOKUP($C11,'S | 01 '!$C$6:$Q$49,J$5,0)</f>
        <v>6.2621982517370271E-3</v>
      </c>
      <c r="K11" s="17">
        <f ca="1">VLOOKUP($C11,'S | 01 '!$C$6:$Q$49,K$5,0)</f>
        <v>14.999998939999999</v>
      </c>
      <c r="L11" s="17">
        <f ca="1">VLOOKUP($C11,'S | 01 '!$C$6:$Q$49,L$5,0)</f>
        <v>14.999998939999999</v>
      </c>
      <c r="M11" s="17">
        <f>VLOOKUP($C11,'S | 01 '!$C$6:$Q$49,M$5,0)</f>
        <v>0</v>
      </c>
      <c r="N11" s="17">
        <f ca="1">VLOOKUP($C11,'S | 01 '!$C$6:$Q$49,N$5,0)</f>
        <v>14.999998939999999</v>
      </c>
      <c r="O11" s="17">
        <f ca="1">VLOOKUP($C11,'S | 01 '!$C$6:$Q$49,O$5,0)</f>
        <v>0</v>
      </c>
      <c r="P11" s="17" t="s">
        <v>124</v>
      </c>
      <c r="Q11" s="10">
        <f ca="1">VLOOKUP($C11,'S | 01 '!$C$6:$Q$49,Q$5,0)</f>
        <v>1</v>
      </c>
      <c r="R11" s="17">
        <f ca="1">VLOOKUP($C11,'S | 01 '!$C$6:$Q$49,R$5,0)</f>
        <v>0</v>
      </c>
      <c r="S11" s="2"/>
      <c r="T11" s="82"/>
    </row>
    <row r="12" spans="2:23" x14ac:dyDescent="0.25">
      <c r="B12" s="81"/>
      <c r="C12" s="4" t="s">
        <v>276</v>
      </c>
      <c r="D12" s="44" t="s">
        <v>293</v>
      </c>
      <c r="E12" s="2" t="str">
        <f>VLOOKUP($C12,'S | 01 '!$C$6:$Q$49,E$5,0)</f>
        <v>Unrealized</v>
      </c>
      <c r="F12" s="2" t="str">
        <f>VLOOKUP($C12,'S | 01 '!$C$6:$Q$49,F$5,0)</f>
        <v>Anton</v>
      </c>
      <c r="G12" s="2" t="str">
        <f>VLOOKUP($C12,'S | 01 '!$C$6:$Q$49,G$5,0)</f>
        <v>Mozn 4</v>
      </c>
      <c r="H12" s="6">
        <f>VLOOKUP($C12,'S | 01 '!$C$6:$Q$49,H$5,0)</f>
        <v>2022</v>
      </c>
      <c r="I12" s="6" t="str">
        <f>VLOOKUP($C12,'S | 01 '!$C$6:$Q$49,I$5,0)</f>
        <v>B Prefs</v>
      </c>
      <c r="J12" s="105">
        <f>VLOOKUP($C12,'S | 01 '!$C$6:$Q$49,J$5,0)</f>
        <v>2.7864956399278339E-2</v>
      </c>
      <c r="K12" s="17">
        <f ca="1">VLOOKUP($C12,'S | 01 '!$C$6:$Q$49,K$5,0)</f>
        <v>15</v>
      </c>
      <c r="L12" s="17">
        <f ca="1">VLOOKUP($C12,'S | 01 '!$C$6:$Q$49,L$5,0)</f>
        <v>15</v>
      </c>
      <c r="M12" s="17">
        <f>VLOOKUP($C12,'S | 01 '!$C$6:$Q$49,M$5,0)</f>
        <v>0</v>
      </c>
      <c r="N12" s="17">
        <f>VLOOKUP($C12,'S | 01 '!$C$6:$Q$49,N$5,0)</f>
        <v>20.888121539999997</v>
      </c>
      <c r="O12" s="17">
        <f ca="1">VLOOKUP($C12,'S | 01 '!$C$6:$Q$49,O$5,0)</f>
        <v>5.8881215399999967</v>
      </c>
      <c r="P12" s="17">
        <v>0</v>
      </c>
      <c r="Q12" s="10">
        <f ca="1">VLOOKUP($C12,'S | 01 '!$C$6:$Q$49,Q$5,0)</f>
        <v>1.3925414359999997</v>
      </c>
      <c r="R12" s="17">
        <f ca="1">VLOOKUP($C12,'S | 01 '!$C$6:$Q$49,R$5,0)</f>
        <v>0</v>
      </c>
      <c r="S12" s="2"/>
      <c r="T12" s="82"/>
      <c r="V12" s="26" t="s">
        <v>2</v>
      </c>
      <c r="W12" s="368">
        <f ca="1">L30</f>
        <v>1001.7675403728439</v>
      </c>
    </row>
    <row r="13" spans="2:23" x14ac:dyDescent="0.25">
      <c r="B13" s="81"/>
      <c r="C13" s="4" t="s">
        <v>246</v>
      </c>
      <c r="D13" s="44" t="s">
        <v>293</v>
      </c>
      <c r="E13" s="2" t="str">
        <f>VLOOKUP($C13,'S | 01 '!$C$6:$Q$49,E$5,0)</f>
        <v>Unrealized</v>
      </c>
      <c r="F13" s="2" t="str">
        <f>VLOOKUP($C13,'S | 01 '!$C$6:$Q$49,F$5,0)</f>
        <v>Divyesh</v>
      </c>
      <c r="G13" s="2" t="str">
        <f>VLOOKUP($C13,'S | 01 '!$C$6:$Q$49,G$5,0)</f>
        <v>Mozn</v>
      </c>
      <c r="H13" s="6">
        <f>VLOOKUP($C13,'S | 01 '!$C$6:$Q$49,H$5,0)</f>
        <v>2022</v>
      </c>
      <c r="I13" s="6" t="str">
        <f>VLOOKUP($C13,'S | 01 '!$C$6:$Q$49,I$5,0)</f>
        <v>Convertible Note</v>
      </c>
      <c r="J13" s="105" t="str">
        <f>VLOOKUP($C13,'S | 01 '!$C$6:$Q$49,J$5,0)</f>
        <v>n/a</v>
      </c>
      <c r="K13" s="17">
        <f>VLOOKUP($C13,'S | 01 '!$C$6:$Q$49,K$5,0)</f>
        <v>15</v>
      </c>
      <c r="L13" s="17">
        <f ca="1">VLOOKUP($C13,'S | 01 '!$C$6:$Q$49,L$5,0)</f>
        <v>11.5</v>
      </c>
      <c r="M13" s="17">
        <f>VLOOKUP($C13,'S | 01 '!$C$6:$Q$49,M$5,0)</f>
        <v>0</v>
      </c>
      <c r="N13" s="17">
        <f>VLOOKUP($C13,'S | 01 '!$C$6:$Q$49,N$5,0)</f>
        <v>11.5</v>
      </c>
      <c r="O13" s="17">
        <f ca="1">VLOOKUP($C13,'S | 01 '!$C$6:$Q$49,O$5,0)</f>
        <v>0</v>
      </c>
      <c r="P13" s="17">
        <v>0</v>
      </c>
      <c r="Q13" s="10">
        <f ca="1">VLOOKUP($C13,'S | 01 '!$C$6:$Q$49,Q$5,0)</f>
        <v>1</v>
      </c>
      <c r="R13" s="17">
        <f ca="1">VLOOKUP($C13,'S | 01 '!$C$6:$Q$49,R$5,0)</f>
        <v>3.5</v>
      </c>
      <c r="S13" s="2"/>
      <c r="T13" s="82"/>
      <c r="V13" s="26" t="s">
        <v>251</v>
      </c>
      <c r="W13" s="368">
        <f ca="1">N30</f>
        <v>516.03328484284179</v>
      </c>
    </row>
    <row r="14" spans="2:23" x14ac:dyDescent="0.25">
      <c r="B14" s="81"/>
      <c r="C14" s="506" t="s">
        <v>70</v>
      </c>
      <c r="D14" s="507" t="s">
        <v>293</v>
      </c>
      <c r="E14" s="508" t="str">
        <f>VLOOKUP($C14,'S | 01 '!$C$6:$Q$49,E$5,0)</f>
        <v>Realized</v>
      </c>
      <c r="F14" s="508" t="str">
        <f>VLOOKUP($C14,'S | 01 '!$C$6:$Q$49,F$5,0)</f>
        <v>Elaine</v>
      </c>
      <c r="G14" s="508" t="str">
        <f>VLOOKUP($C14,'S | 01 '!$C$6:$Q$49,G$5,0)</f>
        <v>Mozn 2</v>
      </c>
      <c r="H14" s="509">
        <f>VLOOKUP($C14,'S | 01 '!$C$6:$Q$49,H$5,0)</f>
        <v>2022</v>
      </c>
      <c r="I14" s="509" t="str">
        <f>VLOOKUP($C14,'S | 01 '!$C$6:$Q$49,I$5,0)</f>
        <v>Equity-TBC</v>
      </c>
      <c r="J14" s="510">
        <f>VLOOKUP($C14,'S | 01 '!$C$6:$Q$49,J$5,0)</f>
        <v>5.1000000000000004E-2</v>
      </c>
      <c r="K14" s="511">
        <f ca="1">VLOOKUP($C14,'S | 01 '!$C$6:$Q$49,K$5,0)</f>
        <v>493.50095619999996</v>
      </c>
      <c r="L14" s="511">
        <f ca="1">VLOOKUP($C14,'S | 01 '!$C$6:$Q$49,L$5,0)</f>
        <v>493.50095619999996</v>
      </c>
      <c r="M14" s="511">
        <f ca="1">VLOOKUP($C14,'S | 01 '!$C$6:$Q$49,M$5,0)</f>
        <v>403</v>
      </c>
      <c r="N14" s="511">
        <f>VLOOKUP($C14,'S | 01 '!$C$6:$Q$49,N$5,0)</f>
        <v>0</v>
      </c>
      <c r="O14" s="511">
        <f ca="1">VLOOKUP($C14,'S | 01 '!$C$6:$Q$49,O$5,0)</f>
        <v>-90.500956199999962</v>
      </c>
      <c r="P14" s="511">
        <v>-64.391000000000005</v>
      </c>
      <c r="Q14" s="512">
        <f ca="1">VLOOKUP($C14,'S | 01 '!$C$6:$Q$49,Q$5,0)</f>
        <v>0.81661442584252486</v>
      </c>
      <c r="R14" s="511">
        <f>VLOOKUP($C14,'S | 01 '!$C$6:$Q$49,R$5,0)</f>
        <v>0</v>
      </c>
      <c r="S14" s="508" t="s">
        <v>612</v>
      </c>
      <c r="T14" s="82"/>
      <c r="V14" s="26" t="s">
        <v>316</v>
      </c>
      <c r="W14" s="368">
        <f ca="1">O30</f>
        <v>-44.821278350002103</v>
      </c>
    </row>
    <row r="15" spans="2:23" x14ac:dyDescent="0.25">
      <c r="B15" s="81"/>
      <c r="C15" s="506" t="s">
        <v>248</v>
      </c>
      <c r="D15" s="507" t="s">
        <v>294</v>
      </c>
      <c r="E15" s="508" t="str">
        <f>VLOOKUP($C15,'S | 01 '!$C$6:$Q$49,E$5,0)</f>
        <v>Written-off</v>
      </c>
      <c r="F15" s="508" t="str">
        <f>VLOOKUP($C15,'S | 01 '!$C$6:$Q$49,F$5,0)</f>
        <v>Elaine</v>
      </c>
      <c r="G15" s="508" t="str">
        <f>VLOOKUP($C15,'S | 01 '!$C$6:$Q$49,G$5,0)</f>
        <v>Mozn</v>
      </c>
      <c r="H15" s="509">
        <f>VLOOKUP($C15,'S | 01 '!$C$6:$Q$49,H$5,0)</f>
        <v>2021</v>
      </c>
      <c r="I15" s="509" t="str">
        <f>VLOOKUP($C15,'S | 01 '!$C$6:$Q$49,I$5,0)</f>
        <v xml:space="preserve">Loan </v>
      </c>
      <c r="J15" s="510" t="str">
        <f>VLOOKUP($C15,'S | 01 '!$C$6:$Q$49,J$5,0)</f>
        <v>n/a</v>
      </c>
      <c r="K15" s="511">
        <f>VLOOKUP($C15,'S | 01 '!$C$6:$Q$49,K$5,0)</f>
        <v>2.3539819999999998</v>
      </c>
      <c r="L15" s="511">
        <f>VLOOKUP($C15,'S | 01 '!$C$6:$Q$49,L$5,0)</f>
        <v>2.3539819999999998</v>
      </c>
      <c r="M15" s="511">
        <f>VLOOKUP($C15,'S | 01 '!$C$6:$Q$49,M$5,0)</f>
        <v>0</v>
      </c>
      <c r="N15" s="511">
        <f>VLOOKUP($C15,'S | 01 '!$C$6:$Q$49,N$5,0)</f>
        <v>0</v>
      </c>
      <c r="O15" s="511">
        <f>VLOOKUP($C15,'S | 01 '!$C$6:$Q$49,O$5,0)</f>
        <v>-2.3539819999999998</v>
      </c>
      <c r="P15" s="511">
        <v>0</v>
      </c>
      <c r="Q15" s="512">
        <f>VLOOKUP($C15,'S | 01 '!$C$6:$Q$49,Q$5,0)</f>
        <v>0</v>
      </c>
      <c r="R15" s="511">
        <f>VLOOKUP($C15,'S | 01 '!$C$6:$Q$49,R$5,0)</f>
        <v>0</v>
      </c>
      <c r="S15" s="508" t="s">
        <v>447</v>
      </c>
      <c r="T15" s="82"/>
      <c r="V15" s="26" t="s">
        <v>317</v>
      </c>
      <c r="W15" s="368">
        <f ca="1">W14-P30</f>
        <v>-59.358476805444269</v>
      </c>
    </row>
    <row r="16" spans="2:23" x14ac:dyDescent="0.25">
      <c r="B16" s="81"/>
      <c r="C16" s="506" t="s">
        <v>240</v>
      </c>
      <c r="D16" s="507" t="s">
        <v>294</v>
      </c>
      <c r="E16" s="508" t="str">
        <f>VLOOKUP($C16,'S | 01 '!$C$6:$Q$49,E$5,0)</f>
        <v>Realized</v>
      </c>
      <c r="F16" s="508" t="str">
        <f>VLOOKUP($C16,'S | 01 '!$C$6:$Q$49,F$5,0)</f>
        <v>Sushil</v>
      </c>
      <c r="G16" s="508" t="str">
        <f>VLOOKUP($C16,'S | 01 '!$C$6:$Q$49,G$5,0)</f>
        <v>Mozn</v>
      </c>
      <c r="H16" s="509">
        <f>VLOOKUP($C16,'S | 01 '!$C$6:$Q$49,H$5,0)</f>
        <v>2021</v>
      </c>
      <c r="I16" s="509" t="str">
        <f>VLOOKUP($C16,'S | 01 '!$C$6:$Q$49,I$5,0)</f>
        <v xml:space="preserve">Loan </v>
      </c>
      <c r="J16" s="510" t="str">
        <f>VLOOKUP($C16,'S | 01 '!$C$6:$Q$49,J$5,0)</f>
        <v>n/a</v>
      </c>
      <c r="K16" s="511">
        <f>VLOOKUP($C16,'S | 01 '!$C$6:$Q$49,K$5,0)</f>
        <v>0.41176499999999999</v>
      </c>
      <c r="L16" s="511">
        <f>VLOOKUP($C16,'S | 01 '!$C$6:$Q$49,L$5,0)</f>
        <v>0.41176499999999999</v>
      </c>
      <c r="M16" s="511">
        <f>VLOOKUP($C16,'S | 01 '!$C$6:$Q$49,M$5,0)</f>
        <v>0.47078465000000003</v>
      </c>
      <c r="N16" s="511">
        <f>VLOOKUP($C16,'S | 01 '!$C$6:$Q$49,N$5,0)</f>
        <v>0</v>
      </c>
      <c r="O16" s="511">
        <f>VLOOKUP($C16,'S | 01 '!$C$6:$Q$49,O$5,0)</f>
        <v>5.9019650000000035E-2</v>
      </c>
      <c r="P16" s="511">
        <v>5.9019650000000035E-2</v>
      </c>
      <c r="Q16" s="512">
        <f>VLOOKUP($C16,'S | 01 '!$C$6:$Q$49,Q$5,0)</f>
        <v>1.1433333333333333</v>
      </c>
      <c r="R16" s="511">
        <f>VLOOKUP($C16,'S | 01 '!$C$6:$Q$49,R$5,0)</f>
        <v>0</v>
      </c>
      <c r="S16" s="508" t="s">
        <v>612</v>
      </c>
      <c r="T16" s="82"/>
      <c r="V16" s="26" t="s">
        <v>24</v>
      </c>
      <c r="W16" s="154" t="e">
        <f>#REF!</f>
        <v>#REF!</v>
      </c>
    </row>
    <row r="17" spans="2:20" x14ac:dyDescent="0.25">
      <c r="B17" s="81"/>
      <c r="C17" s="506" t="s">
        <v>18</v>
      </c>
      <c r="D17" s="507" t="s">
        <v>293</v>
      </c>
      <c r="E17" s="508" t="str">
        <f>VLOOKUP($C17,'S | 01 '!$C$6:$Q$49,E$5,0)</f>
        <v>Realized</v>
      </c>
      <c r="F17" s="508" t="str">
        <f>VLOOKUP($C17,'S | 01 '!$C$6:$Q$49,F$5,0)</f>
        <v>Sushil</v>
      </c>
      <c r="G17" s="508" t="str">
        <f>VLOOKUP($C17,'S | 01 '!$C$6:$Q$49,G$5,0)</f>
        <v>Mozn 1</v>
      </c>
      <c r="H17" s="509">
        <f>VLOOKUP($C17,'S | 01 '!$C$6:$Q$49,H$5,0)</f>
        <v>2021</v>
      </c>
      <c r="I17" s="509" t="str">
        <f>VLOOKUP($C17,'S | 01 '!$C$6:$Q$49,I$5,0)</f>
        <v>A (Ordinary Shares)</v>
      </c>
      <c r="J17" s="510">
        <f>VLOOKUP($C17,'S | 01 '!$C$6:$Q$49,J$5,0)</f>
        <v>0.03</v>
      </c>
      <c r="K17" s="511">
        <f ca="1">VLOOKUP($C17,'S | 01 '!$C$6:$Q$49,K$5,0)</f>
        <v>20</v>
      </c>
      <c r="L17" s="511">
        <f ca="1">VLOOKUP($C17,'S | 01 '!$C$6:$Q$49,L$5,0)</f>
        <v>20</v>
      </c>
      <c r="M17" s="511">
        <f ca="1">VLOOKUP($C17,'S | 01 '!$C$6:$Q$49,M$5,0)</f>
        <v>24.5</v>
      </c>
      <c r="N17" s="511">
        <f>VLOOKUP($C17,'S | 01 '!$C$6:$Q$49,N$5,0)</f>
        <v>0</v>
      </c>
      <c r="O17" s="511">
        <f ca="1">VLOOKUP($C17,'S | 01 '!$C$6:$Q$49,O$5,0)</f>
        <v>4.5</v>
      </c>
      <c r="P17" s="511">
        <v>0</v>
      </c>
      <c r="Q17" s="512">
        <f ca="1">VLOOKUP($C17,'S | 01 '!$C$6:$Q$49,Q$5,0)</f>
        <v>1.2250000000000001</v>
      </c>
      <c r="R17" s="511">
        <f>VLOOKUP($C17,'S | 01 '!$C$6:$Q$49,R$5,0)</f>
        <v>0</v>
      </c>
      <c r="S17" s="508" t="s">
        <v>612</v>
      </c>
      <c r="T17" s="82"/>
    </row>
    <row r="18" spans="2:20" x14ac:dyDescent="0.25">
      <c r="B18" s="81"/>
      <c r="C18" s="506" t="s">
        <v>42</v>
      </c>
      <c r="D18" s="507" t="s">
        <v>293</v>
      </c>
      <c r="E18" s="508" t="str">
        <f>VLOOKUP($C18,'S | 01 '!$C$6:$Q$49,E$5,0)</f>
        <v>Realized</v>
      </c>
      <c r="F18" s="508" t="str">
        <f>VLOOKUP($C18,'S | 01 '!$C$6:$Q$49,F$5,0)</f>
        <v>Ignasi</v>
      </c>
      <c r="G18" s="508" t="str">
        <f>VLOOKUP($C18,'S | 01 '!$C$6:$Q$49,G$5,0)</f>
        <v>Mozn</v>
      </c>
      <c r="H18" s="509">
        <f>VLOOKUP($C18,'S | 01 '!$C$6:$Q$49,H$5,0)</f>
        <v>2021</v>
      </c>
      <c r="I18" s="509" t="str">
        <f>VLOOKUP($C18,'S | 01 '!$C$6:$Q$49,I$5,0)</f>
        <v xml:space="preserve">B Prefs </v>
      </c>
      <c r="J18" s="510">
        <f>VLOOKUP($C18,'S | 01 '!$C$6:$Q$49,J$5,0)</f>
        <v>1.1489405791845828E-2</v>
      </c>
      <c r="K18" s="511">
        <f ca="1">VLOOKUP($C18,'S | 01 '!$C$6:$Q$49,K$5,0)</f>
        <v>5.0237201984774336</v>
      </c>
      <c r="L18" s="511">
        <f ca="1">VLOOKUP($C18,'S | 01 '!$C$6:$Q$49,L$5,0)</f>
        <v>5.0237201984774336</v>
      </c>
      <c r="M18" s="511">
        <f ca="1">VLOOKUP($C18,'S | 01 '!$C$6:$Q$49,M$5,0)</f>
        <v>7.9421925299999989</v>
      </c>
      <c r="N18" s="511">
        <f>VLOOKUP($C18,'S | 01 '!$C$6:$Q$49,N$5,0)</f>
        <v>0</v>
      </c>
      <c r="O18" s="511">
        <f ca="1">VLOOKUP($C18,'S | 01 '!$C$6:$Q$49,O$5,0)</f>
        <v>2.9184723315225654</v>
      </c>
      <c r="P18" s="511">
        <v>1.6721788054421767</v>
      </c>
      <c r="Q18" s="512">
        <f ca="1">VLOOKUP($C18,'S | 01 '!$C$6:$Q$49,Q$5,0)</f>
        <v>1.5809384711368046</v>
      </c>
      <c r="R18" s="511">
        <f>VLOOKUP($C18,'S | 01 '!$C$6:$Q$49,R$5,0)</f>
        <v>0</v>
      </c>
      <c r="S18" s="508" t="s">
        <v>612</v>
      </c>
      <c r="T18" s="82"/>
    </row>
    <row r="19" spans="2:20" x14ac:dyDescent="0.25">
      <c r="B19" s="81"/>
      <c r="C19" s="4" t="s">
        <v>40</v>
      </c>
      <c r="D19" s="44" t="s">
        <v>293</v>
      </c>
      <c r="E19" s="2" t="str">
        <f>VLOOKUP($C19,'S | 01 '!$C$6:$Q$49,E$5,0)</f>
        <v>Unrealized</v>
      </c>
      <c r="F19" s="2" t="str">
        <f>VLOOKUP($C19,'S | 01 '!$C$6:$Q$49,F$5,0)</f>
        <v>Ignasi</v>
      </c>
      <c r="G19" s="2" t="str">
        <f>VLOOKUP($C19,'S | 01 '!$C$6:$Q$49,G$5,0)</f>
        <v>Mozn</v>
      </c>
      <c r="H19" s="6">
        <f>VLOOKUP($C19,'S | 01 '!$C$6:$Q$49,H$5,0)</f>
        <v>2021</v>
      </c>
      <c r="I19" s="6" t="str">
        <f>VLOOKUP($C19,'S | 01 '!$C$6:$Q$49,I$5,0)</f>
        <v>F Prefs</v>
      </c>
      <c r="J19" s="105">
        <f>VLOOKUP($C19,'S | 01 '!$C$6:$Q$49,J$5,0)</f>
        <v>9.117206771726628E-3</v>
      </c>
      <c r="K19" s="17">
        <f ca="1">VLOOKUP($C19,'S | 01 '!$C$6:$Q$49,K$5,0)</f>
        <v>39.999983359999995</v>
      </c>
      <c r="L19" s="17">
        <f ca="1">VLOOKUP($C19,'S | 01 '!$C$6:$Q$49,L$5,0)</f>
        <v>39.999983359999995</v>
      </c>
      <c r="M19" s="17">
        <f ca="1">VLOOKUP($C19,'S | 01 '!$C$6:$Q$49,M$5,0)</f>
        <v>0</v>
      </c>
      <c r="N19" s="17">
        <f>VLOOKUP($C19,'S | 01 '!$C$6:$Q$49,N$5,0)</f>
        <v>21.135483260000001</v>
      </c>
      <c r="O19" s="17">
        <f ca="1">VLOOKUP($C19,'S | 01 '!$C$6:$Q$49,O$5,0)</f>
        <v>-18.864500099999994</v>
      </c>
      <c r="P19" s="17">
        <v>0</v>
      </c>
      <c r="Q19" s="10">
        <f ca="1">VLOOKUP($C19,'S | 01 '!$C$6:$Q$49,Q$5,0)</f>
        <v>0.52838730130911749</v>
      </c>
      <c r="R19" s="17">
        <f>VLOOKUP($C19,'S | 01 '!$C$6:$Q$49,R$5,0)</f>
        <v>0</v>
      </c>
      <c r="S19" s="2"/>
      <c r="T19" s="82"/>
    </row>
    <row r="20" spans="2:20" x14ac:dyDescent="0.25">
      <c r="B20" s="81"/>
      <c r="C20" s="4" t="s">
        <v>41</v>
      </c>
      <c r="D20" s="44" t="s">
        <v>293</v>
      </c>
      <c r="E20" s="2" t="str">
        <f>VLOOKUP($C20,'S | 01 '!$C$6:$Q$49,E$5,0)</f>
        <v>Unrealized</v>
      </c>
      <c r="F20" s="2" t="str">
        <f>VLOOKUP($C20,'S | 01 '!$C$6:$Q$49,F$5,0)</f>
        <v>Sushil</v>
      </c>
      <c r="G20" s="2" t="str">
        <f>VLOOKUP($C20,'S | 01 '!$C$6:$Q$49,G$5,0)</f>
        <v>Mozn</v>
      </c>
      <c r="H20" s="6">
        <f>VLOOKUP($C20,'S | 01 '!$C$6:$Q$49,H$5,0)</f>
        <v>2021</v>
      </c>
      <c r="I20" s="6" t="str">
        <f>VLOOKUP($C20,'S | 01 '!$C$6:$Q$49,I$5,0)</f>
        <v>A Pref Units</v>
      </c>
      <c r="J20" s="105">
        <f>VLOOKUP($C20,'S | 01 '!$C$6:$Q$49,J$5,0)</f>
        <v>0.16080402010050251</v>
      </c>
      <c r="K20" s="17">
        <f ca="1">VLOOKUP($C20,'S | 01 '!$C$6:$Q$49,K$5,0)</f>
        <v>8</v>
      </c>
      <c r="L20" s="17">
        <f ca="1">VLOOKUP($C20,'S | 01 '!$C$6:$Q$49,L$5,0)</f>
        <v>8</v>
      </c>
      <c r="M20" s="17">
        <f ca="1">VLOOKUP($C20,'S | 01 '!$C$6:$Q$49,M$5,0)</f>
        <v>0</v>
      </c>
      <c r="N20" s="17">
        <f>VLOOKUP($C20,'S | 01 '!$C$6:$Q$49,N$5,0)</f>
        <v>8</v>
      </c>
      <c r="O20" s="17">
        <f ca="1">VLOOKUP($C20,'S | 01 '!$C$6:$Q$49,O$5,0)</f>
        <v>0</v>
      </c>
      <c r="P20" s="17">
        <v>0</v>
      </c>
      <c r="Q20" s="10">
        <f ca="1">VLOOKUP($C20,'S | 01 '!$C$6:$Q$49,Q$5,0)</f>
        <v>1</v>
      </c>
      <c r="R20" s="17">
        <f>VLOOKUP($C20,'S | 01 '!$C$6:$Q$49,R$5,0)</f>
        <v>0</v>
      </c>
      <c r="S20" s="2"/>
      <c r="T20" s="82"/>
    </row>
    <row r="21" spans="2:20" x14ac:dyDescent="0.25">
      <c r="B21" s="81"/>
      <c r="C21" s="506" t="s">
        <v>39</v>
      </c>
      <c r="D21" s="507" t="s">
        <v>293</v>
      </c>
      <c r="E21" s="508" t="str">
        <f>VLOOKUP($C21,'S | 01 '!$C$6:$Q$49,E$5,0)</f>
        <v>Realized</v>
      </c>
      <c r="F21" s="508" t="str">
        <f>VLOOKUP($C21,'S | 01 '!$C$6:$Q$49,F$5,0)</f>
        <v>Sushil</v>
      </c>
      <c r="G21" s="508" t="str">
        <f>VLOOKUP($C21,'S | 01 '!$C$6:$Q$49,G$5,0)</f>
        <v>Mozn</v>
      </c>
      <c r="H21" s="509">
        <f>VLOOKUP($C21,'S | 01 '!$C$6:$Q$49,H$5,0)</f>
        <v>2020</v>
      </c>
      <c r="I21" s="509" t="str">
        <f>VLOOKUP($C21,'S | 01 '!$C$6:$Q$49,I$5,0)</f>
        <v>Convertible Note</v>
      </c>
      <c r="J21" s="510" t="str">
        <f>VLOOKUP($C21,'S | 01 '!$C$6:$Q$49,J$5,0)</f>
        <v>n/a</v>
      </c>
      <c r="K21" s="511">
        <f ca="1">VLOOKUP($C21,'S | 01 '!$C$6:$Q$49,K$5,0)</f>
        <v>2.5</v>
      </c>
      <c r="L21" s="511">
        <f ca="1">VLOOKUP($C21,'S | 01 '!$C$6:$Q$49,L$5,0)</f>
        <v>2.5</v>
      </c>
      <c r="M21" s="511">
        <f ca="1">VLOOKUP($C21,'S | 01 '!$C$6:$Q$49,M$5,0)</f>
        <v>5</v>
      </c>
      <c r="N21" s="511">
        <f>VLOOKUP($C21,'S | 01 '!$C$6:$Q$49,N$5,0)</f>
        <v>0</v>
      </c>
      <c r="O21" s="511">
        <f ca="1">VLOOKUP($C21,'S | 01 '!$C$6:$Q$49,O$5,0)</f>
        <v>2.5</v>
      </c>
      <c r="P21" s="511">
        <v>2.5</v>
      </c>
      <c r="Q21" s="512">
        <f ca="1">VLOOKUP($C21,'S | 01 '!$C$6:$Q$49,Q$5,0)</f>
        <v>2</v>
      </c>
      <c r="R21" s="511">
        <f>VLOOKUP($C21,'S | 01 '!$C$6:$Q$49,R$5,0)</f>
        <v>0</v>
      </c>
      <c r="S21" s="508" t="s">
        <v>612</v>
      </c>
      <c r="T21" s="82"/>
    </row>
    <row r="22" spans="2:20" x14ac:dyDescent="0.25">
      <c r="B22" s="81"/>
      <c r="C22" s="4" t="s">
        <v>9</v>
      </c>
      <c r="D22" s="44" t="s">
        <v>293</v>
      </c>
      <c r="E22" s="2" t="str">
        <f>VLOOKUP($C22,'S | 01 '!$C$6:$Q$49,E$5,0)</f>
        <v>Unrealized</v>
      </c>
      <c r="F22" s="2" t="str">
        <f>VLOOKUP($C22,'S | 01 '!$C$6:$Q$49,F$5,0)</f>
        <v>Elaine</v>
      </c>
      <c r="G22" s="2" t="str">
        <f>VLOOKUP($C22,'S | 01 '!$C$6:$Q$49,G$5,0)</f>
        <v>Mozn</v>
      </c>
      <c r="H22" s="6">
        <f>VLOOKUP($C22,'S | 01 '!$C$6:$Q$49,H$5,0)</f>
        <v>2020</v>
      </c>
      <c r="I22" s="6" t="str">
        <f>VLOOKUP($C22,'S | 01 '!$C$6:$Q$49,I$5,0)</f>
        <v>Registered Capital</v>
      </c>
      <c r="J22" s="105">
        <f>VLOOKUP($C22,'S | 01 '!$C$6:$Q$49,J$5,0)</f>
        <v>0.14380000000000001</v>
      </c>
      <c r="K22" s="17">
        <f ca="1">VLOOKUP($C22,'S | 01 '!$C$6:$Q$49,K$5,0)</f>
        <v>60</v>
      </c>
      <c r="L22" s="17">
        <f ca="1">VLOOKUP($C22,'S | 01 '!$C$6:$Q$49,L$5,0)</f>
        <v>60</v>
      </c>
      <c r="M22" s="17">
        <f ca="1">VLOOKUP($C22,'S | 01 '!$C$6:$Q$49,M$5,0)</f>
        <v>0</v>
      </c>
      <c r="N22" s="17">
        <f>VLOOKUP($C22,'S | 01 '!$C$6:$Q$49,N$5,0)</f>
        <v>149.39859152003655</v>
      </c>
      <c r="O22" s="17">
        <f ca="1">VLOOKUP($C22,'S | 01 '!$C$6:$Q$49,O$5,0)</f>
        <v>89.398591520036547</v>
      </c>
      <c r="P22" s="17">
        <v>96.4</v>
      </c>
      <c r="Q22" s="10">
        <f ca="1">VLOOKUP($C22,'S | 01 '!$C$6:$Q$49,Q$5,0)</f>
        <v>2.4899765253339425</v>
      </c>
      <c r="R22" s="17">
        <f>VLOOKUP($C22,'S | 01 '!$C$6:$Q$49,R$5,0)</f>
        <v>0</v>
      </c>
      <c r="S22" s="2"/>
      <c r="T22" s="82"/>
    </row>
    <row r="23" spans="2:20" x14ac:dyDescent="0.25">
      <c r="B23" s="81"/>
      <c r="C23" s="4" t="s">
        <v>37</v>
      </c>
      <c r="D23" s="44" t="s">
        <v>293</v>
      </c>
      <c r="E23" s="2" t="str">
        <f>VLOOKUP($C23,'S | 01 '!$C$6:$Q$49,E$5,0)</f>
        <v>Unrealized</v>
      </c>
      <c r="F23" s="2" t="str">
        <f>VLOOKUP($C23,'S | 01 '!$C$6:$Q$49,F$5,0)</f>
        <v>Divyesh</v>
      </c>
      <c r="G23" s="2" t="str">
        <f>VLOOKUP($C23,'S | 01 '!$C$6:$Q$49,G$5,0)</f>
        <v>Mozn</v>
      </c>
      <c r="H23" s="6">
        <f>VLOOKUP($C23,'S | 01 '!$C$6:$Q$49,H$5,0)</f>
        <v>2020</v>
      </c>
      <c r="I23" s="6" t="str">
        <f>VLOOKUP($C23,'S | 01 '!$C$6:$Q$49,I$5,0)</f>
        <v>C Prefs</v>
      </c>
      <c r="J23" s="105">
        <f>VLOOKUP($C23,'S | 01 '!$C$6:$Q$49,J$5,0)</f>
        <v>9.4347728005070269E-2</v>
      </c>
      <c r="K23" s="17">
        <f ca="1">VLOOKUP($C23,'S | 01 '!$C$6:$Q$49,K$5,0)</f>
        <v>90</v>
      </c>
      <c r="L23" s="17">
        <f ca="1">VLOOKUP($C23,'S | 01 '!$C$6:$Q$49,L$5,0)</f>
        <v>90</v>
      </c>
      <c r="M23" s="17">
        <f ca="1">VLOOKUP($C23,'S | 01 '!$C$6:$Q$49,M$5,0)</f>
        <v>0</v>
      </c>
      <c r="N23" s="17">
        <f>VLOOKUP($C23,'S | 01 '!$C$6:$Q$49,N$5,0)</f>
        <v>73.800000000000011</v>
      </c>
      <c r="O23" s="17">
        <f ca="1">VLOOKUP($C23,'S | 01 '!$C$6:$Q$49,O$5,0)</f>
        <v>-16.199999999999989</v>
      </c>
      <c r="P23" s="17">
        <v>1.042</v>
      </c>
      <c r="Q23" s="10">
        <f ca="1">VLOOKUP($C23,'S | 01 '!$C$6:$Q$49,Q$5,0)</f>
        <v>0.82000000000000017</v>
      </c>
      <c r="R23" s="17">
        <f>VLOOKUP($C23,'S | 01 '!$C$6:$Q$49,R$5,0)</f>
        <v>0</v>
      </c>
      <c r="S23" s="2"/>
      <c r="T23" s="82"/>
    </row>
    <row r="24" spans="2:20" x14ac:dyDescent="0.25">
      <c r="B24" s="81"/>
      <c r="C24" s="4" t="s">
        <v>87</v>
      </c>
      <c r="D24" s="44" t="s">
        <v>293</v>
      </c>
      <c r="E24" s="2" t="str">
        <f>VLOOKUP($C24,'S | 01 '!$C$6:$Q$49,E$5,0)</f>
        <v>Unrealized</v>
      </c>
      <c r="F24" s="2" t="str">
        <f>VLOOKUP($C24,'S | 01 '!$C$6:$Q$49,F$5,0)</f>
        <v>Divyesh</v>
      </c>
      <c r="G24" s="2" t="str">
        <f>VLOOKUP($C24,'S | 01 '!$C$6:$Q$49,G$5,0)</f>
        <v>Mozn</v>
      </c>
      <c r="H24" s="6">
        <f>VLOOKUP($C24,'S | 01 '!$C$6:$Q$49,H$5,0)</f>
        <v>2020</v>
      </c>
      <c r="I24" s="6" t="str">
        <f>VLOOKUP($C24,'S | 01 '!$C$6:$Q$49,I$5,0)</f>
        <v>Ordinary Shares</v>
      </c>
      <c r="J24" s="105">
        <f>VLOOKUP($C24,'S | 01 '!$C$6:$Q$49,J$5,0)</f>
        <v>5.1651565402323088E-2</v>
      </c>
      <c r="K24" s="17">
        <f ca="1">VLOOKUP($C24,'S | 01 '!$C$6:$Q$49,K$5,0)</f>
        <v>141.4702596743665</v>
      </c>
      <c r="L24" s="17">
        <f ca="1">VLOOKUP($C24,'S | 01 '!$C$6:$Q$49,L$5,0)</f>
        <v>141.4702596743665</v>
      </c>
      <c r="M24" s="17">
        <f ca="1">VLOOKUP($C24,'S | 01 '!$C$6:$Q$49,M$5,0)</f>
        <v>0</v>
      </c>
      <c r="N24" s="17">
        <f>VLOOKUP($C24,'S | 01 '!$C$6:$Q$49,N$5,0)</f>
        <v>53.000051393097593</v>
      </c>
      <c r="O24" s="17">
        <f ca="1">VLOOKUP($C24,'S | 01 '!$C$6:$Q$49,O$5,0)</f>
        <v>-88.47020828126891</v>
      </c>
      <c r="P24" s="17">
        <v>-9.8450000000000006</v>
      </c>
      <c r="Q24" s="10">
        <f ca="1">VLOOKUP($C24,'S | 01 '!$C$6:$Q$49,Q$5,0)</f>
        <v>0.37463740799721496</v>
      </c>
      <c r="R24" s="17">
        <f>VLOOKUP($C24,'S | 01 '!$C$6:$Q$49,R$5,0)</f>
        <v>0</v>
      </c>
      <c r="S24" s="2"/>
      <c r="T24" s="82"/>
    </row>
    <row r="25" spans="2:20" ht="17.25" x14ac:dyDescent="0.25">
      <c r="B25" s="81"/>
      <c r="C25" s="4" t="s">
        <v>38</v>
      </c>
      <c r="D25" s="44" t="s">
        <v>293</v>
      </c>
      <c r="E25" s="2" t="str">
        <f>VLOOKUP($C25,'S | 01 '!$C$6:$Q$49,E$5,0)</f>
        <v>Unrealized</v>
      </c>
      <c r="F25" s="2" t="str">
        <f>VLOOKUP($C25,'S | 01 '!$C$6:$Q$49,F$5,0)</f>
        <v>Sushil</v>
      </c>
      <c r="G25" s="2" t="str">
        <f>VLOOKUP($C25,'S | 01 '!$C$6:$Q$49,G$5,0)</f>
        <v>Mozn</v>
      </c>
      <c r="H25" s="6">
        <f>VLOOKUP($C25,'S | 01 '!$C$6:$Q$49,H$5,0)</f>
        <v>2019</v>
      </c>
      <c r="I25" s="6" t="str">
        <f>VLOOKUP($C25,'S | 01 '!$C$6:$Q$49,I$5,0)</f>
        <v>B-1,2 Prefs</v>
      </c>
      <c r="J25" s="105">
        <f>VLOOKUP($C25,'S | 01 '!$C$6:$Q$49,J$5,0)</f>
        <v>8.5025484621212399E-2</v>
      </c>
      <c r="K25" s="17">
        <f ca="1">VLOOKUP($C25,'S | 01 '!$C$6:$Q$49,K$5,0)</f>
        <v>10</v>
      </c>
      <c r="L25" s="17">
        <f ca="1">VLOOKUP($C25,'S | 01 '!$C$6:$Q$49,L$5,0)</f>
        <v>10</v>
      </c>
      <c r="M25" s="17">
        <f ca="1">VLOOKUP($C25,'S | 01 '!$C$6:$Q$49,M$5,0)</f>
        <v>0</v>
      </c>
      <c r="N25" s="17">
        <f>VLOOKUP($C25,'S | 01 '!$C$6:$Q$49,N$5,0)</f>
        <v>37.118730497400001</v>
      </c>
      <c r="O25" s="17">
        <f ca="1">VLOOKUP($C25,'S | 01 '!$C$6:$Q$49,O$5,0)</f>
        <v>27.118730497400001</v>
      </c>
      <c r="P25" s="17">
        <v>68.099999999999994</v>
      </c>
      <c r="Q25" s="10">
        <f ca="1">VLOOKUP($C25,'S | 01 '!$C$6:$Q$49,Q$5,0)</f>
        <v>3.7118730497400003</v>
      </c>
      <c r="R25" s="17">
        <f>VLOOKUP($C25,'S | 01 '!$C$6:$Q$49,R$5,0)</f>
        <v>0</v>
      </c>
      <c r="S25" s="2" t="s">
        <v>144</v>
      </c>
      <c r="T25" s="82"/>
    </row>
    <row r="26" spans="2:20" x14ac:dyDescent="0.25">
      <c r="B26" s="81"/>
      <c r="C26" s="506" t="s">
        <v>0</v>
      </c>
      <c r="D26" s="507" t="s">
        <v>293</v>
      </c>
      <c r="E26" s="508" t="str">
        <f>VLOOKUP($C26,'S | 01 '!$C$6:$Q$49,E$5,0)</f>
        <v>Written-off</v>
      </c>
      <c r="F26" s="508" t="str">
        <f>VLOOKUP($C26,'S | 01 '!$C$6:$Q$49,F$5,0)</f>
        <v>Elaine</v>
      </c>
      <c r="G26" s="508" t="str">
        <f>VLOOKUP($C26,'S | 01 '!$C$6:$Q$49,G$5,0)</f>
        <v>Mozn</v>
      </c>
      <c r="H26" s="509">
        <f>VLOOKUP($C26,'S | 01 '!$C$6:$Q$49,H$5,0)</f>
        <v>2019</v>
      </c>
      <c r="I26" s="509" t="str">
        <f>VLOOKUP($C26,'S | 01 '!$C$6:$Q$49,I$5,0)</f>
        <v>B Prefs</v>
      </c>
      <c r="J26" s="510">
        <f>VLOOKUP($C26,'S | 01 '!$C$6:$Q$49,J$5,0)</f>
        <v>0.14000000235296001</v>
      </c>
      <c r="K26" s="511">
        <f ca="1">VLOOKUP($C26,'S | 01 '!$C$6:$Q$49,K$5,0)</f>
        <v>8</v>
      </c>
      <c r="L26" s="511">
        <f ca="1">VLOOKUP($C26,'S | 01 '!$C$6:$Q$49,L$5,0)</f>
        <v>8</v>
      </c>
      <c r="M26" s="511">
        <f ca="1">VLOOKUP($C26,'S | 01 '!$C$6:$Q$49,M$5,0)</f>
        <v>0</v>
      </c>
      <c r="N26" s="511">
        <f>VLOOKUP($C26,'S | 01 '!$C$6:$Q$49,N$5,0)</f>
        <v>0</v>
      </c>
      <c r="O26" s="511">
        <f ca="1">VLOOKUP($C26,'S | 01 '!$C$6:$Q$49,O$5,0)</f>
        <v>-8</v>
      </c>
      <c r="P26" s="511">
        <v>-8</v>
      </c>
      <c r="Q26" s="512">
        <f ca="1">VLOOKUP($C26,'S | 01 '!$C$6:$Q$49,Q$5,0)</f>
        <v>0</v>
      </c>
      <c r="R26" s="511">
        <f>VLOOKUP($C26,'S | 01 '!$C$6:$Q$49,R$5,0)</f>
        <v>0</v>
      </c>
      <c r="S26" s="508" t="s">
        <v>447</v>
      </c>
      <c r="T26" s="82"/>
    </row>
    <row r="27" spans="2:20" x14ac:dyDescent="0.25">
      <c r="B27" s="81"/>
      <c r="C27" s="506" t="s">
        <v>48</v>
      </c>
      <c r="D27" s="507" t="s">
        <v>294</v>
      </c>
      <c r="E27" s="508" t="str">
        <f>VLOOKUP($C27,'S | 01 '!$C$6:$Q$49,E$5,0)</f>
        <v>Written-off</v>
      </c>
      <c r="F27" s="508" t="str">
        <f>VLOOKUP($C27,'S | 01 '!$C$6:$Q$49,F$5,0)</f>
        <v xml:space="preserve">Marty </v>
      </c>
      <c r="G27" s="508" t="str">
        <f>VLOOKUP($C27,'S | 01 '!$C$6:$Q$49,G$5,0)</f>
        <v>Mozn</v>
      </c>
      <c r="H27" s="509">
        <f>VLOOKUP($C27,'S | 01 '!$C$6:$Q$49,H$5,0)</f>
        <v>2019</v>
      </c>
      <c r="I27" s="509" t="str">
        <f>VLOOKUP($C27,'S | 01 '!$C$6:$Q$49,I$5,0)</f>
        <v>Promissory Note</v>
      </c>
      <c r="J27" s="510" t="str">
        <f>VLOOKUP($C27,'S | 01 '!$C$6:$Q$49,J$5,0)</f>
        <v>n/a</v>
      </c>
      <c r="K27" s="511">
        <f>VLOOKUP($C27,'S | 01 '!$C$6:$Q$49,K$5,0)</f>
        <v>8</v>
      </c>
      <c r="L27" s="511">
        <f>VLOOKUP($C27,'S | 01 '!$C$6:$Q$49,L$5,0)</f>
        <v>8</v>
      </c>
      <c r="M27" s="511">
        <f>VLOOKUP($C27,'S | 01 '!$C$6:$Q$49,M$5,0)</f>
        <v>0</v>
      </c>
      <c r="N27" s="511">
        <f>VLOOKUP($C27,'S | 01 '!$C$6:$Q$49,N$5,0)</f>
        <v>0</v>
      </c>
      <c r="O27" s="511">
        <f>VLOOKUP($C27,'S | 01 '!$C$6:$Q$49,O$5,0)</f>
        <v>-8</v>
      </c>
      <c r="P27" s="511">
        <v>-8</v>
      </c>
      <c r="Q27" s="512">
        <f>VLOOKUP($C27,'S | 01 '!$C$6:$Q$49,Q$5,0)</f>
        <v>0</v>
      </c>
      <c r="R27" s="511">
        <f>VLOOKUP($C27,'S | 01 '!$C$6:$Q$49,R$5,0)</f>
        <v>0</v>
      </c>
      <c r="S27" s="508" t="str">
        <f>VLOOKUP($C27,'S | 01 '!$C$6:$Q$49,S$5,0)</f>
        <v>In Default</v>
      </c>
      <c r="T27" s="82"/>
    </row>
    <row r="28" spans="2:20" x14ac:dyDescent="0.25">
      <c r="B28" s="81"/>
      <c r="C28" s="506" t="s">
        <v>47</v>
      </c>
      <c r="D28" s="507" t="s">
        <v>293</v>
      </c>
      <c r="E28" s="508" t="str">
        <f>VLOOKUP($C28,'S | 01 '!$C$6:$Q$49,E$5,0)</f>
        <v>Written-off</v>
      </c>
      <c r="F28" s="508" t="str">
        <f>VLOOKUP($C28,'S | 01 '!$C$6:$Q$49,F$5,0)</f>
        <v>Elaine</v>
      </c>
      <c r="G28" s="508" t="str">
        <f>VLOOKUP($C28,'S | 01 '!$C$6:$Q$49,G$5,0)</f>
        <v>Mozn</v>
      </c>
      <c r="H28" s="509">
        <f>VLOOKUP($C28,'S | 01 '!$C$6:$Q$49,H$5,0)</f>
        <v>2019</v>
      </c>
      <c r="I28" s="509" t="str">
        <f>VLOOKUP($C28,'S | 01 '!$C$6:$Q$49,I$5,0)</f>
        <v>C+ Prefs</v>
      </c>
      <c r="J28" s="510">
        <f>VLOOKUP($C28,'S | 01 '!$C$6:$Q$49,J$5,0)</f>
        <v>5.6999998161926343E-2</v>
      </c>
      <c r="K28" s="511">
        <f ca="1">VLOOKUP($C28,'S | 01 '!$C$6:$Q$49,K$5,0)</f>
        <v>65</v>
      </c>
      <c r="L28" s="511">
        <f ca="1">VLOOKUP($C28,'S | 01 '!$C$6:$Q$49,L$5,0)</f>
        <v>65</v>
      </c>
      <c r="M28" s="511">
        <f ca="1">VLOOKUP($C28,'S | 01 '!$C$6:$Q$49,M$5,0)</f>
        <v>0</v>
      </c>
      <c r="N28" s="511">
        <f>VLOOKUP($C28,'S | 01 '!$C$6:$Q$49,N$5,0)</f>
        <v>0</v>
      </c>
      <c r="O28" s="511">
        <f ca="1">VLOOKUP($C28,'S | 01 '!$C$6:$Q$49,O$5,0)</f>
        <v>-65</v>
      </c>
      <c r="P28" s="511">
        <v>-65</v>
      </c>
      <c r="Q28" s="512">
        <f ca="1">VLOOKUP($C28,'S | 01 '!$C$6:$Q$49,Q$5,0)</f>
        <v>0</v>
      </c>
      <c r="R28" s="511">
        <f>VLOOKUP($C28,'S | 01 '!$C$6:$Q$49,R$5,0)</f>
        <v>0</v>
      </c>
      <c r="S28" s="508" t="str">
        <f>VLOOKUP($C28,'S | 01 '!$C$6:$Q$49,S$5,0)</f>
        <v>In Liquidation</v>
      </c>
      <c r="T28" s="82"/>
    </row>
    <row r="29" spans="2:20" x14ac:dyDescent="0.25">
      <c r="B29" s="81"/>
      <c r="C29" s="5"/>
      <c r="D29" s="13"/>
      <c r="E29" s="7"/>
      <c r="F29" s="7"/>
      <c r="G29" s="7"/>
      <c r="H29" s="7"/>
      <c r="I29" s="14"/>
      <c r="J29" s="207"/>
      <c r="K29" s="24"/>
      <c r="L29" s="24"/>
      <c r="M29" s="24"/>
      <c r="N29" s="24"/>
      <c r="O29" s="24"/>
      <c r="P29" s="24"/>
      <c r="Q29" s="15"/>
      <c r="R29" s="24"/>
      <c r="S29" s="220"/>
      <c r="T29" s="82"/>
    </row>
    <row r="30" spans="2:20" x14ac:dyDescent="0.25">
      <c r="B30" s="81"/>
      <c r="C30" s="9"/>
      <c r="D30" s="9"/>
      <c r="E30" s="9"/>
      <c r="F30" s="9"/>
      <c r="G30" s="9"/>
      <c r="H30" s="9"/>
      <c r="I30" s="9"/>
      <c r="J30" s="108"/>
      <c r="K30" s="18">
        <f ca="1">SUM(K9:K28)</f>
        <v>1005.2675403728439</v>
      </c>
      <c r="L30" s="18">
        <f ca="1">SUM(L9:L28)</f>
        <v>1001.7675403728439</v>
      </c>
      <c r="M30" s="18">
        <f ca="1">SUM(M9:M28)</f>
        <v>440.91297717999998</v>
      </c>
      <c r="N30" s="18">
        <f ca="1">SUM(N9:N28)</f>
        <v>516.03328484284179</v>
      </c>
      <c r="O30" s="18">
        <f ca="1">N30+M30-L30</f>
        <v>-44.821278350002103</v>
      </c>
      <c r="P30" s="18">
        <f>SUM(P9:P28)</f>
        <v>14.537198455442166</v>
      </c>
      <c r="Q30" s="11">
        <f ca="1">(M30+N30)/L30</f>
        <v>0.9552578052855254</v>
      </c>
      <c r="R30" s="18">
        <f ca="1">SUM(R9:R28)</f>
        <v>3.5</v>
      </c>
      <c r="S30" s="9"/>
      <c r="T30" s="82"/>
    </row>
    <row r="31" spans="2:20" x14ac:dyDescent="0.25">
      <c r="B31" s="81"/>
      <c r="C31" s="181"/>
      <c r="D31" s="181"/>
      <c r="E31" s="181"/>
      <c r="F31" s="181"/>
      <c r="G31" s="181"/>
      <c r="H31" s="181"/>
      <c r="I31" s="181"/>
      <c r="J31" s="107"/>
      <c r="K31" s="182"/>
      <c r="L31" s="182"/>
      <c r="M31" s="182"/>
      <c r="N31" s="182"/>
      <c r="O31" s="182"/>
      <c r="P31" s="182"/>
      <c r="Q31" s="183"/>
      <c r="R31" s="182"/>
      <c r="S31" s="181"/>
      <c r="T31" s="82"/>
    </row>
    <row r="32" spans="2:20" x14ac:dyDescent="0.25">
      <c r="B32" s="81"/>
      <c r="C32" s="521" t="s">
        <v>610</v>
      </c>
      <c r="D32" s="428"/>
      <c r="E32" s="429"/>
      <c r="F32" s="429"/>
      <c r="G32" s="429"/>
      <c r="H32" s="429"/>
      <c r="I32" s="430"/>
      <c r="J32" s="431"/>
      <c r="K32" s="432"/>
      <c r="L32" s="432"/>
      <c r="M32" s="432"/>
      <c r="N32" s="432"/>
      <c r="O32" s="432"/>
      <c r="P32" s="432"/>
      <c r="Q32" s="433"/>
      <c r="R32" s="432"/>
      <c r="S32" s="429"/>
      <c r="T32" s="82"/>
    </row>
    <row r="33" spans="2:23" ht="15.75" thickBot="1" x14ac:dyDescent="0.3">
      <c r="B33" s="81"/>
      <c r="C33" s="506" t="s">
        <v>35</v>
      </c>
      <c r="D33" s="507" t="s">
        <v>293</v>
      </c>
      <c r="E33" s="508" t="str">
        <f>VLOOKUP($C33,'S | 01 '!$C$6:$Q$49,E$5,0)</f>
        <v>Realized</v>
      </c>
      <c r="F33" s="508" t="str">
        <f>VLOOKUP($C33,'S | 01 '!$C$6:$Q$49,F$5,0)</f>
        <v>Elaine</v>
      </c>
      <c r="G33" s="508" t="str">
        <f>VLOOKUP($C33,'S | 01 '!$C$6:$Q$49,G$5,0)</f>
        <v>G42 3</v>
      </c>
      <c r="H33" s="509">
        <f>VLOOKUP($C33,'S | 01 '!$C$6:$Q$49,H$5,0)</f>
        <v>2022</v>
      </c>
      <c r="I33" s="509" t="str">
        <f>VLOOKUP($C33,'S | 01 '!$C$6:$Q$49,I$5,0)</f>
        <v>Equity-TBC</v>
      </c>
      <c r="J33" s="510">
        <f>VLOOKUP($C33,'S | 01 '!$C$6:$Q$49,J$5,0)</f>
        <v>1.8823528000000003E-2</v>
      </c>
      <c r="K33" s="511">
        <f ca="1">VLOOKUP($C33,'S | 01 '!$C$6:$Q$49,K$5,0)</f>
        <v>800</v>
      </c>
      <c r="L33" s="511">
        <f ca="1">VLOOKUP($C33,'S | 01 '!$C$6:$Q$49,L$5,0)</f>
        <v>800</v>
      </c>
      <c r="M33" s="511">
        <f ca="1">VLOOKUP($C33,'S | 01 '!$C$6:$Q$49,M$5,0)</f>
        <v>802.8</v>
      </c>
      <c r="N33" s="511">
        <f>VLOOKUP($C33,'S | 01 '!$C$6:$Q$49,N$5,0)</f>
        <v>0</v>
      </c>
      <c r="O33" s="511">
        <f ca="1">VLOOKUP($C33,'S | 01 '!$C$6:$Q$49,O$5,0)</f>
        <v>2.7999999999999545</v>
      </c>
      <c r="P33" s="511">
        <v>54.67</v>
      </c>
      <c r="Q33" s="512">
        <f ca="1">VLOOKUP($C33,'S | 01 '!$C$6:$Q$49,Q$5,0)</f>
        <v>1.0034999999999998</v>
      </c>
      <c r="R33" s="511">
        <f ca="1">VLOOKUP($C33,'S | 01 '!$C$6:$Q$49,R$5,0)</f>
        <v>0</v>
      </c>
      <c r="S33" s="513"/>
      <c r="T33" s="82"/>
      <c r="V33" s="278" t="s">
        <v>11</v>
      </c>
      <c r="W33" s="278"/>
    </row>
    <row r="34" spans="2:23" ht="17.25" x14ac:dyDescent="0.25">
      <c r="B34" s="81"/>
      <c r="C34" s="4" t="s">
        <v>19</v>
      </c>
      <c r="D34" s="44" t="s">
        <v>293</v>
      </c>
      <c r="E34" s="2" t="str">
        <f>VLOOKUP($C34,'S | 01 '!$C$6:$Q$49,E$5,0)</f>
        <v>Unrealized</v>
      </c>
      <c r="F34" s="2" t="str">
        <f>VLOOKUP($C34,'S | 01 '!$C$6:$Q$49,F$5,0)</f>
        <v>Anton</v>
      </c>
      <c r="G34" s="2" t="str">
        <f>VLOOKUP($C34,'S | 01 '!$C$6:$Q$49,G$5,0)</f>
        <v>G42</v>
      </c>
      <c r="H34" s="6">
        <f>VLOOKUP($C34,'S | 01 '!$C$6:$Q$49,H$5,0)</f>
        <v>2022</v>
      </c>
      <c r="I34" s="6" t="str">
        <f>VLOOKUP($C34,'S | 01 '!$C$6:$Q$49,I$5,0)</f>
        <v>Equity-TBC</v>
      </c>
      <c r="J34" s="105">
        <f>VLOOKUP($C34,'S | 01 '!$C$6:$Q$49,J$5,0)</f>
        <v>0.11141913554582343</v>
      </c>
      <c r="K34" s="17">
        <f ca="1">VLOOKUP($C34,'S | 01 '!$C$6:$Q$49,K$5,0)</f>
        <v>300</v>
      </c>
      <c r="L34" s="17">
        <f ca="1">VLOOKUP($C34,'S | 01 '!$C$6:$Q$49,L$5,0)</f>
        <v>300</v>
      </c>
      <c r="M34" s="17">
        <f ca="1">VLOOKUP($C34,'S | 01 '!$C$6:$Q$49,M$5,0)</f>
        <v>0</v>
      </c>
      <c r="N34" s="17">
        <f>VLOOKUP($C34,'S | 01 '!$C$6:$Q$49,N$5,0)</f>
        <v>204.6</v>
      </c>
      <c r="O34" s="17">
        <f ca="1">VLOOKUP($C34,'S | 01 '!$C$6:$Q$49,O$5,0)</f>
        <v>-95.4</v>
      </c>
      <c r="P34" s="17">
        <v>0</v>
      </c>
      <c r="Q34" s="10">
        <f ca="1">VLOOKUP($C34,'S | 01 '!$C$6:$Q$49,Q$5,0)</f>
        <v>0.68199999999999994</v>
      </c>
      <c r="R34" s="17">
        <f>VLOOKUP($C34,'S | 01 '!$C$6:$Q$49,R$5,0)</f>
        <v>0</v>
      </c>
      <c r="S34" s="102" t="s">
        <v>145</v>
      </c>
      <c r="T34" s="82"/>
    </row>
    <row r="35" spans="2:23" ht="17.25" x14ac:dyDescent="0.25">
      <c r="B35" s="81"/>
      <c r="C35" s="4" t="s">
        <v>88</v>
      </c>
      <c r="D35" s="44" t="s">
        <v>293</v>
      </c>
      <c r="E35" s="2" t="str">
        <f>VLOOKUP($C35,'S | 01 '!$C$6:$Q$49,E$5,0)</f>
        <v>Unrealized</v>
      </c>
      <c r="F35" s="2" t="str">
        <f>VLOOKUP($C35,'S | 01 '!$C$6:$Q$49,F$5,0)</f>
        <v>Divyesh</v>
      </c>
      <c r="G35" s="2" t="str">
        <f>VLOOKUP($C35,'S | 01 '!$C$6:$Q$49,G$5,0)</f>
        <v>G42</v>
      </c>
      <c r="H35" s="6">
        <f>VLOOKUP($C35,'S | 01 '!$C$6:$Q$49,H$5,0)</f>
        <v>2022</v>
      </c>
      <c r="I35" s="6" t="str">
        <f>VLOOKUP($C35,'S | 01 '!$C$6:$Q$49,I$5,0)</f>
        <v>Ordinary Shares</v>
      </c>
      <c r="J35" s="105">
        <f>VLOOKUP($C35,'S | 01 '!$C$6:$Q$49,J$5,0)</f>
        <v>2.134358174658308E-3</v>
      </c>
      <c r="K35" s="17">
        <f ca="1">VLOOKUP($C35,'S | 01 '!$C$6:$Q$49,K$5,0)</f>
        <v>24.53125</v>
      </c>
      <c r="L35" s="17">
        <f ca="1">VLOOKUP($C35,'S | 01 '!$C$6:$Q$49,L$5,0)</f>
        <v>24.53125</v>
      </c>
      <c r="M35" s="17">
        <f ca="1">VLOOKUP($C35,'S | 01 '!$C$6:$Q$49,M$5,0)</f>
        <v>0</v>
      </c>
      <c r="N35" s="17">
        <f>VLOOKUP($C35,'S | 01 '!$C$6:$Q$49,N$5,0)</f>
        <v>4.58554262</v>
      </c>
      <c r="O35" s="17">
        <f ca="1">VLOOKUP($C35,'S | 01 '!$C$6:$Q$49,O$5,0)</f>
        <v>-19.945707380000002</v>
      </c>
      <c r="P35" s="17">
        <v>-1.3480000000000001</v>
      </c>
      <c r="Q35" s="10">
        <f ca="1">VLOOKUP($C35,'S | 01 '!$C$6:$Q$49,Q$5,0)</f>
        <v>0.18692657814012739</v>
      </c>
      <c r="R35" s="17">
        <f ca="1">VLOOKUP($C35,'S | 01 '!$C$6:$Q$49,R$5,0)</f>
        <v>0</v>
      </c>
      <c r="S35" s="102" t="s">
        <v>161</v>
      </c>
      <c r="T35" s="82"/>
      <c r="V35" s="26" t="s">
        <v>2</v>
      </c>
      <c r="W35" s="368">
        <f ca="1">L42</f>
        <v>1265.4047518745817</v>
      </c>
    </row>
    <row r="36" spans="2:23" x14ac:dyDescent="0.25">
      <c r="B36" s="81"/>
      <c r="C36" s="4" t="s">
        <v>1</v>
      </c>
      <c r="D36" s="44" t="s">
        <v>295</v>
      </c>
      <c r="E36" s="2" t="str">
        <f>VLOOKUP($C36,'S | 01 '!$C$6:$Q$49,E$5,0)</f>
        <v>Unrealized</v>
      </c>
      <c r="F36" s="2" t="str">
        <f>VLOOKUP($C36,'S | 01 '!$C$6:$Q$49,F$5,0)</f>
        <v>Elaine</v>
      </c>
      <c r="G36" s="2" t="str">
        <f>VLOOKUP($C36,'S | 01 '!$C$6:$Q$49,G$5,0)</f>
        <v>G42 Investments</v>
      </c>
      <c r="H36" s="6">
        <f>VLOOKUP($C36,'S | 01 '!$C$6:$Q$49,H$5,0)</f>
        <v>2020</v>
      </c>
      <c r="I36" s="6" t="str">
        <f>VLOOKUP($C36,'S | 01 '!$C$6:$Q$49,I$5,0)</f>
        <v xml:space="preserve">LP </v>
      </c>
      <c r="J36" s="105" t="str">
        <f>VLOOKUP($C36,'S | 01 '!$C$6:$Q$49,J$5,0)</f>
        <v>n/a</v>
      </c>
      <c r="K36" s="17">
        <f ca="1">VLOOKUP($C36,'S | 01 '!$C$6:$Q$49,K$5,0)</f>
        <v>83.630349999999979</v>
      </c>
      <c r="L36" s="17">
        <f ca="1">VLOOKUP($C36,'S | 01 '!$C$6:$Q$49,L$5,0)</f>
        <v>83.270349999999979</v>
      </c>
      <c r="M36" s="17">
        <f>VLOOKUP($C36,'S | 01 '!$C$6:$Q$49,M$5,0)</f>
        <v>7.8158709999999996</v>
      </c>
      <c r="N36" s="17">
        <f>VLOOKUP($C36,'S | 01 '!$C$6:$Q$49,N$5,0)</f>
        <v>74.725861000000009</v>
      </c>
      <c r="O36" s="17">
        <f ca="1">VLOOKUP($C36,'S | 01 '!$C$6:$Q$49,O$5,0)</f>
        <v>-0.7286179999999689</v>
      </c>
      <c r="P36" s="17">
        <v>-0.30599999999999999</v>
      </c>
      <c r="Q36" s="10">
        <f ca="1">VLOOKUP($C36,'S | 01 '!$C$6:$Q$49,Q$5,0)</f>
        <v>0.99124997072787646</v>
      </c>
      <c r="R36" s="17">
        <f>VLOOKUP($C36,'S | 01 '!$C$6:$Q$49,R$5,0)</f>
        <v>0.36</v>
      </c>
      <c r="S36" s="2"/>
      <c r="T36" s="82"/>
      <c r="V36" s="26" t="s">
        <v>251</v>
      </c>
      <c r="W36" s="368">
        <f ca="1">N42</f>
        <v>317.33719427164669</v>
      </c>
    </row>
    <row r="37" spans="2:23" x14ac:dyDescent="0.25">
      <c r="B37" s="81"/>
      <c r="C37" s="4" t="s">
        <v>118</v>
      </c>
      <c r="D37" s="44" t="s">
        <v>295</v>
      </c>
      <c r="E37" s="2" t="str">
        <f>VLOOKUP($C37,'S | 01 '!$C$6:$Q$49,E$5,0)</f>
        <v>Unrealized</v>
      </c>
      <c r="F37" s="2" t="str">
        <f>VLOOKUP($C37,'S | 01 '!$C$6:$Q$49,F$5,0)</f>
        <v>Sushil</v>
      </c>
      <c r="G37" s="2" t="str">
        <f>VLOOKUP($C37,'S | 01 '!$C$6:$Q$49,G$5,0)</f>
        <v>G42 Investments</v>
      </c>
      <c r="H37" s="6">
        <f>VLOOKUP($C37,'S | 01 '!$C$6:$Q$49,H$5,0)</f>
        <v>2020</v>
      </c>
      <c r="I37" s="6" t="str">
        <f>VLOOKUP($C37,'S | 01 '!$C$6:$Q$49,I$5,0)</f>
        <v xml:space="preserve">LP </v>
      </c>
      <c r="J37" s="105" t="str">
        <f>VLOOKUP($C37,'S | 01 '!$C$6:$Q$49,J$5,0)</f>
        <v>n/a</v>
      </c>
      <c r="K37" s="17">
        <f>VLOOKUP($C37,'S | 01 '!$C$6:$Q$49,K$5,0)</f>
        <v>24.886432108956999</v>
      </c>
      <c r="L37" s="17">
        <f ca="1">VLOOKUP($C37,'S | 01 '!$C$6:$Q$49,L$5,0)</f>
        <v>15.922439021640404</v>
      </c>
      <c r="M37" s="17">
        <f>VLOOKUP($C37,'S | 01 '!$C$6:$Q$49,M$5,0)</f>
        <v>3.4194690781652</v>
      </c>
      <c r="N37" s="17">
        <f>VLOOKUP($C37,'S | 01 '!$C$6:$Q$49,N$5,0)</f>
        <v>19.274963442142997</v>
      </c>
      <c r="O37" s="17">
        <f ca="1">VLOOKUP($C37,'S | 01 '!$C$6:$Q$49,O$5,0)</f>
        <v>6.7719934986677934</v>
      </c>
      <c r="P37" s="17">
        <v>5.4450000000000003</v>
      </c>
      <c r="Q37" s="10">
        <f ca="1">VLOOKUP($C37,'S | 01 '!$C$6:$Q$49,Q$5,0)</f>
        <v>1.4253113162791131</v>
      </c>
      <c r="R37" s="17">
        <f>VLOOKUP($C37,'S | 01 '!$C$6:$Q$49,R$5,0)</f>
        <v>11.895120094157999</v>
      </c>
      <c r="S37" s="2"/>
      <c r="T37" s="82"/>
      <c r="V37" s="26" t="s">
        <v>316</v>
      </c>
      <c r="W37" s="368">
        <f ca="1">O42</f>
        <v>-108.62869617476986</v>
      </c>
    </row>
    <row r="38" spans="2:23" x14ac:dyDescent="0.25">
      <c r="B38" s="81"/>
      <c r="C38" s="4" t="s">
        <v>347</v>
      </c>
      <c r="D38" s="44" t="s">
        <v>295</v>
      </c>
      <c r="E38" s="2" t="str">
        <f>VLOOKUP($C38,'S | 01 '!$C$6:$Q$49,E$5,0)</f>
        <v>Unrealized</v>
      </c>
      <c r="F38" s="2" t="str">
        <f>VLOOKUP($C38,'S | 01 '!$C$6:$Q$49,F$5,0)</f>
        <v>Sushil</v>
      </c>
      <c r="G38" s="2" t="str">
        <f>VLOOKUP($C38,'S | 01 '!$C$6:$Q$49,G$5,0)</f>
        <v>G42 Investments</v>
      </c>
      <c r="H38" s="6">
        <f>VLOOKUP($C38,'S | 01 '!$C$6:$Q$49,H$5,0)</f>
        <v>2023</v>
      </c>
      <c r="I38" s="6" t="str">
        <f>VLOOKUP($C38,'S | 01 '!$C$6:$Q$49,I$5,0)</f>
        <v xml:space="preserve">LP </v>
      </c>
      <c r="J38" s="105" t="str">
        <f>VLOOKUP($C38,'S | 01 '!$C$6:$Q$49,J$5,0)</f>
        <v>n/a</v>
      </c>
      <c r="K38" s="17">
        <f>VLOOKUP($C38,'S | 01 '!$C$6:$Q$49,K$5,0)</f>
        <v>2.7058823529411762</v>
      </c>
      <c r="L38" s="17">
        <f>VLOOKUP($C38,'S | 01 '!$C$6:$Q$49,L$5,0)</f>
        <v>2.7058823529411762</v>
      </c>
      <c r="M38" s="17">
        <f>VLOOKUP($C38,'S | 01 '!$C$6:$Q$49,M$5,0)</f>
        <v>0</v>
      </c>
      <c r="N38" s="17">
        <f ca="1">VLOOKUP($C38,'S | 01 '!$C$6:$Q$49,N$5,0)</f>
        <v>3.2756152095037327</v>
      </c>
      <c r="O38" s="17">
        <f ca="1">VLOOKUP($C38,'S | 01 '!$C$6:$Q$49,O$5,0)</f>
        <v>0.56973285656255657</v>
      </c>
      <c r="P38" s="17">
        <v>0</v>
      </c>
      <c r="Q38" s="10">
        <f ca="1">VLOOKUP($C38,'S | 01 '!$C$6:$Q$49,Q$5,0)</f>
        <v>1.2105534469905102</v>
      </c>
      <c r="R38" s="17">
        <f>VLOOKUP($C38,'S | 01 '!$C$6:$Q$49,R$5,0)</f>
        <v>0</v>
      </c>
      <c r="S38" s="94"/>
      <c r="T38" s="82"/>
      <c r="V38" s="26" t="s">
        <v>317</v>
      </c>
      <c r="W38" s="369">
        <f ca="1">O42-P42</f>
        <v>-165.51869617476987</v>
      </c>
    </row>
    <row r="39" spans="2:23" x14ac:dyDescent="0.25">
      <c r="B39" s="81"/>
      <c r="C39" s="506" t="s">
        <v>12</v>
      </c>
      <c r="D39" s="507" t="s">
        <v>295</v>
      </c>
      <c r="E39" s="508" t="str">
        <f>VLOOKUP($C39,'S | 01 '!$C$6:$Q$49,E$5,0)</f>
        <v>Realized</v>
      </c>
      <c r="F39" s="508" t="str">
        <f>VLOOKUP($C39,'S | 01 '!$C$6:$Q$49,F$5,0)</f>
        <v>Elaine</v>
      </c>
      <c r="G39" s="508" t="str">
        <f>VLOOKUP($C39,'S | 01 '!$C$6:$Q$49,G$5,0)</f>
        <v>G42 Investments</v>
      </c>
      <c r="H39" s="509">
        <f>VLOOKUP($C39,'S | 01 '!$C$6:$Q$49,H$5,0)</f>
        <v>2020</v>
      </c>
      <c r="I39" s="509" t="str">
        <f>VLOOKUP($C39,'S | 01 '!$C$6:$Q$49,I$5,0)</f>
        <v xml:space="preserve">LP </v>
      </c>
      <c r="J39" s="510" t="str">
        <f>VLOOKUP($C39,'S | 01 '!$C$6:$Q$49,J$5,0)</f>
        <v>n/a</v>
      </c>
      <c r="K39" s="511">
        <f>VLOOKUP($C39,'S | 01 '!$C$6:$Q$49,K$5,0)</f>
        <v>50</v>
      </c>
      <c r="L39" s="511">
        <f ca="1">VLOOKUP($C39,'S | 01 '!$C$6:$Q$49,L$5,0)</f>
        <v>24.959693000000001</v>
      </c>
      <c r="M39" s="511">
        <f>VLOOKUP($C39,'S | 01 '!$C$6:$Q$49,M$5,0)</f>
        <v>25.403521350000002</v>
      </c>
      <c r="N39" s="511">
        <f>VLOOKUP($C39,'S | 01 '!$C$6:$Q$49,N$5,0)</f>
        <v>0</v>
      </c>
      <c r="O39" s="511">
        <f ca="1">VLOOKUP($C39,'S | 01 '!$C$6:$Q$49,O$5,0)</f>
        <v>0.44382835000000043</v>
      </c>
      <c r="P39" s="511">
        <v>-1.2649999999999999</v>
      </c>
      <c r="Q39" s="512">
        <f ca="1">VLOOKUP($C39,'S | 01 '!$C$6:$Q$49,Q$5,0)</f>
        <v>1.0177818032457371</v>
      </c>
      <c r="R39" s="511">
        <f>VLOOKUP($C39,'S | 01 '!$C$6:$Q$49,R$5,0)</f>
        <v>0</v>
      </c>
      <c r="S39" s="514"/>
      <c r="T39" s="82"/>
      <c r="V39" s="26" t="s">
        <v>24</v>
      </c>
      <c r="W39" s="154" t="e">
        <f>#REF!</f>
        <v>#REF!</v>
      </c>
    </row>
    <row r="40" spans="2:23" ht="17.25" x14ac:dyDescent="0.25">
      <c r="B40" s="81"/>
      <c r="C40" s="4" t="s">
        <v>164</v>
      </c>
      <c r="D40" s="44" t="s">
        <v>295</v>
      </c>
      <c r="E40" s="2" t="str">
        <f>VLOOKUP($C40,'S | 01 '!$C$6:$Q$49,E$5,0)</f>
        <v>Unrealized</v>
      </c>
      <c r="F40" s="2" t="str">
        <f>VLOOKUP($C40,'S | 01 '!$C$6:$Q$49,F$5,0)</f>
        <v>Divyesh</v>
      </c>
      <c r="G40" s="2" t="str">
        <f>VLOOKUP($C40,'S | 01 '!$C$6:$Q$49,G$5,0)</f>
        <v>G42 Investments</v>
      </c>
      <c r="H40" s="6">
        <f>VLOOKUP($C40,'S | 01 '!$C$6:$Q$49,H$5,0)</f>
        <v>2021</v>
      </c>
      <c r="I40" s="6" t="str">
        <f>VLOOKUP($C40,'S | 01 '!$C$6:$Q$49,I$5,0)</f>
        <v xml:space="preserve">LP </v>
      </c>
      <c r="J40" s="105">
        <f>VLOOKUP($C40,'S | 01 '!$C$6:$Q$49,J$5,0)</f>
        <v>0.33</v>
      </c>
      <c r="K40" s="17">
        <f>VLOOKUP($C40,'S | 01 '!$C$6:$Q$49,K$5,0)</f>
        <v>17.112500000000001</v>
      </c>
      <c r="L40" s="17">
        <f ca="1">VLOOKUP($C40,'S | 01 '!$C$6:$Q$49,L$5,0)</f>
        <v>14.0151375</v>
      </c>
      <c r="M40" s="17">
        <f>VLOOKUP($C40,'S | 01 '!$C$6:$Q$49,M$5,0)</f>
        <v>0</v>
      </c>
      <c r="N40" s="17">
        <f>VLOOKUP($C40,'S | 01 '!$C$6:$Q$49,N$5,0)</f>
        <v>10.875211999999999</v>
      </c>
      <c r="O40" s="17">
        <f ca="1">VLOOKUP($C40,'S | 01 '!$C$6:$Q$49,O$5,0)</f>
        <v>-3.1399255000000004</v>
      </c>
      <c r="P40" s="17">
        <v>-0.30599999999999999</v>
      </c>
      <c r="Q40" s="10">
        <f ca="1">VLOOKUP($C40,'S | 01 '!$C$6:$Q$49,Q$5,0)</f>
        <v>0.77596184839428084</v>
      </c>
      <c r="R40" s="17">
        <f ca="1">VLOOKUP($C40,'S | 01 '!$C$6:$Q$49,R$5,0)</f>
        <v>3.0973625000000009</v>
      </c>
      <c r="S40" s="2" t="s">
        <v>439</v>
      </c>
      <c r="T40" s="82"/>
    </row>
    <row r="41" spans="2:23" x14ac:dyDescent="0.25">
      <c r="B41" s="81"/>
      <c r="C41" s="4"/>
      <c r="D41" s="44"/>
      <c r="E41" s="2"/>
      <c r="F41" s="2"/>
      <c r="G41" s="2"/>
      <c r="H41" s="2"/>
      <c r="I41" s="6"/>
      <c r="J41" s="105"/>
      <c r="K41" s="17"/>
      <c r="L41" s="17"/>
      <c r="M41" s="17"/>
      <c r="N41" s="17"/>
      <c r="O41" s="17"/>
      <c r="P41" s="17"/>
      <c r="Q41" s="10"/>
      <c r="R41" s="17"/>
      <c r="S41" s="102"/>
      <c r="T41" s="82"/>
      <c r="V41" s="234">
        <f ca="1">O30-P30</f>
        <v>-59.358476805444269</v>
      </c>
    </row>
    <row r="42" spans="2:23" s="85" customFormat="1" x14ac:dyDescent="0.25">
      <c r="B42" s="83"/>
      <c r="C42" s="9"/>
      <c r="D42" s="9"/>
      <c r="E42" s="9"/>
      <c r="F42" s="9"/>
      <c r="G42" s="9"/>
      <c r="H42" s="9"/>
      <c r="I42" s="9"/>
      <c r="J42" s="108"/>
      <c r="K42" s="18">
        <f ca="1">SUM(K33:K40)</f>
        <v>1302.8664144618981</v>
      </c>
      <c r="L42" s="18">
        <f ca="1">SUM(L33:L40)</f>
        <v>1265.4047518745817</v>
      </c>
      <c r="M42" s="18">
        <f ca="1">SUM(M33:M40)</f>
        <v>839.43886142816518</v>
      </c>
      <c r="N42" s="18">
        <f ca="1">SUM(N33:N40)</f>
        <v>317.33719427164669</v>
      </c>
      <c r="O42" s="18">
        <f ca="1">N42+M42-L42</f>
        <v>-108.62869617476986</v>
      </c>
      <c r="P42" s="18">
        <f>SUM(P33:P40)</f>
        <v>56.890000000000008</v>
      </c>
      <c r="Q42" s="11">
        <f ca="1">(M42+N42)/L42</f>
        <v>0.91415498004583406</v>
      </c>
      <c r="R42" s="18">
        <f ca="1">SUM(R33:R40)</f>
        <v>15.352482594157999</v>
      </c>
      <c r="S42" s="9">
        <f ca="1">N42+M42-L42</f>
        <v>-108.62869617476986</v>
      </c>
      <c r="T42" s="84"/>
      <c r="V42" s="234">
        <f ca="1">K42-L42</f>
        <v>37.461662587316368</v>
      </c>
    </row>
    <row r="43" spans="2:23" s="85" customFormat="1" x14ac:dyDescent="0.25">
      <c r="B43" s="83"/>
      <c r="C43" s="181"/>
      <c r="D43" s="181"/>
      <c r="E43" s="181"/>
      <c r="F43" s="181"/>
      <c r="G43" s="181"/>
      <c r="H43" s="181"/>
      <c r="I43" s="181"/>
      <c r="J43" s="107"/>
      <c r="K43" s="182"/>
      <c r="L43" s="182"/>
      <c r="M43" s="182"/>
      <c r="N43" s="182"/>
      <c r="O43" s="182"/>
      <c r="P43" s="182"/>
      <c r="Q43" s="183"/>
      <c r="R43" s="182"/>
      <c r="S43" s="181"/>
      <c r="T43" s="84"/>
      <c r="V43" s="234">
        <f ca="1">O42-P42</f>
        <v>-165.51869617476987</v>
      </c>
    </row>
    <row r="44" spans="2:23" s="85" customFormat="1" x14ac:dyDescent="0.25">
      <c r="B44" s="83"/>
      <c r="C44" s="521" t="s">
        <v>613</v>
      </c>
      <c r="D44" s="428"/>
      <c r="E44" s="429"/>
      <c r="F44" s="429"/>
      <c r="G44" s="429"/>
      <c r="H44" s="429"/>
      <c r="I44" s="430"/>
      <c r="J44" s="431"/>
      <c r="K44" s="432"/>
      <c r="L44" s="432"/>
      <c r="M44" s="432"/>
      <c r="N44" s="432"/>
      <c r="O44" s="432"/>
      <c r="P44" s="432"/>
      <c r="Q44" s="433"/>
      <c r="R44" s="432"/>
      <c r="S44" s="429"/>
      <c r="T44" s="84"/>
      <c r="V44" s="234"/>
    </row>
    <row r="45" spans="2:23" s="85" customFormat="1" x14ac:dyDescent="0.25">
      <c r="B45" s="83"/>
      <c r="C45" s="4" t="s">
        <v>607</v>
      </c>
      <c r="D45" s="44" t="s">
        <v>293</v>
      </c>
      <c r="E45" s="2" t="str">
        <f>VLOOKUP($C45,'S | 01 '!$C$6:$Q$49,E$5,0)</f>
        <v>Unrealized</v>
      </c>
      <c r="F45" s="2" t="str">
        <f>VLOOKUP($C45,'S | 01 '!$C$6:$Q$49,F$5,0)</f>
        <v>Divyesh</v>
      </c>
      <c r="G45" s="2" t="str">
        <f>VLOOKUP($C45,'S | 01 '!$C$6:$Q$49,G$5,0)</f>
        <v>G42 Capital</v>
      </c>
      <c r="H45" s="6">
        <f>VLOOKUP($C45,'S | 01 '!$C$6:$Q$49,H$5,0)</f>
        <v>2024</v>
      </c>
      <c r="I45" s="6" t="str">
        <f>VLOOKUP($C45,'S | 01 '!$C$6:$Q$49,I$5,0)</f>
        <v>Convertible Note</v>
      </c>
      <c r="J45" s="105" t="str">
        <f>VLOOKUP($C45,'S | 01 '!$C$6:$Q$49,J$5,0)</f>
        <v>n/a</v>
      </c>
      <c r="K45" s="17">
        <f ca="1">VLOOKUP($C45,'S | 01 '!$C$6:$Q$49,K$5,0)</f>
        <v>20</v>
      </c>
      <c r="L45" s="17">
        <f ca="1">VLOOKUP($C45,'S | 01 '!$C$6:$Q$49,L$5,0)</f>
        <v>20</v>
      </c>
      <c r="M45" s="17">
        <f>VLOOKUP($C45,'S | 01 '!$C$6:$Q$49,M$5,0)</f>
        <v>0</v>
      </c>
      <c r="N45" s="17">
        <f>VLOOKUP($C45,'S | 01 '!$C$6:$Q$49,N$5,0)</f>
        <v>20</v>
      </c>
      <c r="O45" s="17">
        <f ca="1">VLOOKUP($C45,'S | 01 '!$C$6:$Q$49,O$5,0)</f>
        <v>0</v>
      </c>
      <c r="P45" s="17">
        <v>0</v>
      </c>
      <c r="Q45" s="10">
        <f ca="1">VLOOKUP($C45,'S | 01 '!$C$6:$Q$49,Q$5,0)</f>
        <v>1</v>
      </c>
      <c r="R45" s="17">
        <f ca="1">VLOOKUP($C45,'S | 01 '!$C$6:$Q$49,R$5,0)</f>
        <v>0</v>
      </c>
      <c r="S45" s="102"/>
      <c r="T45" s="84"/>
      <c r="V45" s="234"/>
    </row>
    <row r="46" spans="2:23" s="85" customFormat="1" x14ac:dyDescent="0.25">
      <c r="B46" s="83"/>
      <c r="C46" s="4" t="s">
        <v>685</v>
      </c>
      <c r="D46" s="44" t="s">
        <v>293</v>
      </c>
      <c r="E46" s="2" t="str">
        <f>VLOOKUP($C46,'S | 01 '!$C$6:$Q$49,E$5,0)</f>
        <v>Unrealized</v>
      </c>
      <c r="F46" s="2" t="str">
        <f>VLOOKUP($C46,'S | 01 '!$C$6:$Q$49,F$5,0)</f>
        <v>Divyesh</v>
      </c>
      <c r="G46" s="2" t="str">
        <f>VLOOKUP($C46,'S | 01 '!$C$6:$Q$49,G$5,0)</f>
        <v>G42 Capital</v>
      </c>
      <c r="H46" s="6">
        <f>VLOOKUP($C46,'S | 01 '!$C$6:$Q$49,H$5,0)</f>
        <v>2024</v>
      </c>
      <c r="I46" s="6" t="str">
        <f>VLOOKUP($C46,'S | 01 '!$C$6:$Q$49,I$5,0)</f>
        <v>Convertible Debenture</v>
      </c>
      <c r="J46" s="105" t="str">
        <f>VLOOKUP($C46,'S | 01 '!$C$6:$Q$49,J$5,0)</f>
        <v>n/a</v>
      </c>
      <c r="K46" s="17">
        <f>VLOOKUP($C46,'S | 01 '!$C$6:$Q$49,K$5,0)</f>
        <v>10</v>
      </c>
      <c r="L46" s="17">
        <f ca="1">VLOOKUP($C46,'S | 01 '!$C$6:$Q$49,L$5,0)</f>
        <v>10</v>
      </c>
      <c r="M46" s="17">
        <f>VLOOKUP($C46,'S | 01 '!$C$6:$Q$49,M$5,0)</f>
        <v>0</v>
      </c>
      <c r="N46" s="17">
        <f>VLOOKUP($C46,'S | 01 '!$C$6:$Q$49,N$5,0)</f>
        <v>10</v>
      </c>
      <c r="O46" s="17">
        <f ca="1">VLOOKUP($C46,'S | 01 '!$C$6:$Q$49,O$5,0)</f>
        <v>0</v>
      </c>
      <c r="P46" s="17">
        <v>0</v>
      </c>
      <c r="Q46" s="10">
        <f ca="1">VLOOKUP($C46,'S | 01 '!$C$6:$Q$49,Q$5,0)</f>
        <v>1</v>
      </c>
      <c r="R46" s="17">
        <f ca="1">VLOOKUP($C46,'S | 01 '!$C$6:$Q$49,R$5,0)</f>
        <v>0</v>
      </c>
      <c r="S46" s="102" t="str">
        <f>VLOOKUP($C46,'S | 01 '!$C$6:$Q$49,S$5,0)</f>
        <v>Revenue linked RSUs</v>
      </c>
      <c r="T46" s="84"/>
      <c r="V46" s="234"/>
    </row>
    <row r="47" spans="2:23" x14ac:dyDescent="0.25">
      <c r="B47" s="81"/>
      <c r="C47" s="5"/>
      <c r="D47" s="13"/>
      <c r="E47" s="7"/>
      <c r="F47" s="7"/>
      <c r="G47" s="7"/>
      <c r="H47" s="7"/>
      <c r="I47" s="14"/>
      <c r="J47" s="207"/>
      <c r="K47" s="24"/>
      <c r="L47" s="24"/>
      <c r="M47" s="24"/>
      <c r="N47" s="24"/>
      <c r="O47" s="24"/>
      <c r="P47" s="24"/>
      <c r="Q47" s="15"/>
      <c r="R47" s="24"/>
      <c r="S47" s="220"/>
      <c r="T47" s="82"/>
    </row>
    <row r="48" spans="2:23" s="85" customFormat="1" x14ac:dyDescent="0.25">
      <c r="B48" s="83"/>
      <c r="C48" s="9"/>
      <c r="D48" s="9"/>
      <c r="E48" s="9"/>
      <c r="F48" s="9"/>
      <c r="G48" s="9"/>
      <c r="H48" s="9"/>
      <c r="I48" s="9"/>
      <c r="J48" s="108"/>
      <c r="K48" s="18">
        <f ca="1">SUM(K45:K46)</f>
        <v>30</v>
      </c>
      <c r="L48" s="18">
        <f t="shared" ref="L48:R48" ca="1" si="0">SUM(L45:L46)</f>
        <v>30</v>
      </c>
      <c r="M48" s="18">
        <f t="shared" si="0"/>
        <v>0</v>
      </c>
      <c r="N48" s="18">
        <f t="shared" si="0"/>
        <v>30</v>
      </c>
      <c r="O48" s="18">
        <f t="shared" ca="1" si="0"/>
        <v>0</v>
      </c>
      <c r="P48" s="18">
        <f t="shared" si="0"/>
        <v>0</v>
      </c>
      <c r="Q48" s="11">
        <f ca="1">(M48+N48)/L48</f>
        <v>1</v>
      </c>
      <c r="R48" s="18">
        <f t="shared" ca="1" si="0"/>
        <v>0</v>
      </c>
      <c r="S48" s="9"/>
      <c r="T48" s="84"/>
      <c r="V48" s="234"/>
    </row>
    <row r="49" spans="2:22" s="85" customFormat="1" x14ac:dyDescent="0.25">
      <c r="B49" s="83"/>
      <c r="C49" s="181"/>
      <c r="D49" s="181"/>
      <c r="E49" s="181"/>
      <c r="F49" s="181"/>
      <c r="G49" s="181"/>
      <c r="H49" s="181"/>
      <c r="I49" s="181"/>
      <c r="J49" s="107"/>
      <c r="K49" s="182"/>
      <c r="L49" s="182"/>
      <c r="M49" s="182"/>
      <c r="N49" s="182"/>
      <c r="O49" s="182"/>
      <c r="P49" s="182"/>
      <c r="Q49" s="183"/>
      <c r="R49" s="182"/>
      <c r="S49" s="181"/>
      <c r="T49" s="84"/>
      <c r="V49" s="234"/>
    </row>
    <row r="50" spans="2:22" s="85" customFormat="1" x14ac:dyDescent="0.25">
      <c r="B50" s="83"/>
      <c r="C50" s="521" t="s">
        <v>614</v>
      </c>
      <c r="D50" s="428"/>
      <c r="E50" s="429"/>
      <c r="F50" s="429"/>
      <c r="G50" s="429"/>
      <c r="H50" s="429"/>
      <c r="I50" s="430"/>
      <c r="J50" s="431"/>
      <c r="K50" s="432"/>
      <c r="L50" s="432"/>
      <c r="M50" s="432"/>
      <c r="N50" s="432"/>
      <c r="O50" s="432"/>
      <c r="P50" s="432"/>
      <c r="Q50" s="433"/>
      <c r="R50" s="432"/>
      <c r="S50" s="429"/>
      <c r="T50" s="84"/>
      <c r="V50" s="234"/>
    </row>
    <row r="51" spans="2:22" ht="17.25" x14ac:dyDescent="0.25">
      <c r="B51" s="81"/>
      <c r="C51" s="4" t="s">
        <v>467</v>
      </c>
      <c r="D51" s="44" t="s">
        <v>293</v>
      </c>
      <c r="E51" s="2" t="str">
        <f>VLOOKUP($C51,'S | 01 '!$C$6:$Q$49,E$5,0)</f>
        <v>Unrealized</v>
      </c>
      <c r="F51" s="2" t="str">
        <f>VLOOKUP($C51,'S | 01 '!$C$6:$Q$49,F$5,0)</f>
        <v>Camillo</v>
      </c>
      <c r="G51" s="2" t="str">
        <f>VLOOKUP($C51,'S | 01 '!$C$6:$Q$49,G$5,0)</f>
        <v>Core42 5</v>
      </c>
      <c r="H51" s="6">
        <f>VLOOKUP($C51,'S | 01 '!$C$6:$Q$49,H$5,0)</f>
        <v>2024</v>
      </c>
      <c r="I51" s="6" t="str">
        <f>VLOOKUP($C51,'S | 01 '!$C$6:$Q$49,I$5,0)</f>
        <v>Preferred Shares</v>
      </c>
      <c r="J51" s="105">
        <f>VLOOKUP($C51,'S | 01 '!$C$6:$Q$49,J$5,0)</f>
        <v>0.25</v>
      </c>
      <c r="K51" s="17">
        <f ca="1">VLOOKUP($C51,'S | 01 '!$C$6:$Q$49,K$5,0)</f>
        <v>2.75</v>
      </c>
      <c r="L51" s="17">
        <f ca="1">VLOOKUP($C51,'S | 01 '!$C$6:$Q$49,L$5,0)</f>
        <v>2.5</v>
      </c>
      <c r="M51" s="17">
        <f>VLOOKUP($C51,'S | 01 '!$C$6:$Q$49,M$5,0)</f>
        <v>0</v>
      </c>
      <c r="N51" s="17">
        <f ca="1">VLOOKUP($C51,'S | 01 '!$C$6:$Q$49,N$5,0)</f>
        <v>2.5</v>
      </c>
      <c r="O51" s="17">
        <f ca="1">VLOOKUP($C51,'S | 01 '!$C$6:$Q$49,O$5,0)</f>
        <v>0</v>
      </c>
      <c r="P51" s="17">
        <v>0</v>
      </c>
      <c r="Q51" s="10">
        <f ca="1">VLOOKUP($C51,'S | 01 '!$C$6:$Q$49,Q$5,0)</f>
        <v>1</v>
      </c>
      <c r="R51" s="17">
        <f ca="1">VLOOKUP($C51,'S | 01 '!$C$6:$Q$49,R$5,0)</f>
        <v>0.25</v>
      </c>
      <c r="S51" s="2" t="s">
        <v>541</v>
      </c>
      <c r="T51" s="82"/>
    </row>
    <row r="52" spans="2:22" x14ac:dyDescent="0.25">
      <c r="B52" s="81"/>
      <c r="C52" s="5"/>
      <c r="D52" s="13"/>
      <c r="E52" s="7"/>
      <c r="F52" s="7"/>
      <c r="G52" s="7"/>
      <c r="H52" s="14"/>
      <c r="I52" s="14"/>
      <c r="J52" s="207"/>
      <c r="K52" s="24"/>
      <c r="L52" s="24"/>
      <c r="M52" s="24"/>
      <c r="N52" s="24"/>
      <c r="O52" s="24"/>
      <c r="P52" s="24"/>
      <c r="Q52" s="15"/>
      <c r="R52" s="24"/>
      <c r="S52" s="7"/>
      <c r="T52" s="82"/>
    </row>
    <row r="53" spans="2:22" s="85" customFormat="1" x14ac:dyDescent="0.25">
      <c r="B53" s="83"/>
      <c r="C53" s="9"/>
      <c r="D53" s="9"/>
      <c r="E53" s="9"/>
      <c r="F53" s="9"/>
      <c r="G53" s="9"/>
      <c r="H53" s="9"/>
      <c r="I53" s="9"/>
      <c r="J53" s="108"/>
      <c r="K53" s="18">
        <f t="shared" ref="K53:P53" ca="1" si="1">SUM(K51)</f>
        <v>2.75</v>
      </c>
      <c r="L53" s="18">
        <f t="shared" ca="1" si="1"/>
        <v>2.5</v>
      </c>
      <c r="M53" s="18">
        <f t="shared" si="1"/>
        <v>0</v>
      </c>
      <c r="N53" s="18">
        <f t="shared" ca="1" si="1"/>
        <v>2.5</v>
      </c>
      <c r="O53" s="18">
        <f t="shared" ca="1" si="1"/>
        <v>0</v>
      </c>
      <c r="P53" s="18">
        <f t="shared" si="1"/>
        <v>0</v>
      </c>
      <c r="Q53" s="11">
        <f ca="1">(M53+N53)/L53</f>
        <v>1</v>
      </c>
      <c r="R53" s="18">
        <f ca="1">SUM(R51)</f>
        <v>0.25</v>
      </c>
      <c r="S53" s="9"/>
      <c r="T53" s="84"/>
      <c r="V53" s="234"/>
    </row>
    <row r="54" spans="2:22" s="85" customFormat="1" x14ac:dyDescent="0.25">
      <c r="B54" s="83"/>
      <c r="C54" s="181"/>
      <c r="D54" s="181"/>
      <c r="E54" s="181"/>
      <c r="F54" s="181"/>
      <c r="G54" s="181"/>
      <c r="H54" s="181"/>
      <c r="I54" s="181"/>
      <c r="J54" s="107"/>
      <c r="K54" s="182"/>
      <c r="L54" s="182"/>
      <c r="M54" s="182"/>
      <c r="N54" s="182"/>
      <c r="O54" s="182"/>
      <c r="P54" s="182"/>
      <c r="Q54" s="183"/>
      <c r="R54" s="182"/>
      <c r="S54" s="181"/>
      <c r="T54" s="84"/>
      <c r="V54" s="234"/>
    </row>
    <row r="55" spans="2:22" s="85" customFormat="1" x14ac:dyDescent="0.25">
      <c r="B55" s="83"/>
      <c r="C55" s="450"/>
      <c r="D55" s="450"/>
      <c r="E55" s="451"/>
      <c r="F55" s="451"/>
      <c r="G55" s="451"/>
      <c r="H55" s="451"/>
      <c r="I55" s="451"/>
      <c r="J55" s="515"/>
      <c r="K55" s="516">
        <f ca="1">K30+K42+K48+K53</f>
        <v>2340.8839548347419</v>
      </c>
      <c r="L55" s="516">
        <f t="shared" ref="L55:P55" ca="1" si="2">L30+L42+L48+L53</f>
        <v>2299.6722922474255</v>
      </c>
      <c r="M55" s="516">
        <f t="shared" ca="1" si="2"/>
        <v>1280.3518386081651</v>
      </c>
      <c r="N55" s="516">
        <f t="shared" ca="1" si="2"/>
        <v>865.87047911448849</v>
      </c>
      <c r="O55" s="516">
        <f t="shared" ca="1" si="2"/>
        <v>-153.44997452477196</v>
      </c>
      <c r="P55" s="516">
        <f t="shared" si="2"/>
        <v>71.427198455442181</v>
      </c>
      <c r="Q55" s="517">
        <f ca="1">(M55+N55)/L55</f>
        <v>0.93327311241602673</v>
      </c>
      <c r="R55" s="516">
        <f t="shared" ref="R55" ca="1" si="3">R30+R42+R48+R53</f>
        <v>19.102482594157998</v>
      </c>
      <c r="S55" s="451"/>
      <c r="T55" s="84"/>
      <c r="V55" s="279">
        <f ca="1">SUM(M33:N35)-SUM(L33:L35)</f>
        <v>-112.54570738000007</v>
      </c>
    </row>
    <row r="56" spans="2:22" s="218" customFormat="1" ht="15.75" thickBot="1" x14ac:dyDescent="0.3">
      <c r="B56" s="211"/>
      <c r="C56" s="212"/>
      <c r="D56" s="212"/>
      <c r="E56" s="213"/>
      <c r="F56" s="213"/>
      <c r="G56" s="213"/>
      <c r="H56" s="213"/>
      <c r="I56" s="213"/>
      <c r="J56" s="214"/>
      <c r="K56" s="215"/>
      <c r="L56" s="215"/>
      <c r="M56" s="215"/>
      <c r="N56" s="215"/>
      <c r="O56" s="215"/>
      <c r="P56" s="215"/>
      <c r="Q56" s="216"/>
      <c r="R56" s="215"/>
      <c r="S56" s="213"/>
      <c r="T56" s="217"/>
      <c r="V56" s="279">
        <f ca="1">SUM(M36:N40)-SUM(L36:L40)</f>
        <v>3.9170112052303523</v>
      </c>
    </row>
    <row r="57" spans="2:22" x14ac:dyDescent="0.25">
      <c r="J57" s="91"/>
      <c r="V57" s="280">
        <f ca="1">K42-L42</f>
        <v>37.461662587316368</v>
      </c>
    </row>
    <row r="58" spans="2:22" x14ac:dyDescent="0.25">
      <c r="I58" s="242" t="s">
        <v>304</v>
      </c>
      <c r="J58" s="237"/>
      <c r="K58" s="237" t="b">
        <f ca="1">K55='S | 01 '!J49</f>
        <v>1</v>
      </c>
      <c r="L58" s="237" t="b">
        <f ca="1">ROUND(L55,3)=ROUND('S | 01 '!K49,3)</f>
        <v>1</v>
      </c>
      <c r="M58" s="237" t="b">
        <f ca="1">M55='S | 01 '!M49</f>
        <v>1</v>
      </c>
      <c r="N58" s="237" t="b">
        <f ca="1">N55='S | 01 '!N49</f>
        <v>0</v>
      </c>
      <c r="O58" s="237" t="b">
        <f ca="1">ROUND(O55,3)=ROUND('S | 01 '!O49,3)</f>
        <v>1</v>
      </c>
      <c r="P58" s="237"/>
      <c r="R58" s="307" t="b">
        <f ca="1">R30+R53='S | 01 '!L33</f>
        <v>1</v>
      </c>
    </row>
    <row r="59" spans="2:22" x14ac:dyDescent="0.25">
      <c r="B59" s="153"/>
      <c r="C59" s="153" t="s">
        <v>305</v>
      </c>
      <c r="D59" s="5"/>
      <c r="E59" s="7"/>
      <c r="F59" s="7"/>
      <c r="G59" s="7"/>
      <c r="H59" s="7"/>
      <c r="I59" s="243"/>
      <c r="J59" s="125"/>
      <c r="K59" s="244"/>
      <c r="L59" s="26"/>
      <c r="M59" s="244"/>
      <c r="N59" s="244"/>
      <c r="O59" s="244"/>
      <c r="P59" s="244"/>
      <c r="Q59" s="15"/>
      <c r="R59" s="26"/>
      <c r="S59" s="7"/>
    </row>
    <row r="60" spans="2:22" x14ac:dyDescent="0.25">
      <c r="B60" s="153"/>
      <c r="C60" s="518" t="s">
        <v>631</v>
      </c>
      <c r="D60" s="519"/>
      <c r="E60" s="520"/>
      <c r="F60" s="234"/>
      <c r="G60" s="234"/>
      <c r="H60" s="234"/>
      <c r="I60" s="234"/>
      <c r="J60" s="234"/>
      <c r="K60" s="234"/>
      <c r="L60" s="292"/>
      <c r="M60" s="234"/>
      <c r="N60" s="234"/>
      <c r="O60" s="292"/>
      <c r="P60" s="234"/>
      <c r="Q60" s="234"/>
      <c r="R60" s="234"/>
    </row>
    <row r="61" spans="2:22" s="27" customFormat="1" x14ac:dyDescent="0.25">
      <c r="B61" s="26"/>
      <c r="C61" s="13"/>
      <c r="D61" s="13"/>
      <c r="L61" s="292"/>
      <c r="T61" s="26"/>
    </row>
    <row r="62" spans="2:22" s="27" customFormat="1" x14ac:dyDescent="0.25">
      <c r="B62" s="26"/>
      <c r="C62" s="72"/>
      <c r="D62" s="72"/>
      <c r="E62" s="234"/>
      <c r="F62" s="234"/>
      <c r="G62" s="234"/>
      <c r="H62" s="235"/>
      <c r="I62" s="234"/>
      <c r="J62" s="234"/>
      <c r="K62" s="234"/>
      <c r="L62" s="234"/>
      <c r="M62" s="234"/>
      <c r="N62" s="234"/>
      <c r="P62" s="234"/>
      <c r="Q62" s="234"/>
      <c r="R62" s="234"/>
      <c r="T62" s="26"/>
    </row>
    <row r="63" spans="2:22" s="27" customFormat="1" x14ac:dyDescent="0.25">
      <c r="B63" s="26"/>
      <c r="C63" s="13"/>
      <c r="D63" s="13"/>
      <c r="E63" s="234"/>
      <c r="F63" s="234"/>
      <c r="G63" s="234"/>
      <c r="H63" s="236"/>
      <c r="L63" s="292"/>
      <c r="Q63" s="234"/>
      <c r="T63" s="26"/>
    </row>
    <row r="64" spans="2:22" s="27" customFormat="1" x14ac:dyDescent="0.25">
      <c r="B64" s="26"/>
      <c r="C64" s="13"/>
      <c r="D64" s="13"/>
      <c r="E64" s="234"/>
      <c r="F64" s="234"/>
      <c r="G64" s="234"/>
      <c r="H64" s="234"/>
      <c r="I64" s="234"/>
      <c r="J64" s="234"/>
      <c r="K64" s="234"/>
      <c r="L64" s="234"/>
      <c r="M64" s="234"/>
      <c r="N64" s="234"/>
      <c r="P64" s="234"/>
      <c r="Q64" s="234"/>
      <c r="R64" s="234"/>
      <c r="T64" s="26"/>
    </row>
    <row r="65" spans="2:20" s="27" customFormat="1" x14ac:dyDescent="0.25">
      <c r="B65" s="26"/>
      <c r="C65" s="13"/>
      <c r="D65" s="13"/>
      <c r="E65" s="234"/>
      <c r="F65" s="234"/>
      <c r="G65" s="234"/>
      <c r="H65" s="234"/>
      <c r="I65" s="234"/>
      <c r="J65" s="234"/>
      <c r="K65" s="234"/>
      <c r="L65" s="234"/>
      <c r="M65" s="234"/>
      <c r="N65" s="234"/>
      <c r="P65" s="234"/>
      <c r="Q65" s="234"/>
      <c r="R65" s="234"/>
      <c r="T65" s="26"/>
    </row>
    <row r="66" spans="2:20" s="27" customFormat="1" x14ac:dyDescent="0.25">
      <c r="B66" s="26"/>
      <c r="C66" s="13"/>
      <c r="D66" s="13"/>
      <c r="E66" s="234"/>
      <c r="F66" s="234"/>
      <c r="G66" s="234"/>
      <c r="H66" s="234"/>
      <c r="I66" s="234"/>
      <c r="J66" s="234"/>
      <c r="K66" s="234"/>
      <c r="L66" s="234"/>
      <c r="M66" s="234"/>
      <c r="N66" s="234"/>
      <c r="O66" s="234"/>
      <c r="P66" s="234"/>
      <c r="Q66" s="234"/>
      <c r="R66" s="234"/>
      <c r="T66" s="26"/>
    </row>
    <row r="67" spans="2:20" s="27" customFormat="1" x14ac:dyDescent="0.25">
      <c r="B67" s="26"/>
      <c r="C67" s="13"/>
      <c r="D67" s="13"/>
      <c r="E67" s="234"/>
      <c r="F67" s="234"/>
      <c r="G67" s="234"/>
      <c r="H67" s="234"/>
      <c r="I67" s="234"/>
      <c r="J67" s="234"/>
      <c r="K67" s="234"/>
      <c r="L67" s="234"/>
      <c r="M67" s="234"/>
      <c r="N67" s="234"/>
      <c r="O67" s="234"/>
      <c r="P67" s="234"/>
      <c r="Q67" s="234"/>
      <c r="R67" s="234"/>
      <c r="T67" s="26"/>
    </row>
    <row r="68" spans="2:20" s="27" customFormat="1" x14ac:dyDescent="0.25">
      <c r="B68" s="26"/>
      <c r="C68" s="71"/>
      <c r="D68" s="71"/>
      <c r="N68" s="95"/>
      <c r="O68" s="95"/>
      <c r="P68" s="95"/>
      <c r="T68" s="26"/>
    </row>
    <row r="69" spans="2:20" s="27" customFormat="1" x14ac:dyDescent="0.25">
      <c r="B69" s="26"/>
      <c r="C69" s="72"/>
      <c r="D69" s="72"/>
      <c r="N69" s="95"/>
      <c r="O69" s="95"/>
      <c r="P69" s="95"/>
      <c r="T69" s="26"/>
    </row>
    <row r="70" spans="2:20" s="27" customFormat="1" x14ac:dyDescent="0.25">
      <c r="B70" s="26"/>
      <c r="C70" s="219"/>
      <c r="D70" s="219"/>
      <c r="N70" s="95"/>
      <c r="O70" s="95"/>
      <c r="P70" s="95"/>
      <c r="T70" s="26"/>
    </row>
    <row r="71" spans="2:20" s="27" customFormat="1" x14ac:dyDescent="0.25">
      <c r="B71" s="26"/>
      <c r="C71" s="72"/>
      <c r="D71" s="72"/>
      <c r="N71" s="95"/>
      <c r="O71" s="95"/>
      <c r="P71" s="95"/>
      <c r="T71" s="26"/>
    </row>
    <row r="72" spans="2:20" s="27" customFormat="1" x14ac:dyDescent="0.25">
      <c r="B72" s="26"/>
      <c r="C72" s="71"/>
      <c r="D72" s="71"/>
      <c r="N72" s="95"/>
      <c r="O72" s="95"/>
      <c r="P72" s="95"/>
      <c r="T72" s="26"/>
    </row>
    <row r="73" spans="2:20" s="27" customFormat="1" x14ac:dyDescent="0.25">
      <c r="B73" s="26"/>
      <c r="C73" s="71"/>
      <c r="D73" s="71"/>
      <c r="N73" s="95"/>
      <c r="O73" s="95"/>
      <c r="P73" s="95"/>
      <c r="T73" s="26"/>
    </row>
    <row r="74" spans="2:20" s="27" customFormat="1" x14ac:dyDescent="0.25">
      <c r="B74" s="26"/>
      <c r="C74" s="71"/>
      <c r="D74" s="71"/>
      <c r="T74" s="26"/>
    </row>
    <row r="75" spans="2:20" s="27" customFormat="1" x14ac:dyDescent="0.25">
      <c r="B75" s="26"/>
      <c r="C75" s="72"/>
      <c r="D75" s="72"/>
      <c r="T75" s="26"/>
    </row>
    <row r="76" spans="2:20" s="27" customFormat="1" x14ac:dyDescent="0.25">
      <c r="B76" s="26"/>
      <c r="C76" s="72"/>
      <c r="D76" s="72"/>
      <c r="T76" s="26"/>
    </row>
    <row r="77" spans="2:20" s="27" customFormat="1" x14ac:dyDescent="0.25">
      <c r="B77" s="26"/>
      <c r="C77" s="72"/>
      <c r="D77" s="72"/>
      <c r="T77" s="26"/>
    </row>
    <row r="78" spans="2:20" s="27" customFormat="1" x14ac:dyDescent="0.25">
      <c r="B78" s="26"/>
      <c r="C78" s="71"/>
      <c r="D78" s="71"/>
      <c r="T78" s="26"/>
    </row>
    <row r="79" spans="2:20" s="27" customFormat="1" x14ac:dyDescent="0.25">
      <c r="B79" s="26"/>
      <c r="C79" s="71"/>
      <c r="D79" s="71"/>
      <c r="H79" s="163"/>
      <c r="J79" s="72"/>
      <c r="Q79" s="95"/>
      <c r="T79" s="26"/>
    </row>
    <row r="80" spans="2:20" s="27" customFormat="1" x14ac:dyDescent="0.25">
      <c r="B80" s="26"/>
      <c r="C80" s="71"/>
      <c r="D80" s="71"/>
      <c r="H80" s="163"/>
      <c r="J80" s="72"/>
      <c r="Q80" s="95"/>
      <c r="T80" s="26"/>
    </row>
    <row r="81" spans="2:20" s="27" customFormat="1" x14ac:dyDescent="0.25">
      <c r="B81" s="26"/>
      <c r="C81" s="71"/>
      <c r="D81" s="71"/>
      <c r="H81" s="72"/>
      <c r="J81" s="72"/>
      <c r="Q81" s="95"/>
      <c r="T81" s="26"/>
    </row>
    <row r="82" spans="2:20" s="27" customFormat="1" x14ac:dyDescent="0.25">
      <c r="B82" s="26"/>
      <c r="C82" s="72"/>
      <c r="D82" s="72"/>
      <c r="F82" s="72"/>
      <c r="H82" s="72"/>
      <c r="J82" s="72"/>
      <c r="Q82" s="95"/>
      <c r="T82" s="26"/>
    </row>
    <row r="83" spans="2:20" s="27" customFormat="1" x14ac:dyDescent="0.25">
      <c r="B83" s="26"/>
      <c r="H83" s="72"/>
      <c r="J83" s="72"/>
      <c r="Q83" s="95"/>
      <c r="T83" s="26"/>
    </row>
    <row r="84" spans="2:20" s="27" customFormat="1" x14ac:dyDescent="0.25">
      <c r="B84" s="26"/>
      <c r="Q84" s="95"/>
      <c r="T84" s="26"/>
    </row>
    <row r="85" spans="2:20" s="27" customFormat="1" x14ac:dyDescent="0.25">
      <c r="B85" s="26"/>
      <c r="C85" s="71"/>
      <c r="D85" s="71"/>
      <c r="G85" s="72"/>
      <c r="Q85" s="95"/>
      <c r="T85" s="26"/>
    </row>
  </sheetData>
  <dataConsolidate/>
  <pageMargins left="0.7" right="0.7" top="0.75" bottom="0.75" header="0.3" footer="0.3"/>
  <pageSetup paperSize="9" scale="24" orientation="portrait" verticalDpi="0" r:id="rId1"/>
  <colBreaks count="1" manualBreakCount="1">
    <brk id="20" max="1048575" man="1"/>
  </colBreaks>
  <ignoredErrors>
    <ignoredError sqref="O42 O30"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0"/>
  <sheetViews>
    <sheetView showGridLines="0" view="pageBreakPreview" zoomScale="70" zoomScaleNormal="70" zoomScaleSheetLayoutView="70" workbookViewId="0">
      <selection activeCell="G31" sqref="G31"/>
    </sheetView>
  </sheetViews>
  <sheetFormatPr defaultColWidth="9.140625" defaultRowHeight="15" x14ac:dyDescent="0.25"/>
  <cols>
    <col min="1" max="1" width="5.42578125" style="26" customWidth="1"/>
    <col min="2" max="2" width="8.28515625" style="26" customWidth="1"/>
    <col min="3" max="3" width="54.140625" style="71" customWidth="1"/>
    <col min="4" max="4" width="17.140625" style="27" customWidth="1"/>
    <col min="5" max="5" width="9.42578125" style="27" bestFit="1" customWidth="1"/>
    <col min="6" max="6" width="19.7109375" style="27" bestFit="1" customWidth="1"/>
    <col min="7" max="7" width="47.42578125" style="27"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ht="15.75" thickBot="1" x14ac:dyDescent="0.3">
      <c r="C1" s="159"/>
    </row>
    <row r="2" spans="2:20" ht="15.75" thickBot="1" x14ac:dyDescent="0.3">
      <c r="C2" s="185" t="s">
        <v>170</v>
      </c>
      <c r="D2" s="186">
        <f>'S | 01 '!D2</f>
        <v>45473</v>
      </c>
      <c r="E2" s="26"/>
      <c r="F2" s="26"/>
      <c r="G2" s="26"/>
      <c r="H2" s="26"/>
      <c r="I2" s="26"/>
      <c r="J2" s="26"/>
      <c r="K2" s="26"/>
      <c r="L2" s="26"/>
      <c r="M2" s="26"/>
      <c r="N2" s="26"/>
      <c r="O2" s="26"/>
      <c r="P2" s="26"/>
      <c r="Q2" s="26"/>
    </row>
    <row r="3" spans="2:20" ht="15.75" thickBot="1" x14ac:dyDescent="0.3">
      <c r="C3" s="159"/>
      <c r="P3" s="153" t="s">
        <v>369</v>
      </c>
    </row>
    <row r="4" spans="2:20" x14ac:dyDescent="0.25">
      <c r="B4" s="73"/>
      <c r="C4" s="74"/>
      <c r="D4" s="75"/>
      <c r="E4" s="75"/>
      <c r="F4" s="75"/>
      <c r="G4" s="75"/>
      <c r="H4" s="75"/>
      <c r="I4" s="75"/>
      <c r="J4" s="75"/>
      <c r="K4" s="200"/>
      <c r="L4" s="200"/>
      <c r="M4" s="200"/>
      <c r="N4" s="200"/>
      <c r="O4" s="200"/>
      <c r="P4" s="200"/>
      <c r="Q4" s="200"/>
      <c r="R4" s="77"/>
    </row>
    <row r="5" spans="2:20" x14ac:dyDescent="0.25">
      <c r="B5" s="81"/>
      <c r="R5" s="82"/>
    </row>
    <row r="6" spans="2:20" s="80" customFormat="1" ht="30" x14ac:dyDescent="0.25">
      <c r="B6" s="78"/>
      <c r="C6" s="3" t="s">
        <v>51</v>
      </c>
      <c r="D6" s="1" t="s">
        <v>25</v>
      </c>
      <c r="E6" s="1" t="s">
        <v>61</v>
      </c>
      <c r="F6" s="1" t="s">
        <v>31</v>
      </c>
      <c r="G6" s="1" t="s">
        <v>458</v>
      </c>
      <c r="H6" s="1" t="s">
        <v>466</v>
      </c>
      <c r="I6" s="1" t="s">
        <v>537</v>
      </c>
      <c r="J6" s="1" t="s">
        <v>36</v>
      </c>
      <c r="K6" s="1" t="s">
        <v>217</v>
      </c>
      <c r="L6" s="1" t="s">
        <v>362</v>
      </c>
      <c r="M6" s="1" t="s">
        <v>363</v>
      </c>
      <c r="N6" s="1" t="s">
        <v>353</v>
      </c>
      <c r="O6" s="1" t="s">
        <v>53</v>
      </c>
      <c r="P6" s="1" t="s">
        <v>370</v>
      </c>
      <c r="Q6" s="327" t="s">
        <v>229</v>
      </c>
      <c r="R6" s="79"/>
    </row>
    <row r="7" spans="2:20" x14ac:dyDescent="0.25">
      <c r="B7" s="81"/>
      <c r="C7" s="5"/>
      <c r="D7" s="8"/>
      <c r="E7" s="8"/>
      <c r="F7" s="8"/>
      <c r="G7" s="8"/>
      <c r="H7" s="8"/>
      <c r="I7" s="8"/>
      <c r="J7" s="8"/>
      <c r="K7" s="8"/>
      <c r="L7" s="8"/>
      <c r="M7" s="8"/>
      <c r="N7" s="8"/>
      <c r="O7" s="8"/>
      <c r="P7" s="8"/>
      <c r="Q7" s="197"/>
      <c r="R7" s="82"/>
    </row>
    <row r="8" spans="2:20" x14ac:dyDescent="0.25">
      <c r="B8" s="81"/>
      <c r="C8" s="521" t="s">
        <v>28</v>
      </c>
      <c r="D8" s="428"/>
      <c r="E8" s="429"/>
      <c r="F8" s="429"/>
      <c r="G8" s="429"/>
      <c r="H8" s="429"/>
      <c r="I8" s="430"/>
      <c r="J8" s="431"/>
      <c r="K8" s="432"/>
      <c r="L8" s="432"/>
      <c r="M8" s="432"/>
      <c r="N8" s="432"/>
      <c r="O8" s="432"/>
      <c r="P8" s="432"/>
      <c r="Q8" s="431"/>
      <c r="R8" s="82"/>
      <c r="T8" s="429"/>
    </row>
    <row r="9" spans="2:20" ht="17.25" x14ac:dyDescent="0.25">
      <c r="B9" s="81"/>
      <c r="C9" s="4" t="s">
        <v>47</v>
      </c>
      <c r="D9" s="2" t="s">
        <v>448</v>
      </c>
      <c r="E9" s="2" t="s">
        <v>63</v>
      </c>
      <c r="F9" s="2" t="s">
        <v>8</v>
      </c>
      <c r="G9" s="399" t="s">
        <v>459</v>
      </c>
      <c r="H9" s="2" t="s">
        <v>491</v>
      </c>
      <c r="I9" s="399" t="s">
        <v>492</v>
      </c>
      <c r="J9" s="2" t="s">
        <v>73</v>
      </c>
      <c r="K9" s="2"/>
      <c r="L9" s="329" t="s">
        <v>303</v>
      </c>
      <c r="M9" s="329" t="s">
        <v>303</v>
      </c>
      <c r="N9" s="328" t="s">
        <v>382</v>
      </c>
      <c r="O9" s="331">
        <v>5.6999998161926343E-2</v>
      </c>
      <c r="P9" s="2"/>
      <c r="Q9" s="198">
        <v>1</v>
      </c>
      <c r="R9" s="82"/>
    </row>
    <row r="10" spans="2:20" ht="17.25" x14ac:dyDescent="0.25">
      <c r="B10" s="81"/>
      <c r="C10" s="4" t="s">
        <v>0</v>
      </c>
      <c r="D10" s="2" t="s">
        <v>78</v>
      </c>
      <c r="E10" s="2" t="s">
        <v>63</v>
      </c>
      <c r="F10" s="2" t="s">
        <v>8</v>
      </c>
      <c r="G10" s="399" t="s">
        <v>459</v>
      </c>
      <c r="H10" s="2" t="s">
        <v>491</v>
      </c>
      <c r="I10" s="399" t="s">
        <v>492</v>
      </c>
      <c r="J10" s="2" t="s">
        <v>68</v>
      </c>
      <c r="K10" s="2"/>
      <c r="L10" s="329" t="s">
        <v>303</v>
      </c>
      <c r="M10" s="329" t="s">
        <v>303</v>
      </c>
      <c r="N10" s="328" t="s">
        <v>382</v>
      </c>
      <c r="O10" s="331">
        <v>0.14000000235296001</v>
      </c>
      <c r="P10" s="2"/>
      <c r="Q10" s="198">
        <v>2</v>
      </c>
      <c r="R10" s="82"/>
    </row>
    <row r="11" spans="2:20" ht="17.25" x14ac:dyDescent="0.25">
      <c r="B11" s="81"/>
      <c r="C11" s="4" t="s">
        <v>38</v>
      </c>
      <c r="D11" s="2" t="s">
        <v>78</v>
      </c>
      <c r="E11" s="2" t="s">
        <v>62</v>
      </c>
      <c r="F11" s="2" t="s">
        <v>8</v>
      </c>
      <c r="G11" s="399" t="s">
        <v>459</v>
      </c>
      <c r="H11" s="2" t="s">
        <v>491</v>
      </c>
      <c r="I11" s="399" t="s">
        <v>492</v>
      </c>
      <c r="J11" s="2" t="s">
        <v>75</v>
      </c>
      <c r="K11" s="2"/>
      <c r="L11" s="329" t="s">
        <v>303</v>
      </c>
      <c r="M11" s="329" t="s">
        <v>303</v>
      </c>
      <c r="N11" s="328" t="s">
        <v>383</v>
      </c>
      <c r="O11" s="331">
        <v>8.5025484621212399E-2</v>
      </c>
      <c r="P11" s="2" t="s">
        <v>371</v>
      </c>
      <c r="Q11" s="198">
        <v>3</v>
      </c>
      <c r="R11" s="82"/>
    </row>
    <row r="12" spans="2:20" ht="17.25" x14ac:dyDescent="0.25">
      <c r="B12" s="81"/>
      <c r="C12" s="4" t="s">
        <v>39</v>
      </c>
      <c r="D12" s="2" t="s">
        <v>79</v>
      </c>
      <c r="E12" s="2" t="s">
        <v>62</v>
      </c>
      <c r="F12" s="2" t="s">
        <v>8</v>
      </c>
      <c r="G12" s="399" t="s">
        <v>459</v>
      </c>
      <c r="H12" s="2" t="s">
        <v>491</v>
      </c>
      <c r="I12" s="399" t="s">
        <v>492</v>
      </c>
      <c r="J12" s="2" t="s">
        <v>44</v>
      </c>
      <c r="K12" s="2"/>
      <c r="L12" s="329" t="s">
        <v>303</v>
      </c>
      <c r="M12" s="2" t="s">
        <v>124</v>
      </c>
      <c r="N12" s="328" t="s">
        <v>385</v>
      </c>
      <c r="O12" s="331" t="s">
        <v>124</v>
      </c>
      <c r="P12" s="2"/>
      <c r="Q12" s="198">
        <v>4</v>
      </c>
      <c r="R12" s="82"/>
    </row>
    <row r="13" spans="2:20" ht="17.25" x14ac:dyDescent="0.25">
      <c r="B13" s="81"/>
      <c r="C13" s="4" t="s">
        <v>37</v>
      </c>
      <c r="D13" s="2" t="s">
        <v>78</v>
      </c>
      <c r="E13" s="2" t="s">
        <v>64</v>
      </c>
      <c r="F13" s="2" t="s">
        <v>8</v>
      </c>
      <c r="G13" s="399" t="s">
        <v>459</v>
      </c>
      <c r="H13" s="2" t="s">
        <v>491</v>
      </c>
      <c r="I13" s="399" t="s">
        <v>492</v>
      </c>
      <c r="J13" s="2" t="s">
        <v>67</v>
      </c>
      <c r="K13" s="2"/>
      <c r="L13" s="329" t="s">
        <v>303</v>
      </c>
      <c r="M13" s="329" t="s">
        <v>303</v>
      </c>
      <c r="N13" s="328" t="s">
        <v>383</v>
      </c>
      <c r="O13" s="331">
        <v>9.7965107245756355E-2</v>
      </c>
      <c r="P13" s="2"/>
      <c r="Q13" s="198">
        <v>5</v>
      </c>
      <c r="R13" s="82"/>
    </row>
    <row r="14" spans="2:20" ht="17.25" x14ac:dyDescent="0.25">
      <c r="B14" s="81"/>
      <c r="C14" s="4" t="s">
        <v>87</v>
      </c>
      <c r="D14" s="2" t="s">
        <v>78</v>
      </c>
      <c r="E14" s="2" t="s">
        <v>64</v>
      </c>
      <c r="F14" s="2" t="s">
        <v>8</v>
      </c>
      <c r="G14" s="94" t="s">
        <v>459</v>
      </c>
      <c r="H14" s="405" t="s">
        <v>536</v>
      </c>
      <c r="I14" s="405" t="s">
        <v>492</v>
      </c>
      <c r="J14" s="2" t="s">
        <v>45</v>
      </c>
      <c r="K14" s="2" t="s">
        <v>216</v>
      </c>
      <c r="L14" s="329" t="s">
        <v>303</v>
      </c>
      <c r="M14" s="329" t="s">
        <v>303</v>
      </c>
      <c r="N14" s="328" t="s">
        <v>355</v>
      </c>
      <c r="O14" s="331">
        <v>5.1651565402323088E-2</v>
      </c>
      <c r="P14" s="2"/>
      <c r="Q14" s="198">
        <v>6</v>
      </c>
      <c r="R14" s="82"/>
    </row>
    <row r="15" spans="2:20" ht="17.25" x14ac:dyDescent="0.25">
      <c r="B15" s="81"/>
      <c r="C15" s="4" t="s">
        <v>9</v>
      </c>
      <c r="D15" s="2" t="s">
        <v>78</v>
      </c>
      <c r="E15" s="2" t="s">
        <v>63</v>
      </c>
      <c r="F15" s="2" t="s">
        <v>8</v>
      </c>
      <c r="G15" s="399" t="s">
        <v>459</v>
      </c>
      <c r="H15" s="2" t="s">
        <v>491</v>
      </c>
      <c r="I15" s="399" t="s">
        <v>492</v>
      </c>
      <c r="J15" s="2" t="s">
        <v>72</v>
      </c>
      <c r="K15" s="2"/>
      <c r="L15" s="329" t="s">
        <v>303</v>
      </c>
      <c r="M15" s="329" t="s">
        <v>303</v>
      </c>
      <c r="N15" s="328" t="s">
        <v>354</v>
      </c>
      <c r="O15" s="331">
        <v>0.14380000000000001</v>
      </c>
      <c r="P15" s="2"/>
      <c r="Q15" s="198">
        <v>7</v>
      </c>
      <c r="R15" s="82"/>
    </row>
    <row r="16" spans="2:20" ht="17.25" x14ac:dyDescent="0.25">
      <c r="B16" s="81"/>
      <c r="C16" s="4" t="s">
        <v>18</v>
      </c>
      <c r="D16" s="2" t="s">
        <v>79</v>
      </c>
      <c r="E16" s="2" t="s">
        <v>62</v>
      </c>
      <c r="F16" s="2" t="s">
        <v>378</v>
      </c>
      <c r="G16" s="399" t="s">
        <v>460</v>
      </c>
      <c r="H16" s="2" t="s">
        <v>79</v>
      </c>
      <c r="I16" s="2" t="s">
        <v>79</v>
      </c>
      <c r="J16" s="2" t="s">
        <v>49</v>
      </c>
      <c r="K16" s="2"/>
      <c r="L16" s="329" t="s">
        <v>303</v>
      </c>
      <c r="M16" s="2" t="s">
        <v>124</v>
      </c>
      <c r="N16" s="328" t="s">
        <v>355</v>
      </c>
      <c r="O16" s="331">
        <v>0.03</v>
      </c>
      <c r="P16" s="2"/>
      <c r="Q16" s="198">
        <v>8</v>
      </c>
      <c r="R16" s="82"/>
    </row>
    <row r="17" spans="2:20" ht="17.25" x14ac:dyDescent="0.25">
      <c r="B17" s="81"/>
      <c r="C17" s="4" t="s">
        <v>40</v>
      </c>
      <c r="D17" s="2" t="s">
        <v>78</v>
      </c>
      <c r="E17" s="2" t="s">
        <v>66</v>
      </c>
      <c r="F17" s="2" t="s">
        <v>8</v>
      </c>
      <c r="G17" s="399" t="s">
        <v>459</v>
      </c>
      <c r="H17" s="2" t="s">
        <v>491</v>
      </c>
      <c r="I17" s="399" t="s">
        <v>492</v>
      </c>
      <c r="J17" s="2" t="s">
        <v>69</v>
      </c>
      <c r="K17" s="2"/>
      <c r="L17" s="329" t="s">
        <v>303</v>
      </c>
      <c r="M17" s="329" t="s">
        <v>303</v>
      </c>
      <c r="N17" s="328" t="s">
        <v>383</v>
      </c>
      <c r="O17" s="331">
        <v>9.117206771726628E-3</v>
      </c>
      <c r="P17" s="2"/>
      <c r="Q17" s="198">
        <v>9</v>
      </c>
      <c r="R17" s="82"/>
    </row>
    <row r="18" spans="2:20" ht="17.25" x14ac:dyDescent="0.25">
      <c r="B18" s="81"/>
      <c r="C18" s="4" t="s">
        <v>41</v>
      </c>
      <c r="D18" s="2" t="s">
        <v>78</v>
      </c>
      <c r="E18" s="2" t="s">
        <v>62</v>
      </c>
      <c r="F18" s="2" t="s">
        <v>8</v>
      </c>
      <c r="G18" s="399" t="s">
        <v>459</v>
      </c>
      <c r="H18" s="2" t="s">
        <v>491</v>
      </c>
      <c r="I18" s="401" t="s">
        <v>629</v>
      </c>
      <c r="J18" s="2" t="s">
        <v>74</v>
      </c>
      <c r="K18" s="2"/>
      <c r="L18" s="329" t="s">
        <v>303</v>
      </c>
      <c r="M18" s="329" t="s">
        <v>303</v>
      </c>
      <c r="N18" s="328" t="s">
        <v>383</v>
      </c>
      <c r="O18" s="331">
        <v>0.16080402010050251</v>
      </c>
      <c r="P18" s="2"/>
      <c r="Q18" s="198">
        <v>10</v>
      </c>
      <c r="R18" s="82"/>
    </row>
    <row r="19" spans="2:20" ht="17.25" x14ac:dyDescent="0.25">
      <c r="B19" s="81"/>
      <c r="C19" s="4" t="s">
        <v>42</v>
      </c>
      <c r="D19" s="2" t="s">
        <v>79</v>
      </c>
      <c r="E19" s="2" t="s">
        <v>66</v>
      </c>
      <c r="F19" s="2" t="s">
        <v>8</v>
      </c>
      <c r="G19" s="399" t="s">
        <v>459</v>
      </c>
      <c r="H19" s="2" t="s">
        <v>491</v>
      </c>
      <c r="I19" s="399" t="s">
        <v>492</v>
      </c>
      <c r="J19" s="2" t="s">
        <v>76</v>
      </c>
      <c r="K19" s="2"/>
      <c r="L19" s="329" t="s">
        <v>303</v>
      </c>
      <c r="M19" s="329" t="s">
        <v>303</v>
      </c>
      <c r="N19" s="328" t="s">
        <v>355</v>
      </c>
      <c r="O19" s="331">
        <v>1.1489405791845828E-2</v>
      </c>
      <c r="P19" s="2"/>
      <c r="Q19" s="198">
        <v>11</v>
      </c>
      <c r="R19" s="82"/>
    </row>
    <row r="20" spans="2:20" ht="17.25" x14ac:dyDescent="0.25">
      <c r="B20" s="81"/>
      <c r="C20" s="4" t="s">
        <v>70</v>
      </c>
      <c r="D20" s="2" t="s">
        <v>79</v>
      </c>
      <c r="E20" s="2" t="s">
        <v>63</v>
      </c>
      <c r="F20" s="2" t="s">
        <v>379</v>
      </c>
      <c r="G20" s="2" t="s">
        <v>461</v>
      </c>
      <c r="H20" s="2" t="s">
        <v>493</v>
      </c>
      <c r="I20" s="2" t="s">
        <v>494</v>
      </c>
      <c r="J20" s="2" t="s">
        <v>77</v>
      </c>
      <c r="K20" s="2"/>
      <c r="L20" s="329" t="s">
        <v>303</v>
      </c>
      <c r="M20" s="329" t="s">
        <v>303</v>
      </c>
      <c r="N20" s="328" t="s">
        <v>354</v>
      </c>
      <c r="O20" s="331">
        <v>5.1000000000000004E-2</v>
      </c>
      <c r="P20" s="2"/>
      <c r="Q20" s="198">
        <v>12</v>
      </c>
      <c r="R20" s="82"/>
    </row>
    <row r="21" spans="2:20" ht="17.25" x14ac:dyDescent="0.25">
      <c r="B21" s="81"/>
      <c r="C21" s="4" t="s">
        <v>19</v>
      </c>
      <c r="D21" s="2" t="s">
        <v>78</v>
      </c>
      <c r="E21" s="2" t="s">
        <v>65</v>
      </c>
      <c r="F21" s="2" t="s">
        <v>11</v>
      </c>
      <c r="G21" s="399" t="s">
        <v>465</v>
      </c>
      <c r="H21" s="2" t="s">
        <v>493</v>
      </c>
      <c r="I21" s="399" t="s">
        <v>495</v>
      </c>
      <c r="J21" s="2" t="s">
        <v>77</v>
      </c>
      <c r="K21" s="2"/>
      <c r="L21" s="329" t="s">
        <v>303</v>
      </c>
      <c r="M21" s="329" t="s">
        <v>303</v>
      </c>
      <c r="N21" s="328" t="s">
        <v>389</v>
      </c>
      <c r="O21" s="331">
        <v>0.11141913554582343</v>
      </c>
      <c r="P21" s="2" t="s">
        <v>372</v>
      </c>
      <c r="Q21" s="198">
        <v>13</v>
      </c>
      <c r="R21" s="82"/>
    </row>
    <row r="22" spans="2:20" ht="17.25" x14ac:dyDescent="0.25">
      <c r="B22" s="81"/>
      <c r="C22" s="4" t="s">
        <v>88</v>
      </c>
      <c r="D22" s="2" t="s">
        <v>78</v>
      </c>
      <c r="E22" s="2" t="s">
        <v>64</v>
      </c>
      <c r="F22" s="2" t="s">
        <v>11</v>
      </c>
      <c r="G22" s="399" t="s">
        <v>463</v>
      </c>
      <c r="H22" s="2" t="s">
        <v>491</v>
      </c>
      <c r="I22" s="401" t="s">
        <v>629</v>
      </c>
      <c r="J22" s="2" t="s">
        <v>45</v>
      </c>
      <c r="K22" s="2" t="s">
        <v>216</v>
      </c>
      <c r="L22" s="329" t="s">
        <v>303</v>
      </c>
      <c r="M22" s="329" t="s">
        <v>303</v>
      </c>
      <c r="N22" s="328" t="s">
        <v>383</v>
      </c>
      <c r="O22" s="331">
        <v>2.2129090603182095E-3</v>
      </c>
      <c r="P22" s="2" t="s">
        <v>373</v>
      </c>
      <c r="Q22" s="198">
        <v>14</v>
      </c>
      <c r="R22" s="82"/>
    </row>
    <row r="23" spans="2:20" ht="17.25" x14ac:dyDescent="0.25">
      <c r="B23" s="81"/>
      <c r="C23" s="4" t="s">
        <v>35</v>
      </c>
      <c r="D23" s="2" t="s">
        <v>79</v>
      </c>
      <c r="E23" s="2" t="s">
        <v>63</v>
      </c>
      <c r="F23" s="2" t="s">
        <v>380</v>
      </c>
      <c r="G23" s="2" t="s">
        <v>462</v>
      </c>
      <c r="H23" s="2" t="s">
        <v>494</v>
      </c>
      <c r="I23" s="2" t="s">
        <v>494</v>
      </c>
      <c r="J23" s="2" t="s">
        <v>77</v>
      </c>
      <c r="K23" s="2"/>
      <c r="L23" s="329" t="s">
        <v>303</v>
      </c>
      <c r="M23" s="329" t="s">
        <v>303</v>
      </c>
      <c r="N23" s="328" t="s">
        <v>354</v>
      </c>
      <c r="O23" s="331">
        <v>1.8823528000000003E-2</v>
      </c>
      <c r="P23" s="2"/>
      <c r="Q23" s="198">
        <v>15</v>
      </c>
      <c r="R23" s="82"/>
    </row>
    <row r="24" spans="2:20" ht="17.25" x14ac:dyDescent="0.25">
      <c r="B24" s="81"/>
      <c r="C24" s="4" t="s">
        <v>246</v>
      </c>
      <c r="D24" s="2" t="s">
        <v>78</v>
      </c>
      <c r="E24" s="2" t="s">
        <v>64</v>
      </c>
      <c r="F24" s="2" t="s">
        <v>8</v>
      </c>
      <c r="G24" s="399" t="s">
        <v>459</v>
      </c>
      <c r="H24" s="2" t="s">
        <v>491</v>
      </c>
      <c r="I24" s="401" t="s">
        <v>629</v>
      </c>
      <c r="J24" s="2" t="s">
        <v>44</v>
      </c>
      <c r="K24" s="2"/>
      <c r="L24" s="329" t="s">
        <v>303</v>
      </c>
      <c r="M24" s="329" t="s">
        <v>303</v>
      </c>
      <c r="N24" s="328" t="s">
        <v>390</v>
      </c>
      <c r="O24" s="331" t="s">
        <v>124</v>
      </c>
      <c r="P24" s="2"/>
      <c r="Q24" s="198">
        <v>16</v>
      </c>
      <c r="R24" s="82"/>
    </row>
    <row r="25" spans="2:20" ht="17.25" x14ac:dyDescent="0.25">
      <c r="B25" s="81"/>
      <c r="C25" s="4" t="s">
        <v>276</v>
      </c>
      <c r="D25" s="2" t="s">
        <v>78</v>
      </c>
      <c r="E25" s="2" t="s">
        <v>65</v>
      </c>
      <c r="F25" s="2" t="s">
        <v>381</v>
      </c>
      <c r="G25" s="2" t="s">
        <v>496</v>
      </c>
      <c r="H25" s="2" t="s">
        <v>493</v>
      </c>
      <c r="I25" s="399" t="s">
        <v>497</v>
      </c>
      <c r="J25" s="2" t="s">
        <v>68</v>
      </c>
      <c r="K25" s="2"/>
      <c r="L25" s="329" t="s">
        <v>303</v>
      </c>
      <c r="M25" s="329" t="s">
        <v>303</v>
      </c>
      <c r="N25" s="328" t="s">
        <v>383</v>
      </c>
      <c r="O25" s="331">
        <v>2.7864956399278339E-2</v>
      </c>
      <c r="P25" s="2"/>
      <c r="Q25" s="198">
        <v>17</v>
      </c>
      <c r="R25" s="82"/>
    </row>
    <row r="26" spans="2:20" ht="17.25" x14ac:dyDescent="0.25">
      <c r="B26" s="81"/>
      <c r="C26" s="4" t="s">
        <v>348</v>
      </c>
      <c r="D26" s="2" t="s">
        <v>78</v>
      </c>
      <c r="E26" s="2" t="s">
        <v>64</v>
      </c>
      <c r="F26" s="2" t="s">
        <v>8</v>
      </c>
      <c r="G26" s="399" t="s">
        <v>459</v>
      </c>
      <c r="H26" s="2" t="s">
        <v>491</v>
      </c>
      <c r="I26" s="401" t="s">
        <v>629</v>
      </c>
      <c r="J26" s="2" t="s">
        <v>67</v>
      </c>
      <c r="K26" s="2"/>
      <c r="L26" s="329" t="s">
        <v>303</v>
      </c>
      <c r="M26" s="329" t="s">
        <v>303</v>
      </c>
      <c r="N26" s="328" t="s">
        <v>383</v>
      </c>
      <c r="O26" s="331">
        <v>6.2621982517370271E-3</v>
      </c>
      <c r="P26" s="2"/>
      <c r="Q26" s="198">
        <v>24</v>
      </c>
      <c r="R26" s="82"/>
    </row>
    <row r="27" spans="2:20" ht="17.25" x14ac:dyDescent="0.25">
      <c r="B27" s="81"/>
      <c r="C27" s="4" t="s">
        <v>413</v>
      </c>
      <c r="D27" s="2" t="s">
        <v>78</v>
      </c>
      <c r="E27" s="2" t="s">
        <v>64</v>
      </c>
      <c r="F27" s="2" t="s">
        <v>8</v>
      </c>
      <c r="G27" s="399" t="s">
        <v>459</v>
      </c>
      <c r="H27" s="2" t="s">
        <v>491</v>
      </c>
      <c r="I27" s="401" t="s">
        <v>629</v>
      </c>
      <c r="J27" s="2" t="s">
        <v>416</v>
      </c>
      <c r="K27" s="2"/>
      <c r="L27" s="329" t="s">
        <v>303</v>
      </c>
      <c r="M27" s="329" t="s">
        <v>419</v>
      </c>
      <c r="N27" s="328" t="s">
        <v>418</v>
      </c>
      <c r="O27" s="331">
        <v>6.2500000000000003E-3</v>
      </c>
      <c r="P27" s="2"/>
      <c r="Q27" s="198">
        <v>25</v>
      </c>
      <c r="R27" s="82"/>
      <c r="T27" s="26" t="s">
        <v>470</v>
      </c>
    </row>
    <row r="28" spans="2:20" ht="17.25" x14ac:dyDescent="0.25">
      <c r="B28" s="81"/>
      <c r="C28" s="4" t="s">
        <v>424</v>
      </c>
      <c r="D28" s="2" t="s">
        <v>78</v>
      </c>
      <c r="E28" s="2" t="s">
        <v>62</v>
      </c>
      <c r="F28" s="2" t="s">
        <v>8</v>
      </c>
      <c r="G28" s="399" t="s">
        <v>459</v>
      </c>
      <c r="H28" s="2" t="s">
        <v>491</v>
      </c>
      <c r="I28" s="401" t="s">
        <v>629</v>
      </c>
      <c r="J28" s="2" t="s">
        <v>68</v>
      </c>
      <c r="K28" s="2"/>
      <c r="L28" s="329" t="s">
        <v>303</v>
      </c>
      <c r="M28" s="329" t="s">
        <v>303</v>
      </c>
      <c r="N28" s="328" t="s">
        <v>546</v>
      </c>
      <c r="O28" s="331">
        <f>'6. %'!F28</f>
        <v>0.11483735948644427</v>
      </c>
      <c r="P28" s="2"/>
      <c r="Q28" s="198">
        <v>26</v>
      </c>
      <c r="R28" s="82"/>
      <c r="T28" s="26" t="s">
        <v>68</v>
      </c>
    </row>
    <row r="29" spans="2:20" ht="17.25" x14ac:dyDescent="0.25">
      <c r="B29" s="81"/>
      <c r="C29" s="4" t="s">
        <v>467</v>
      </c>
      <c r="D29" s="2" t="s">
        <v>78</v>
      </c>
      <c r="E29" s="2" t="s">
        <v>468</v>
      </c>
      <c r="F29" s="2" t="s">
        <v>469</v>
      </c>
      <c r="G29" s="399" t="s">
        <v>544</v>
      </c>
      <c r="H29" s="2" t="s">
        <v>491</v>
      </c>
      <c r="I29" s="401" t="s">
        <v>629</v>
      </c>
      <c r="J29" s="2" t="s">
        <v>470</v>
      </c>
      <c r="K29" s="2"/>
      <c r="L29" s="329" t="s">
        <v>303</v>
      </c>
      <c r="M29" s="329" t="s">
        <v>545</v>
      </c>
      <c r="N29" s="328" t="s">
        <v>390</v>
      </c>
      <c r="O29" s="331">
        <v>0.25</v>
      </c>
      <c r="P29" s="2"/>
      <c r="Q29" s="198">
        <v>27</v>
      </c>
      <c r="R29" s="82"/>
    </row>
    <row r="30" spans="2:20" ht="17.25" x14ac:dyDescent="0.25">
      <c r="B30" s="81"/>
      <c r="C30" s="4" t="s">
        <v>607</v>
      </c>
      <c r="D30" s="2" t="s">
        <v>78</v>
      </c>
      <c r="E30" s="2" t="s">
        <v>64</v>
      </c>
      <c r="F30" s="2" t="str">
        <f>'S | 01 '!F30</f>
        <v>G42 Capital</v>
      </c>
      <c r="G30" s="399" t="s">
        <v>630</v>
      </c>
      <c r="H30" s="2" t="s">
        <v>491</v>
      </c>
      <c r="I30" s="401" t="s">
        <v>629</v>
      </c>
      <c r="J30" s="2" t="s">
        <v>44</v>
      </c>
      <c r="K30" s="2"/>
      <c r="L30" s="329" t="s">
        <v>303</v>
      </c>
      <c r="M30" s="329" t="s">
        <v>303</v>
      </c>
      <c r="N30" s="328" t="s">
        <v>383</v>
      </c>
      <c r="O30" s="331" t="s">
        <v>124</v>
      </c>
      <c r="P30" s="2"/>
      <c r="Q30" s="198">
        <v>28</v>
      </c>
      <c r="R30" s="82"/>
    </row>
    <row r="31" spans="2:20" ht="17.25" x14ac:dyDescent="0.25">
      <c r="B31" s="81"/>
      <c r="C31" s="4" t="s">
        <v>685</v>
      </c>
      <c r="D31" s="2" t="s">
        <v>78</v>
      </c>
      <c r="E31" s="2" t="s">
        <v>64</v>
      </c>
      <c r="F31" s="2" t="str">
        <f>'S | 01 '!F31</f>
        <v>G42 Capital</v>
      </c>
      <c r="G31" s="399" t="s">
        <v>692</v>
      </c>
      <c r="H31" s="2" t="s">
        <v>491</v>
      </c>
      <c r="I31" s="401" t="s">
        <v>629</v>
      </c>
      <c r="J31" s="2" t="s">
        <v>686</v>
      </c>
      <c r="K31" s="2"/>
      <c r="L31" s="472" t="s">
        <v>303</v>
      </c>
      <c r="M31" s="329" t="s">
        <v>303</v>
      </c>
      <c r="N31" s="328" t="s">
        <v>689</v>
      </c>
      <c r="O31" s="331" t="s">
        <v>124</v>
      </c>
      <c r="P31" s="2"/>
      <c r="Q31" s="198"/>
      <c r="R31" s="82"/>
    </row>
    <row r="32" spans="2:20" x14ac:dyDescent="0.25">
      <c r="B32" s="81"/>
      <c r="C32" s="5"/>
      <c r="D32" s="7"/>
      <c r="E32" s="7"/>
      <c r="F32" s="7"/>
      <c r="G32" s="588"/>
      <c r="H32" s="7"/>
      <c r="I32" s="589"/>
      <c r="J32" s="7"/>
      <c r="K32" s="7"/>
      <c r="L32" s="590"/>
      <c r="M32" s="590"/>
      <c r="N32" s="586"/>
      <c r="O32" s="587"/>
      <c r="P32" s="7"/>
      <c r="Q32" s="197"/>
      <c r="R32" s="82"/>
    </row>
    <row r="33" spans="2:20" s="85" customFormat="1" x14ac:dyDescent="0.25">
      <c r="B33" s="83"/>
      <c r="C33" s="98"/>
      <c r="D33" s="98"/>
      <c r="E33" s="98"/>
      <c r="F33" s="98"/>
      <c r="G33" s="98"/>
      <c r="H33" s="98"/>
      <c r="I33" s="98"/>
      <c r="J33" s="98"/>
      <c r="K33" s="98"/>
      <c r="L33" s="330"/>
      <c r="M33" s="330"/>
      <c r="N33" s="330"/>
      <c r="O33" s="332"/>
      <c r="P33" s="98"/>
      <c r="Q33" s="199"/>
      <c r="R33" s="84"/>
    </row>
    <row r="34" spans="2:20" x14ac:dyDescent="0.25">
      <c r="B34" s="81"/>
      <c r="C34" s="5"/>
      <c r="D34" s="8"/>
      <c r="E34" s="8"/>
      <c r="F34" s="8"/>
      <c r="G34" s="8"/>
      <c r="H34" s="8"/>
      <c r="I34" s="8"/>
      <c r="J34" s="8"/>
      <c r="K34" s="8"/>
      <c r="L34" s="8"/>
      <c r="M34" s="8"/>
      <c r="N34" s="8"/>
      <c r="O34" s="333"/>
      <c r="P34" s="8"/>
      <c r="Q34" s="197"/>
      <c r="R34" s="82"/>
    </row>
    <row r="35" spans="2:20" x14ac:dyDescent="0.25">
      <c r="B35" s="81"/>
      <c r="C35" s="521" t="s">
        <v>29</v>
      </c>
      <c r="D35" s="428"/>
      <c r="E35" s="429"/>
      <c r="F35" s="429"/>
      <c r="G35" s="429"/>
      <c r="H35" s="429"/>
      <c r="I35" s="430"/>
      <c r="J35" s="431"/>
      <c r="K35" s="432"/>
      <c r="L35" s="432"/>
      <c r="M35" s="432"/>
      <c r="N35" s="432"/>
      <c r="O35" s="432"/>
      <c r="P35" s="432"/>
      <c r="Q35" s="431"/>
      <c r="R35" s="82"/>
      <c r="T35" s="429"/>
    </row>
    <row r="36" spans="2:20" ht="17.25" x14ac:dyDescent="0.25">
      <c r="B36" s="81"/>
      <c r="C36" s="4" t="s">
        <v>48</v>
      </c>
      <c r="D36" s="2" t="s">
        <v>130</v>
      </c>
      <c r="E36" s="2"/>
      <c r="F36" s="2" t="s">
        <v>8</v>
      </c>
      <c r="G36" s="399" t="s">
        <v>463</v>
      </c>
      <c r="H36" s="2" t="s">
        <v>491</v>
      </c>
      <c r="I36" s="399" t="s">
        <v>535</v>
      </c>
      <c r="J36" s="2" t="s">
        <v>126</v>
      </c>
      <c r="K36" s="2"/>
      <c r="L36" s="2" t="s">
        <v>124</v>
      </c>
      <c r="M36" s="2" t="s">
        <v>124</v>
      </c>
      <c r="N36" s="2" t="s">
        <v>124</v>
      </c>
      <c r="O36" s="331"/>
      <c r="P36" s="2"/>
      <c r="Q36" s="198">
        <v>16</v>
      </c>
      <c r="R36" s="82"/>
    </row>
    <row r="37" spans="2:20" ht="17.25" x14ac:dyDescent="0.25">
      <c r="B37" s="81"/>
      <c r="C37" s="4" t="s">
        <v>248</v>
      </c>
      <c r="D37" s="2" t="s">
        <v>130</v>
      </c>
      <c r="E37" s="2" t="s">
        <v>63</v>
      </c>
      <c r="F37" s="2" t="s">
        <v>8</v>
      </c>
      <c r="G37" s="399" t="s">
        <v>459</v>
      </c>
      <c r="H37" s="2" t="s">
        <v>491</v>
      </c>
      <c r="I37" s="399" t="s">
        <v>535</v>
      </c>
      <c r="J37" s="2" t="s">
        <v>128</v>
      </c>
      <c r="K37" s="2"/>
      <c r="L37" s="329" t="s">
        <v>303</v>
      </c>
      <c r="M37" s="329" t="s">
        <v>303</v>
      </c>
      <c r="N37" s="2" t="str">
        <f>N10</f>
        <v>Cayman Islands</v>
      </c>
      <c r="O37" s="331"/>
      <c r="P37" s="2"/>
      <c r="Q37" s="198">
        <v>17</v>
      </c>
      <c r="R37" s="82"/>
    </row>
    <row r="38" spans="2:20" ht="17.25" x14ac:dyDescent="0.25">
      <c r="B38" s="81"/>
      <c r="C38" s="4" t="s">
        <v>240</v>
      </c>
      <c r="D38" s="2" t="s">
        <v>78</v>
      </c>
      <c r="E38" s="2" t="s">
        <v>62</v>
      </c>
      <c r="F38" s="2" t="s">
        <v>8</v>
      </c>
      <c r="G38" s="399" t="s">
        <v>459</v>
      </c>
      <c r="H38" s="2" t="s">
        <v>491</v>
      </c>
      <c r="I38" s="399" t="s">
        <v>535</v>
      </c>
      <c r="J38" s="2" t="s">
        <v>128</v>
      </c>
      <c r="K38" s="2"/>
      <c r="L38" s="329" t="s">
        <v>303</v>
      </c>
      <c r="M38" s="2" t="s">
        <v>124</v>
      </c>
      <c r="N38" s="2" t="str">
        <f>N12</f>
        <v xml:space="preserve">DIFC </v>
      </c>
      <c r="O38" s="331"/>
      <c r="P38" s="2"/>
      <c r="Q38" s="198">
        <v>18</v>
      </c>
      <c r="R38" s="82"/>
    </row>
    <row r="39" spans="2:20" s="85" customFormat="1" x14ac:dyDescent="0.25">
      <c r="B39" s="83"/>
      <c r="C39" s="98"/>
      <c r="D39" s="98"/>
      <c r="E39" s="98"/>
      <c r="F39" s="98"/>
      <c r="G39" s="98"/>
      <c r="H39" s="98"/>
      <c r="I39" s="98"/>
      <c r="J39" s="98"/>
      <c r="K39" s="98"/>
      <c r="L39" s="98"/>
      <c r="M39" s="98"/>
      <c r="N39" s="98"/>
      <c r="O39" s="332"/>
      <c r="P39" s="98"/>
      <c r="Q39" s="199"/>
      <c r="R39" s="84"/>
    </row>
    <row r="40" spans="2:20" x14ac:dyDescent="0.25">
      <c r="B40" s="81"/>
      <c r="C40" s="5"/>
      <c r="D40" s="8"/>
      <c r="E40" s="8"/>
      <c r="F40" s="8"/>
      <c r="G40" s="8"/>
      <c r="H40" s="8"/>
      <c r="I40" s="8"/>
      <c r="J40" s="8"/>
      <c r="K40" s="8"/>
      <c r="L40" s="8"/>
      <c r="M40" s="8"/>
      <c r="N40" s="8"/>
      <c r="O40" s="333"/>
      <c r="P40" s="8"/>
      <c r="Q40" s="197"/>
      <c r="R40" s="82"/>
    </row>
    <row r="41" spans="2:20" x14ac:dyDescent="0.25">
      <c r="B41" s="81"/>
      <c r="C41" s="521" t="s">
        <v>30</v>
      </c>
      <c r="D41" s="428"/>
      <c r="E41" s="429"/>
      <c r="F41" s="429"/>
      <c r="G41" s="429"/>
      <c r="H41" s="429"/>
      <c r="I41" s="430"/>
      <c r="J41" s="431"/>
      <c r="K41" s="432"/>
      <c r="L41" s="432"/>
      <c r="M41" s="432"/>
      <c r="N41" s="432"/>
      <c r="O41" s="432"/>
      <c r="P41" s="432"/>
      <c r="Q41" s="431"/>
      <c r="R41" s="82"/>
      <c r="T41" s="429"/>
    </row>
    <row r="42" spans="2:20" ht="17.25" x14ac:dyDescent="0.25">
      <c r="B42" s="81"/>
      <c r="C42" s="4" t="s">
        <v>118</v>
      </c>
      <c r="D42" s="2" t="s">
        <v>78</v>
      </c>
      <c r="E42" s="2" t="s">
        <v>62</v>
      </c>
      <c r="F42" s="2" t="s">
        <v>11</v>
      </c>
      <c r="G42" s="399" t="s">
        <v>463</v>
      </c>
      <c r="H42" s="2" t="s">
        <v>491</v>
      </c>
      <c r="I42" s="399" t="s">
        <v>492</v>
      </c>
      <c r="J42" s="2" t="s">
        <v>54</v>
      </c>
      <c r="K42" s="2"/>
      <c r="L42" s="329" t="s">
        <v>303</v>
      </c>
      <c r="M42" s="329" t="s">
        <v>303</v>
      </c>
      <c r="N42" s="331" t="s">
        <v>399</v>
      </c>
      <c r="O42" s="335">
        <v>0.22044081593927894</v>
      </c>
      <c r="P42" s="2"/>
      <c r="Q42" s="198">
        <v>19</v>
      </c>
      <c r="R42" s="82"/>
    </row>
    <row r="43" spans="2:20" ht="17.25" x14ac:dyDescent="0.25">
      <c r="B43" s="81"/>
      <c r="C43" s="4" t="s">
        <v>347</v>
      </c>
      <c r="D43" s="2" t="s">
        <v>78</v>
      </c>
      <c r="E43" s="2" t="s">
        <v>62</v>
      </c>
      <c r="F43" s="2" t="s">
        <v>11</v>
      </c>
      <c r="G43" s="399" t="s">
        <v>463</v>
      </c>
      <c r="H43" s="2" t="s">
        <v>491</v>
      </c>
      <c r="I43" s="399" t="s">
        <v>492</v>
      </c>
      <c r="J43" s="2" t="s">
        <v>60</v>
      </c>
      <c r="K43" s="2"/>
      <c r="L43" s="329" t="s">
        <v>303</v>
      </c>
      <c r="M43" s="329" t="s">
        <v>303</v>
      </c>
      <c r="N43" s="331" t="s">
        <v>399</v>
      </c>
      <c r="O43" s="335">
        <v>2.0161290322580645E-2</v>
      </c>
      <c r="P43" s="2"/>
      <c r="Q43" s="198">
        <v>20</v>
      </c>
      <c r="R43" s="82"/>
    </row>
    <row r="44" spans="2:20" x14ac:dyDescent="0.25">
      <c r="B44" s="81"/>
      <c r="C44" s="4" t="s">
        <v>1</v>
      </c>
      <c r="D44" s="2" t="s">
        <v>78</v>
      </c>
      <c r="E44" s="2" t="s">
        <v>63</v>
      </c>
      <c r="F44" s="2" t="s">
        <v>11</v>
      </c>
      <c r="G44" s="399" t="s">
        <v>464</v>
      </c>
      <c r="H44" s="2" t="s">
        <v>493</v>
      </c>
      <c r="I44" s="399" t="s">
        <v>494</v>
      </c>
      <c r="J44" s="2" t="s">
        <v>54</v>
      </c>
      <c r="K44" s="2"/>
      <c r="L44" s="2" t="s">
        <v>124</v>
      </c>
      <c r="M44" s="329" t="s">
        <v>303</v>
      </c>
      <c r="N44" s="331" t="s">
        <v>382</v>
      </c>
      <c r="O44" s="331">
        <v>0.99499999897183333</v>
      </c>
      <c r="P44" s="2"/>
      <c r="Q44" s="198">
        <v>21</v>
      </c>
      <c r="R44" s="82"/>
    </row>
    <row r="45" spans="2:20" ht="17.25" x14ac:dyDescent="0.25">
      <c r="B45" s="81"/>
      <c r="C45" s="4" t="s">
        <v>12</v>
      </c>
      <c r="D45" s="2" t="s">
        <v>78</v>
      </c>
      <c r="E45" s="2" t="s">
        <v>63</v>
      </c>
      <c r="F45" s="2" t="s">
        <v>11</v>
      </c>
      <c r="G45" s="399" t="s">
        <v>463</v>
      </c>
      <c r="H45" s="2" t="s">
        <v>491</v>
      </c>
      <c r="I45" s="399" t="s">
        <v>492</v>
      </c>
      <c r="J45" s="2" t="s">
        <v>54</v>
      </c>
      <c r="K45" s="2"/>
      <c r="L45" s="329" t="s">
        <v>303</v>
      </c>
      <c r="M45" s="329" t="s">
        <v>303</v>
      </c>
      <c r="N45" s="331" t="s">
        <v>382</v>
      </c>
      <c r="O45" s="331">
        <v>0.10066090487405174</v>
      </c>
      <c r="P45" s="2"/>
      <c r="Q45" s="198">
        <v>22</v>
      </c>
      <c r="R45" s="82"/>
    </row>
    <row r="46" spans="2:20" ht="17.25" x14ac:dyDescent="0.25">
      <c r="B46" s="81"/>
      <c r="C46" s="4" t="s">
        <v>164</v>
      </c>
      <c r="D46" s="2" t="s">
        <v>78</v>
      </c>
      <c r="E46" s="2" t="s">
        <v>64</v>
      </c>
      <c r="F46" s="2" t="s">
        <v>11</v>
      </c>
      <c r="G46" s="399" t="s">
        <v>463</v>
      </c>
      <c r="H46" s="2" t="s">
        <v>491</v>
      </c>
      <c r="I46" s="399" t="s">
        <v>492</v>
      </c>
      <c r="J46" s="2" t="s">
        <v>54</v>
      </c>
      <c r="K46" s="2"/>
      <c r="L46" s="329" t="s">
        <v>303</v>
      </c>
      <c r="M46" s="329" t="s">
        <v>303</v>
      </c>
      <c r="N46" s="331" t="s">
        <v>397</v>
      </c>
      <c r="O46" s="331">
        <v>0.33333333333333331</v>
      </c>
      <c r="P46" s="2" t="s">
        <v>349</v>
      </c>
      <c r="Q46" s="198">
        <v>23</v>
      </c>
      <c r="R46" s="82"/>
    </row>
    <row r="47" spans="2:20" s="85" customFormat="1" x14ac:dyDescent="0.25">
      <c r="B47" s="83"/>
      <c r="C47" s="98"/>
      <c r="D47" s="98"/>
      <c r="E47" s="98"/>
      <c r="F47" s="98"/>
      <c r="G47" s="98"/>
      <c r="H47" s="98"/>
      <c r="I47" s="98"/>
      <c r="J47" s="98"/>
      <c r="K47" s="98"/>
      <c r="L47" s="98"/>
      <c r="M47" s="98"/>
      <c r="N47" s="98"/>
      <c r="O47" s="332"/>
      <c r="P47" s="98"/>
      <c r="Q47" s="199"/>
      <c r="R47" s="84"/>
    </row>
    <row r="48" spans="2:20" ht="15.75" thickBot="1" x14ac:dyDescent="0.3">
      <c r="B48" s="86"/>
      <c r="C48" s="87"/>
      <c r="D48" s="121"/>
      <c r="E48" s="121"/>
      <c r="F48" s="121"/>
      <c r="G48" s="121"/>
      <c r="H48" s="121"/>
      <c r="I48" s="121"/>
      <c r="J48" s="121"/>
      <c r="K48" s="121"/>
      <c r="L48" s="121"/>
      <c r="M48" s="121"/>
      <c r="N48" s="121"/>
      <c r="O48" s="121"/>
      <c r="P48" s="121"/>
      <c r="Q48" s="121"/>
      <c r="R48" s="90"/>
    </row>
    <row r="50" spans="2:18" x14ac:dyDescent="0.25">
      <c r="B50" s="206" t="s">
        <v>147</v>
      </c>
      <c r="C50" s="26"/>
      <c r="D50" s="7"/>
      <c r="E50" s="7"/>
      <c r="F50" s="7"/>
      <c r="G50" s="7"/>
      <c r="H50" s="7"/>
      <c r="I50" s="7"/>
      <c r="J50" s="7"/>
      <c r="K50" s="7"/>
      <c r="L50" s="7"/>
      <c r="M50" s="7"/>
      <c r="N50" s="7"/>
      <c r="O50" s="7"/>
      <c r="P50" s="7"/>
      <c r="Q50" s="7"/>
    </row>
    <row r="51" spans="2:18" x14ac:dyDescent="0.25">
      <c r="B51" s="205">
        <v>0</v>
      </c>
      <c r="C51" s="204" t="s">
        <v>626</v>
      </c>
      <c r="D51" s="597" t="s">
        <v>498</v>
      </c>
      <c r="E51" s="597"/>
      <c r="F51" s="597"/>
      <c r="G51" s="597"/>
      <c r="H51" s="597"/>
      <c r="I51" s="597"/>
      <c r="J51" s="597"/>
      <c r="K51" s="597"/>
      <c r="L51" s="597"/>
      <c r="M51" s="597"/>
      <c r="N51" s="597"/>
      <c r="O51" s="597"/>
      <c r="P51" s="597"/>
      <c r="Q51" s="597"/>
      <c r="R51" s="597"/>
    </row>
    <row r="52" spans="2:18" x14ac:dyDescent="0.25">
      <c r="B52" s="201">
        <v>1</v>
      </c>
      <c r="C52" s="202" t="s">
        <v>226</v>
      </c>
      <c r="D52" s="596" t="s">
        <v>234</v>
      </c>
      <c r="E52" s="596"/>
      <c r="F52" s="596"/>
      <c r="G52" s="596"/>
      <c r="H52" s="596"/>
      <c r="I52" s="596"/>
      <c r="J52" s="596"/>
      <c r="K52" s="596"/>
      <c r="L52" s="596"/>
      <c r="M52" s="596"/>
      <c r="N52" s="596"/>
      <c r="O52" s="596"/>
      <c r="P52" s="596"/>
      <c r="Q52" s="596"/>
      <c r="R52" s="596"/>
    </row>
    <row r="53" spans="2:18" x14ac:dyDescent="0.25">
      <c r="B53" s="205">
        <v>2</v>
      </c>
      <c r="C53" s="204" t="s">
        <v>59</v>
      </c>
      <c r="D53" s="597" t="s">
        <v>401</v>
      </c>
      <c r="E53" s="597"/>
      <c r="F53" s="597"/>
      <c r="G53" s="597"/>
      <c r="H53" s="597"/>
      <c r="I53" s="597"/>
      <c r="J53" s="597"/>
      <c r="K53" s="597"/>
      <c r="L53" s="597"/>
      <c r="M53" s="597"/>
      <c r="N53" s="597"/>
      <c r="O53" s="597"/>
      <c r="P53" s="597"/>
      <c r="Q53" s="597"/>
      <c r="R53" s="597"/>
    </row>
    <row r="54" spans="2:18" s="27" customFormat="1" x14ac:dyDescent="0.25">
      <c r="B54" s="201">
        <v>3</v>
      </c>
      <c r="C54" s="159" t="s">
        <v>228</v>
      </c>
      <c r="D54" s="596" t="s">
        <v>233</v>
      </c>
      <c r="E54" s="596"/>
      <c r="F54" s="596"/>
      <c r="G54" s="596"/>
      <c r="H54" s="596"/>
      <c r="I54" s="596"/>
      <c r="J54" s="596"/>
      <c r="K54" s="596"/>
      <c r="L54" s="596"/>
      <c r="M54" s="596"/>
      <c r="N54" s="596"/>
      <c r="O54" s="596"/>
      <c r="P54" s="596"/>
      <c r="Q54" s="596"/>
      <c r="R54" s="596"/>
    </row>
    <row r="55" spans="2:18" x14ac:dyDescent="0.25">
      <c r="B55" s="205">
        <v>4</v>
      </c>
      <c r="C55" s="204" t="s">
        <v>227</v>
      </c>
      <c r="D55" s="597" t="s">
        <v>26</v>
      </c>
      <c r="E55" s="597"/>
      <c r="F55" s="597"/>
      <c r="G55" s="597"/>
      <c r="H55" s="597"/>
      <c r="I55" s="597"/>
      <c r="J55" s="597"/>
      <c r="K55" s="597"/>
      <c r="L55" s="597"/>
      <c r="M55" s="597"/>
      <c r="N55" s="597"/>
      <c r="O55" s="597"/>
      <c r="P55" s="597"/>
      <c r="Q55" s="597"/>
      <c r="R55" s="597"/>
    </row>
    <row r="56" spans="2:18" x14ac:dyDescent="0.25">
      <c r="B56" s="201">
        <v>5</v>
      </c>
      <c r="C56" s="159" t="s">
        <v>37</v>
      </c>
      <c r="D56" s="596" t="s">
        <v>237</v>
      </c>
      <c r="E56" s="596"/>
      <c r="F56" s="596"/>
      <c r="G56" s="596"/>
      <c r="H56" s="596"/>
      <c r="I56" s="596"/>
      <c r="J56" s="596"/>
      <c r="K56" s="596"/>
      <c r="L56" s="596"/>
      <c r="M56" s="596"/>
      <c r="N56" s="596"/>
      <c r="O56" s="596"/>
      <c r="P56" s="596"/>
      <c r="Q56" s="596"/>
      <c r="R56" s="596"/>
    </row>
    <row r="57" spans="2:18" x14ac:dyDescent="0.25">
      <c r="B57" s="205">
        <v>6</v>
      </c>
      <c r="C57" s="204" t="s">
        <v>87</v>
      </c>
      <c r="D57" s="597" t="s">
        <v>364</v>
      </c>
      <c r="E57" s="597"/>
      <c r="F57" s="597"/>
      <c r="G57" s="597"/>
      <c r="H57" s="597"/>
      <c r="I57" s="597"/>
      <c r="J57" s="597"/>
      <c r="K57" s="597"/>
      <c r="L57" s="597"/>
      <c r="M57" s="597"/>
      <c r="N57" s="597"/>
      <c r="O57" s="597"/>
      <c r="P57" s="597"/>
      <c r="Q57" s="597"/>
      <c r="R57" s="597"/>
    </row>
    <row r="58" spans="2:18" x14ac:dyDescent="0.25">
      <c r="B58" s="201">
        <v>7</v>
      </c>
      <c r="C58" s="159" t="s">
        <v>9</v>
      </c>
      <c r="D58" s="596" t="s">
        <v>235</v>
      </c>
      <c r="E58" s="596"/>
      <c r="F58" s="596"/>
      <c r="G58" s="596"/>
      <c r="H58" s="596"/>
      <c r="I58" s="596"/>
      <c r="J58" s="596"/>
      <c r="K58" s="596"/>
      <c r="L58" s="596"/>
      <c r="M58" s="596"/>
      <c r="N58" s="596"/>
      <c r="O58" s="596"/>
      <c r="P58" s="596"/>
      <c r="Q58" s="596"/>
      <c r="R58" s="596"/>
    </row>
    <row r="59" spans="2:18" x14ac:dyDescent="0.25">
      <c r="B59" s="205">
        <v>8</v>
      </c>
      <c r="C59" s="204" t="s">
        <v>18</v>
      </c>
      <c r="D59" s="597" t="s">
        <v>232</v>
      </c>
      <c r="E59" s="597"/>
      <c r="F59" s="597"/>
      <c r="G59" s="597"/>
      <c r="H59" s="597"/>
      <c r="I59" s="597"/>
      <c r="J59" s="597"/>
      <c r="K59" s="597"/>
      <c r="L59" s="597"/>
      <c r="M59" s="597"/>
      <c r="N59" s="597"/>
      <c r="O59" s="597"/>
      <c r="P59" s="597"/>
      <c r="Q59" s="597"/>
      <c r="R59" s="597"/>
    </row>
    <row r="60" spans="2:18" x14ac:dyDescent="0.25">
      <c r="B60" s="201">
        <v>9</v>
      </c>
      <c r="C60" s="159" t="s">
        <v>40</v>
      </c>
      <c r="D60" s="596" t="s">
        <v>238</v>
      </c>
      <c r="E60" s="596"/>
      <c r="F60" s="596"/>
      <c r="G60" s="596"/>
      <c r="H60" s="596"/>
      <c r="I60" s="596"/>
      <c r="J60" s="596"/>
      <c r="K60" s="596"/>
      <c r="L60" s="596"/>
      <c r="M60" s="596"/>
      <c r="N60" s="596"/>
      <c r="O60" s="596"/>
      <c r="P60" s="596"/>
      <c r="Q60" s="596"/>
      <c r="R60" s="596"/>
    </row>
    <row r="61" spans="2:18" x14ac:dyDescent="0.25">
      <c r="B61" s="205">
        <v>10</v>
      </c>
      <c r="C61" s="204" t="s">
        <v>41</v>
      </c>
      <c r="D61" s="597"/>
      <c r="E61" s="597"/>
      <c r="F61" s="597"/>
      <c r="G61" s="597"/>
      <c r="H61" s="597"/>
      <c r="I61" s="597"/>
      <c r="J61" s="597"/>
      <c r="K61" s="597"/>
      <c r="L61" s="597"/>
      <c r="M61" s="597"/>
      <c r="N61" s="597"/>
      <c r="O61" s="597"/>
      <c r="P61" s="597"/>
      <c r="Q61" s="597"/>
      <c r="R61" s="597"/>
    </row>
    <row r="62" spans="2:18" x14ac:dyDescent="0.25">
      <c r="B62" s="201">
        <v>11</v>
      </c>
      <c r="C62" s="159" t="s">
        <v>42</v>
      </c>
      <c r="D62" s="596" t="s">
        <v>420</v>
      </c>
      <c r="E62" s="596"/>
      <c r="F62" s="596"/>
      <c r="G62" s="596"/>
      <c r="H62" s="596"/>
      <c r="I62" s="596"/>
      <c r="J62" s="596"/>
      <c r="K62" s="596"/>
      <c r="L62" s="596"/>
      <c r="M62" s="596"/>
      <c r="N62" s="596"/>
      <c r="O62" s="596"/>
      <c r="P62" s="596"/>
      <c r="Q62" s="596"/>
      <c r="R62" s="596"/>
    </row>
    <row r="63" spans="2:18" x14ac:dyDescent="0.25">
      <c r="B63" s="205">
        <v>12</v>
      </c>
      <c r="C63" s="204" t="s">
        <v>70</v>
      </c>
      <c r="D63" s="597" t="s">
        <v>231</v>
      </c>
      <c r="E63" s="597"/>
      <c r="F63" s="597"/>
      <c r="G63" s="597"/>
      <c r="H63" s="597"/>
      <c r="I63" s="597"/>
      <c r="J63" s="597"/>
      <c r="K63" s="597"/>
      <c r="L63" s="597"/>
      <c r="M63" s="597"/>
      <c r="N63" s="597"/>
      <c r="O63" s="597"/>
      <c r="P63" s="597"/>
      <c r="Q63" s="597"/>
      <c r="R63" s="597"/>
    </row>
    <row r="64" spans="2:18" x14ac:dyDescent="0.25">
      <c r="B64" s="201">
        <v>13</v>
      </c>
      <c r="C64" s="159" t="s">
        <v>224</v>
      </c>
      <c r="D64" s="596" t="s">
        <v>236</v>
      </c>
      <c r="E64" s="596"/>
      <c r="F64" s="596"/>
      <c r="G64" s="596"/>
      <c r="H64" s="596"/>
      <c r="I64" s="596"/>
      <c r="J64" s="596"/>
      <c r="K64" s="596"/>
      <c r="L64" s="596"/>
      <c r="M64" s="596"/>
      <c r="N64" s="596"/>
      <c r="O64" s="596"/>
      <c r="P64" s="596"/>
      <c r="Q64" s="596"/>
      <c r="R64" s="596"/>
    </row>
    <row r="65" spans="2:18" x14ac:dyDescent="0.25">
      <c r="B65" s="205">
        <v>14</v>
      </c>
      <c r="C65" s="203" t="s">
        <v>218</v>
      </c>
      <c r="D65" s="597" t="s">
        <v>402</v>
      </c>
      <c r="E65" s="597"/>
      <c r="F65" s="597"/>
      <c r="G65" s="597"/>
      <c r="H65" s="597"/>
      <c r="I65" s="597"/>
      <c r="J65" s="597"/>
      <c r="K65" s="597"/>
      <c r="L65" s="597"/>
      <c r="M65" s="597"/>
      <c r="N65" s="597"/>
      <c r="O65" s="597"/>
      <c r="P65" s="597"/>
      <c r="Q65" s="597"/>
      <c r="R65" s="597"/>
    </row>
    <row r="66" spans="2:18" x14ac:dyDescent="0.25">
      <c r="B66" s="201">
        <v>15</v>
      </c>
      <c r="C66" s="159" t="s">
        <v>225</v>
      </c>
      <c r="D66" s="596" t="s">
        <v>312</v>
      </c>
      <c r="E66" s="596"/>
      <c r="F66" s="596"/>
      <c r="G66" s="596"/>
      <c r="H66" s="596"/>
      <c r="I66" s="596"/>
      <c r="J66" s="596"/>
      <c r="K66" s="596"/>
      <c r="L66" s="596"/>
      <c r="M66" s="596"/>
      <c r="N66" s="596"/>
      <c r="O66" s="596"/>
      <c r="P66" s="596"/>
      <c r="Q66" s="596"/>
      <c r="R66" s="596"/>
    </row>
    <row r="67" spans="2:18" x14ac:dyDescent="0.25">
      <c r="B67" s="205">
        <v>16</v>
      </c>
      <c r="C67" s="204" t="s">
        <v>230</v>
      </c>
      <c r="D67" s="597" t="s">
        <v>242</v>
      </c>
      <c r="E67" s="597"/>
      <c r="F67" s="597"/>
      <c r="G67" s="597"/>
      <c r="H67" s="597"/>
      <c r="I67" s="597"/>
      <c r="J67" s="597"/>
      <c r="K67" s="597"/>
      <c r="L67" s="597"/>
      <c r="M67" s="597"/>
      <c r="N67" s="597"/>
      <c r="O67" s="597"/>
      <c r="P67" s="597"/>
      <c r="Q67" s="597"/>
      <c r="R67" s="597"/>
    </row>
    <row r="68" spans="2:18" x14ac:dyDescent="0.25">
      <c r="B68" s="201">
        <v>17</v>
      </c>
      <c r="C68" s="159" t="s">
        <v>239</v>
      </c>
      <c r="D68" s="596" t="s">
        <v>547</v>
      </c>
      <c r="E68" s="596"/>
      <c r="F68" s="596"/>
      <c r="G68" s="596"/>
      <c r="H68" s="596"/>
      <c r="I68" s="596"/>
      <c r="J68" s="596"/>
      <c r="K68" s="596"/>
      <c r="L68" s="596"/>
      <c r="M68" s="596"/>
      <c r="N68" s="596"/>
      <c r="O68" s="596"/>
      <c r="P68" s="596"/>
      <c r="Q68" s="596"/>
      <c r="R68" s="596"/>
    </row>
    <row r="69" spans="2:18" x14ac:dyDescent="0.25">
      <c r="B69" s="205">
        <v>18</v>
      </c>
      <c r="C69" s="204" t="s">
        <v>240</v>
      </c>
      <c r="D69" s="597" t="s">
        <v>243</v>
      </c>
      <c r="E69" s="597"/>
      <c r="F69" s="597"/>
      <c r="G69" s="597"/>
      <c r="H69" s="597"/>
      <c r="I69" s="597"/>
      <c r="J69" s="597"/>
      <c r="K69" s="597"/>
      <c r="L69" s="597"/>
      <c r="M69" s="597"/>
      <c r="N69" s="597"/>
      <c r="O69" s="597"/>
      <c r="P69" s="597"/>
      <c r="Q69" s="597"/>
      <c r="R69" s="597"/>
    </row>
    <row r="70" spans="2:18" x14ac:dyDescent="0.25">
      <c r="B70" s="201">
        <v>19</v>
      </c>
      <c r="C70" s="159" t="s">
        <v>118</v>
      </c>
      <c r="D70" s="596" t="s">
        <v>405</v>
      </c>
      <c r="E70" s="596"/>
      <c r="F70" s="596"/>
      <c r="G70" s="596"/>
      <c r="H70" s="596"/>
      <c r="I70" s="596"/>
      <c r="J70" s="596"/>
      <c r="K70" s="596"/>
      <c r="L70" s="596"/>
      <c r="M70" s="596"/>
      <c r="N70" s="596"/>
      <c r="O70" s="596"/>
      <c r="P70" s="596"/>
      <c r="Q70" s="596"/>
      <c r="R70" s="596"/>
    </row>
    <row r="71" spans="2:18" x14ac:dyDescent="0.25">
      <c r="B71" s="205">
        <v>20</v>
      </c>
      <c r="C71" s="204" t="s">
        <v>101</v>
      </c>
      <c r="D71" s="597" t="s">
        <v>241</v>
      </c>
      <c r="E71" s="597"/>
      <c r="F71" s="597"/>
      <c r="G71" s="597"/>
      <c r="H71" s="597"/>
      <c r="I71" s="597"/>
      <c r="J71" s="597"/>
      <c r="K71" s="597"/>
      <c r="L71" s="597"/>
      <c r="M71" s="597"/>
      <c r="N71" s="597"/>
      <c r="O71" s="597"/>
      <c r="P71" s="597"/>
      <c r="Q71" s="597"/>
      <c r="R71" s="597"/>
    </row>
    <row r="72" spans="2:18" x14ac:dyDescent="0.25">
      <c r="B72" s="201">
        <v>21</v>
      </c>
      <c r="C72" s="159" t="s">
        <v>219</v>
      </c>
      <c r="D72" s="596" t="s">
        <v>220</v>
      </c>
      <c r="E72" s="596"/>
      <c r="F72" s="596"/>
      <c r="G72" s="596"/>
      <c r="H72" s="596"/>
      <c r="I72" s="596"/>
      <c r="J72" s="596"/>
      <c r="K72" s="596"/>
      <c r="L72" s="596"/>
      <c r="M72" s="596"/>
      <c r="N72" s="596"/>
      <c r="O72" s="596"/>
      <c r="P72" s="596"/>
      <c r="Q72" s="596"/>
      <c r="R72" s="596"/>
    </row>
    <row r="73" spans="2:18" x14ac:dyDescent="0.25">
      <c r="B73" s="205">
        <v>22</v>
      </c>
      <c r="C73" s="204" t="s">
        <v>221</v>
      </c>
      <c r="D73" s="597" t="s">
        <v>222</v>
      </c>
      <c r="E73" s="597"/>
      <c r="F73" s="597"/>
      <c r="G73" s="597"/>
      <c r="H73" s="597"/>
      <c r="I73" s="597"/>
      <c r="J73" s="597"/>
      <c r="K73" s="597"/>
      <c r="L73" s="597"/>
      <c r="M73" s="597"/>
      <c r="N73" s="597"/>
      <c r="O73" s="597"/>
      <c r="P73" s="597"/>
      <c r="Q73" s="597"/>
      <c r="R73" s="597"/>
    </row>
    <row r="74" spans="2:18" x14ac:dyDescent="0.25">
      <c r="B74" s="201">
        <v>23</v>
      </c>
      <c r="C74" s="159" t="s">
        <v>223</v>
      </c>
      <c r="D74" s="596"/>
      <c r="E74" s="596"/>
      <c r="F74" s="596"/>
      <c r="G74" s="596"/>
      <c r="H74" s="596"/>
      <c r="I74" s="596"/>
      <c r="J74" s="596"/>
      <c r="K74" s="596"/>
      <c r="L74" s="596"/>
      <c r="M74" s="596"/>
      <c r="N74" s="596"/>
      <c r="O74" s="596"/>
      <c r="P74" s="596"/>
      <c r="Q74" s="596"/>
      <c r="R74" s="596"/>
    </row>
    <row r="75" spans="2:18" x14ac:dyDescent="0.25">
      <c r="B75" s="205">
        <v>24</v>
      </c>
      <c r="C75" s="204" t="s">
        <v>348</v>
      </c>
      <c r="D75" s="597" t="s">
        <v>400</v>
      </c>
      <c r="E75" s="597"/>
      <c r="F75" s="597"/>
      <c r="G75" s="597"/>
      <c r="H75" s="597"/>
      <c r="I75" s="597"/>
      <c r="J75" s="597"/>
      <c r="K75" s="597"/>
      <c r="L75" s="597"/>
      <c r="M75" s="597"/>
      <c r="N75" s="597"/>
      <c r="O75" s="597"/>
      <c r="P75" s="597"/>
      <c r="Q75" s="597"/>
      <c r="R75" s="597"/>
    </row>
    <row r="76" spans="2:18" x14ac:dyDescent="0.25">
      <c r="B76" s="201">
        <v>25</v>
      </c>
      <c r="C76" s="159" t="s">
        <v>413</v>
      </c>
      <c r="D76" s="596" t="s">
        <v>421</v>
      </c>
      <c r="E76" s="596"/>
      <c r="F76" s="596"/>
      <c r="G76" s="596"/>
      <c r="H76" s="596"/>
      <c r="I76" s="596"/>
      <c r="J76" s="596"/>
      <c r="K76" s="596"/>
      <c r="L76" s="596"/>
      <c r="M76" s="596"/>
      <c r="N76" s="596"/>
      <c r="O76" s="596"/>
      <c r="P76" s="596"/>
      <c r="Q76" s="596"/>
      <c r="R76" s="596"/>
    </row>
    <row r="77" spans="2:18" x14ac:dyDescent="0.25">
      <c r="B77" s="205">
        <v>26</v>
      </c>
      <c r="C77" s="204" t="s">
        <v>424</v>
      </c>
      <c r="D77" s="400"/>
      <c r="E77" s="400"/>
      <c r="F77" s="400"/>
      <c r="G77" s="400"/>
      <c r="H77" s="400"/>
      <c r="I77" s="400"/>
      <c r="J77" s="400"/>
      <c r="K77" s="400"/>
      <c r="L77" s="400"/>
      <c r="M77" s="400"/>
      <c r="N77" s="400"/>
      <c r="O77" s="400"/>
      <c r="P77" s="400"/>
      <c r="Q77" s="400"/>
      <c r="R77" s="400"/>
    </row>
    <row r="78" spans="2:18" x14ac:dyDescent="0.25">
      <c r="B78" s="201">
        <v>27</v>
      </c>
      <c r="C78" s="159" t="s">
        <v>467</v>
      </c>
      <c r="D78" s="596" t="s">
        <v>628</v>
      </c>
      <c r="E78" s="596"/>
      <c r="F78" s="596"/>
      <c r="G78" s="596"/>
      <c r="H78" s="596"/>
      <c r="I78" s="596"/>
      <c r="J78" s="596"/>
      <c r="K78" s="596"/>
      <c r="L78" s="596"/>
      <c r="M78" s="596"/>
      <c r="N78" s="596"/>
      <c r="O78" s="596"/>
      <c r="P78" s="596"/>
      <c r="Q78" s="596"/>
      <c r="R78" s="596"/>
    </row>
    <row r="79" spans="2:18" x14ac:dyDescent="0.25">
      <c r="B79" s="205">
        <v>28</v>
      </c>
      <c r="C79" s="204" t="s">
        <v>607</v>
      </c>
      <c r="D79" s="597" t="s">
        <v>627</v>
      </c>
      <c r="E79" s="597"/>
      <c r="F79" s="597"/>
      <c r="G79" s="597"/>
      <c r="H79" s="597"/>
      <c r="I79" s="597"/>
      <c r="J79" s="597"/>
      <c r="K79" s="597"/>
      <c r="L79" s="597"/>
      <c r="M79" s="597"/>
      <c r="N79" s="597"/>
      <c r="O79" s="597"/>
      <c r="P79" s="597"/>
      <c r="Q79" s="597"/>
      <c r="R79" s="597"/>
    </row>
    <row r="80" spans="2:18" x14ac:dyDescent="0.25">
      <c r="B80" s="163"/>
    </row>
    <row r="81" spans="3:22" x14ac:dyDescent="0.25">
      <c r="C81" s="187" t="s">
        <v>146</v>
      </c>
      <c r="D81" s="109"/>
      <c r="E81" s="110"/>
      <c r="F81" s="111"/>
      <c r="G81" s="111"/>
      <c r="H81" s="111"/>
      <c r="I81" s="111"/>
      <c r="J81" s="111"/>
      <c r="K81" s="111"/>
      <c r="L81" s="111"/>
      <c r="M81" s="111"/>
      <c r="N81" s="111"/>
      <c r="O81" s="111"/>
      <c r="P81" s="111"/>
      <c r="Q81" s="111"/>
      <c r="R81" s="111"/>
      <c r="S81" s="15"/>
      <c r="T81" s="23"/>
      <c r="U81" s="7"/>
      <c r="V81" s="27"/>
    </row>
    <row r="82" spans="3:22" x14ac:dyDescent="0.25">
      <c r="C82" s="72" t="s">
        <v>211</v>
      </c>
      <c r="N82" s="188"/>
      <c r="Q82" s="95"/>
      <c r="R82" s="95"/>
      <c r="S82" s="27"/>
      <c r="T82" s="27"/>
      <c r="U82" s="27"/>
      <c r="V82" s="27"/>
    </row>
    <row r="83" spans="3:22" x14ac:dyDescent="0.25">
      <c r="C83" s="71" t="s">
        <v>212</v>
      </c>
      <c r="Q83" s="95"/>
      <c r="R83" s="95"/>
      <c r="S83" s="27"/>
      <c r="T83" s="27"/>
      <c r="U83" s="27"/>
      <c r="V83" s="27"/>
    </row>
    <row r="84" spans="3:22" x14ac:dyDescent="0.25">
      <c r="C84" s="71" t="s">
        <v>214</v>
      </c>
      <c r="Q84" s="95"/>
      <c r="R84" s="95"/>
      <c r="S84" s="27"/>
      <c r="T84" s="306"/>
      <c r="U84" s="306"/>
      <c r="V84" s="27"/>
    </row>
    <row r="85" spans="3:22" x14ac:dyDescent="0.25">
      <c r="C85" s="71" t="s">
        <v>352</v>
      </c>
      <c r="Q85" s="95"/>
      <c r="R85" s="95"/>
      <c r="S85" s="27"/>
      <c r="T85" s="306"/>
      <c r="U85" s="27"/>
      <c r="V85" s="27"/>
    </row>
    <row r="86" spans="3:22" x14ac:dyDescent="0.25">
      <c r="C86" s="72" t="s">
        <v>350</v>
      </c>
      <c r="Q86" s="95"/>
      <c r="R86" s="95"/>
      <c r="S86" s="27"/>
      <c r="T86" s="27"/>
      <c r="U86" s="27"/>
      <c r="V86" s="27"/>
    </row>
    <row r="88" spans="3:22" x14ac:dyDescent="0.25">
      <c r="C88" s="187" t="s">
        <v>403</v>
      </c>
      <c r="D88" s="109"/>
      <c r="E88" s="110"/>
      <c r="F88" s="111"/>
      <c r="G88" s="111"/>
      <c r="H88" s="111"/>
      <c r="I88" s="111"/>
      <c r="J88" s="111"/>
      <c r="K88" s="111"/>
      <c r="L88" s="110"/>
      <c r="M88" s="111"/>
      <c r="N88" s="111"/>
      <c r="O88" s="111"/>
      <c r="P88" s="111"/>
      <c r="Q88" s="111"/>
      <c r="R88" s="111"/>
      <c r="S88" s="27"/>
      <c r="T88" s="27"/>
      <c r="U88" s="27"/>
      <c r="V88" s="27"/>
    </row>
    <row r="89" spans="3:22" x14ac:dyDescent="0.25">
      <c r="C89" s="13" t="s">
        <v>283</v>
      </c>
      <c r="Q89" s="95"/>
      <c r="R89" s="95"/>
      <c r="S89" s="27"/>
      <c r="T89" s="27"/>
      <c r="U89" s="27"/>
      <c r="V89" s="27"/>
    </row>
    <row r="90" spans="3:22" x14ac:dyDescent="0.25">
      <c r="C90" s="13" t="s">
        <v>284</v>
      </c>
      <c r="Q90" s="95"/>
      <c r="R90" s="95"/>
      <c r="S90" s="27"/>
      <c r="T90" s="27"/>
      <c r="U90" s="27"/>
      <c r="V90" s="27"/>
    </row>
    <row r="91" spans="3:22" x14ac:dyDescent="0.25">
      <c r="C91" s="71" t="s">
        <v>404</v>
      </c>
      <c r="Q91" s="95"/>
      <c r="R91" s="95"/>
      <c r="S91" s="27"/>
      <c r="T91" s="27"/>
      <c r="U91" s="27"/>
      <c r="V91" s="27"/>
    </row>
    <row r="92" spans="3:22" x14ac:dyDescent="0.25">
      <c r="C92" s="72" t="s">
        <v>377</v>
      </c>
      <c r="Q92" s="95"/>
      <c r="R92" s="95"/>
      <c r="S92" s="27"/>
      <c r="T92" s="27"/>
      <c r="U92" s="27"/>
      <c r="V92" s="27"/>
    </row>
    <row r="93" spans="3:22" x14ac:dyDescent="0.25">
      <c r="C93" s="72" t="s">
        <v>374</v>
      </c>
      <c r="Q93" s="95"/>
      <c r="R93" s="95"/>
      <c r="S93" s="27"/>
      <c r="T93" s="27"/>
      <c r="U93" s="27"/>
      <c r="V93" s="27"/>
    </row>
    <row r="94" spans="3:22" x14ac:dyDescent="0.25">
      <c r="C94" s="72" t="s">
        <v>376</v>
      </c>
      <c r="R94" s="27"/>
      <c r="S94" s="27"/>
      <c r="T94" s="27"/>
      <c r="U94" s="27"/>
      <c r="V94" s="27"/>
    </row>
    <row r="95" spans="3:22" x14ac:dyDescent="0.25">
      <c r="C95" s="72" t="s">
        <v>375</v>
      </c>
    </row>
    <row r="98" spans="3:18" x14ac:dyDescent="0.25">
      <c r="C98" s="404" t="s">
        <v>534</v>
      </c>
      <c r="D98" s="403"/>
      <c r="E98" s="403"/>
      <c r="F98" s="403"/>
      <c r="G98" s="403"/>
      <c r="H98" s="403"/>
      <c r="I98" s="403"/>
      <c r="J98" s="403"/>
      <c r="K98" s="403"/>
      <c r="L98" s="403"/>
      <c r="M98" s="403"/>
      <c r="N98" s="403"/>
      <c r="O98" s="403"/>
      <c r="P98" s="403"/>
      <c r="Q98" s="403"/>
      <c r="R98" s="402"/>
    </row>
    <row r="99" spans="3:18" x14ac:dyDescent="0.25">
      <c r="C99" s="72" t="s">
        <v>533</v>
      </c>
    </row>
    <row r="100" spans="3:18" x14ac:dyDescent="0.25">
      <c r="C100" s="72" t="s">
        <v>532</v>
      </c>
    </row>
  </sheetData>
  <mergeCells count="28">
    <mergeCell ref="D51:R51"/>
    <mergeCell ref="D79:R79"/>
    <mergeCell ref="D67:R67"/>
    <mergeCell ref="D68:R68"/>
    <mergeCell ref="D76:R76"/>
    <mergeCell ref="D70:R70"/>
    <mergeCell ref="D71:R71"/>
    <mergeCell ref="D72:R72"/>
    <mergeCell ref="D73:R73"/>
    <mergeCell ref="D74:R74"/>
    <mergeCell ref="D75:R75"/>
    <mergeCell ref="D69:R69"/>
    <mergeCell ref="D78:R78"/>
    <mergeCell ref="D52:R52"/>
    <mergeCell ref="D53:R53"/>
    <mergeCell ref="D54:R54"/>
    <mergeCell ref="D55:R55"/>
    <mergeCell ref="D56:R56"/>
    <mergeCell ref="D63:R63"/>
    <mergeCell ref="D64:R64"/>
    <mergeCell ref="D65:R65"/>
    <mergeCell ref="D66:R66"/>
    <mergeCell ref="D57:R57"/>
    <mergeCell ref="D58:R58"/>
    <mergeCell ref="D59:R59"/>
    <mergeCell ref="D60:R60"/>
    <mergeCell ref="D61:R61"/>
    <mergeCell ref="D62:R62"/>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7" r:id="rId35" xr:uid="{D916C905-4A3B-4E63-B977-A7CE4FECEC63}"/>
    <hyperlink ref="L37" r:id="rId36" xr:uid="{D15E8B40-85D3-49BA-9FEA-55358BDDF677}"/>
    <hyperlink ref="L38" r:id="rId37" xr:uid="{C34DA1A1-90C9-425C-94BD-ACB79531B40F}"/>
    <hyperlink ref="M42" r:id="rId38" xr:uid="{CD84206B-0D8F-4453-A9C1-F6001C1FA761}"/>
    <hyperlink ref="M43" r:id="rId39" xr:uid="{10A36219-DF43-4759-AF83-4612B9CE0203}"/>
    <hyperlink ref="M44" r:id="rId40" xr:uid="{82EF5920-62E7-4A58-A1FE-33427275FC05}"/>
    <hyperlink ref="M45" r:id="rId41" xr:uid="{EFDCE1D2-9CEF-457E-B9B6-7D16B558703B}"/>
    <hyperlink ref="L45" r:id="rId42" xr:uid="{CEB30621-C55F-4407-9568-D6C0437E988B}"/>
    <hyperlink ref="L46" r:id="rId43" xr:uid="{E02FFCE7-2239-4384-9C2B-98F3A359D2C7}"/>
    <hyperlink ref="M46" r:id="rId44" xr:uid="{A9352F58-BE3B-484A-9CD2-94D18006874D}"/>
    <hyperlink ref="L42" r:id="rId45" xr:uid="{3FAFD8D2-02CF-4FEE-B995-E2C64491C9CD}"/>
    <hyperlink ref="L43"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s>
  <pageMargins left="0.7" right="0.7" top="0.75" bottom="0.75" header="0.3" footer="0.3"/>
  <pageSetup paperSize="9" scale="18" orientation="portrait" verticalDpi="0" r:id="rId55"/>
  <headerFooter>
    <oddHeader>&amp;L&amp;"Calibri"&amp;7&amp;KE30513&amp;1#</oddHeader>
    <oddFooter>&amp;L&amp;1#&amp;"Calibri"&amp;7&amp;KE30513RESTRICTED</oddFooter>
  </headerFooter>
  <colBreaks count="1" manualBreakCount="1">
    <brk id="19" max="1048575" man="1"/>
  </colBreaks>
  <legacyDrawing r:id="rId5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S51"/>
  <sheetViews>
    <sheetView showGridLines="0" topLeftCell="A4" zoomScale="80" zoomScaleNormal="80" workbookViewId="0">
      <selection activeCell="E12" sqref="E12"/>
    </sheetView>
  </sheetViews>
  <sheetFormatPr defaultColWidth="9.140625" defaultRowHeight="15" x14ac:dyDescent="0.25"/>
  <cols>
    <col min="1" max="1" width="3.42578125" style="26" customWidth="1"/>
    <col min="2" max="2" width="44.85546875" style="26" customWidth="1"/>
    <col min="3" max="3" width="19.140625" style="26" bestFit="1" customWidth="1"/>
    <col min="4" max="4" width="25.42578125" style="26" customWidth="1"/>
    <col min="5" max="5" width="34" style="27" customWidth="1"/>
    <col min="6" max="6" width="31.28515625" style="27" customWidth="1"/>
    <col min="7" max="7" width="34" style="27" customWidth="1"/>
    <col min="8" max="8" width="71.140625" style="460" customWidth="1"/>
    <col min="9" max="9" width="4.28515625" style="26" customWidth="1"/>
    <col min="10" max="10" width="22" style="26" customWidth="1"/>
    <col min="11" max="11" width="20.42578125" style="26" bestFit="1" customWidth="1"/>
    <col min="12" max="12" width="20.28515625" style="26" customWidth="1"/>
    <col min="13" max="13" width="11.5703125" style="26" customWidth="1"/>
    <col min="14" max="14" width="21.28515625" style="26" bestFit="1" customWidth="1"/>
    <col min="15" max="15" width="7" style="26" bestFit="1" customWidth="1"/>
    <col min="16" max="16" width="8" style="26" bestFit="1" customWidth="1"/>
    <col min="17" max="17" width="12.7109375" style="26" bestFit="1" customWidth="1"/>
    <col min="18" max="18" width="11.28515625" style="26" bestFit="1" customWidth="1"/>
    <col min="19" max="19" width="35.85546875" style="26" bestFit="1" customWidth="1"/>
    <col min="20" max="21" width="14.85546875" style="26" customWidth="1"/>
    <col min="22" max="16384" width="9.140625" style="26"/>
  </cols>
  <sheetData>
    <row r="2" spans="2:19" x14ac:dyDescent="0.25">
      <c r="B2" s="194" t="s">
        <v>58</v>
      </c>
      <c r="C2" s="195">
        <f>'S | 01 '!D2</f>
        <v>45473</v>
      </c>
      <c r="D2" s="195"/>
      <c r="E2" s="196"/>
      <c r="F2" s="196"/>
      <c r="G2" s="196"/>
      <c r="H2" s="456"/>
    </row>
    <row r="3" spans="2:19" x14ac:dyDescent="0.25">
      <c r="B3" s="264"/>
      <c r="C3" s="264"/>
      <c r="D3" s="264"/>
      <c r="E3" s="264"/>
      <c r="F3" s="264"/>
      <c r="G3" s="264"/>
      <c r="H3" s="457"/>
    </row>
    <row r="4" spans="2:19" ht="30.75" customHeight="1" x14ac:dyDescent="0.25">
      <c r="B4" s="3"/>
      <c r="C4" s="3"/>
      <c r="D4" s="3"/>
      <c r="E4" s="1"/>
      <c r="F4" s="1"/>
      <c r="G4" s="1"/>
      <c r="H4" s="458"/>
    </row>
    <row r="5" spans="2:19" ht="60" customHeight="1" thickBot="1" x14ac:dyDescent="0.3">
      <c r="B5" s="313" t="s">
        <v>85</v>
      </c>
      <c r="C5" s="310" t="s">
        <v>31</v>
      </c>
      <c r="D5" s="310" t="s">
        <v>36</v>
      </c>
      <c r="E5" s="310" t="s">
        <v>27</v>
      </c>
      <c r="F5" s="310" t="s">
        <v>86</v>
      </c>
      <c r="G5" s="310"/>
      <c r="H5" s="459" t="s">
        <v>21</v>
      </c>
      <c r="J5" s="565" t="s">
        <v>645</v>
      </c>
      <c r="K5" s="566" t="s">
        <v>646</v>
      </c>
      <c r="L5" s="566"/>
      <c r="M5" s="566"/>
      <c r="N5" s="567"/>
      <c r="O5" s="567"/>
      <c r="P5" s="567"/>
      <c r="Q5" s="567"/>
      <c r="R5" s="568"/>
      <c r="S5" s="569"/>
    </row>
    <row r="6" spans="2:19" ht="15.75" customHeight="1" thickBot="1" x14ac:dyDescent="0.3">
      <c r="B6" s="309"/>
      <c r="C6" s="156"/>
      <c r="D6" s="310"/>
      <c r="E6" s="444" t="s">
        <v>83</v>
      </c>
      <c r="F6" s="312" t="s">
        <v>84</v>
      </c>
      <c r="G6" s="312" t="s">
        <v>10</v>
      </c>
      <c r="H6" s="459"/>
      <c r="J6" s="601" t="s">
        <v>647</v>
      </c>
      <c r="K6" s="602"/>
      <c r="L6" s="602"/>
      <c r="M6" s="603"/>
      <c r="N6" s="598" t="s">
        <v>648</v>
      </c>
      <c r="O6" s="599"/>
      <c r="P6" s="599"/>
      <c r="Q6" s="599"/>
      <c r="R6" s="599"/>
      <c r="S6" s="600"/>
    </row>
    <row r="7" spans="2:19" ht="30" x14ac:dyDescent="0.25">
      <c r="B7" s="309"/>
      <c r="C7" s="156"/>
      <c r="D7" s="310"/>
      <c r="E7" s="311" t="str">
        <f>"NAV | "&amp; TEXT(C2,"dd")&amp;" "&amp;TEXT(C2,"mmm")&amp;" "&amp;TEXT(C2,"yyyy")</f>
        <v>NAV | 30 Jun 2024</v>
      </c>
      <c r="F7" s="311"/>
      <c r="G7" s="311" t="str">
        <f>"PPS |" &amp; TEXT(C2,"dd")&amp;" "&amp;TEXT(C2,"mmm")&amp;" "&amp;TEXT(C2,"yyyy")</f>
        <v>PPS |30 Jun 2024</v>
      </c>
      <c r="H7" s="459"/>
      <c r="J7" s="570" t="s">
        <v>649</v>
      </c>
      <c r="K7" s="571" t="s">
        <v>650</v>
      </c>
      <c r="L7" s="572" t="s">
        <v>651</v>
      </c>
      <c r="M7" s="573" t="s">
        <v>652</v>
      </c>
      <c r="N7" s="574" t="s">
        <v>653</v>
      </c>
      <c r="O7" s="575" t="s">
        <v>654</v>
      </c>
      <c r="P7" s="576" t="s">
        <v>655</v>
      </c>
      <c r="Q7" s="577" t="s">
        <v>656</v>
      </c>
      <c r="R7" s="577" t="s">
        <v>657</v>
      </c>
      <c r="S7" s="578" t="s">
        <v>658</v>
      </c>
    </row>
    <row r="8" spans="2:19" x14ac:dyDescent="0.25">
      <c r="J8" s="530"/>
      <c r="K8" s="559"/>
      <c r="L8" s="531"/>
      <c r="M8" s="532"/>
      <c r="N8" s="533"/>
      <c r="O8" s="534"/>
      <c r="P8" s="535"/>
      <c r="Q8" s="536"/>
      <c r="R8" s="536"/>
      <c r="S8" s="537"/>
    </row>
    <row r="9" spans="2:19" x14ac:dyDescent="0.25">
      <c r="B9" s="427" t="s">
        <v>28</v>
      </c>
      <c r="C9" s="427"/>
      <c r="D9" s="427"/>
      <c r="E9" s="427"/>
      <c r="F9" s="427"/>
      <c r="G9" s="427"/>
      <c r="H9" s="427"/>
      <c r="J9" s="538" t="s">
        <v>659</v>
      </c>
      <c r="K9" s="560">
        <v>300</v>
      </c>
      <c r="L9" s="539">
        <f>Q9</f>
        <v>204.6</v>
      </c>
      <c r="M9" s="540">
        <f>L9-K9</f>
        <v>-95.4</v>
      </c>
      <c r="N9" s="541">
        <v>300</v>
      </c>
      <c r="O9" s="542">
        <v>187.6</v>
      </c>
      <c r="P9" s="543">
        <v>221.6</v>
      </c>
      <c r="Q9" s="544">
        <f>AVERAGE(O9:P9)</f>
        <v>204.6</v>
      </c>
      <c r="R9" s="545">
        <f>Q9-N9</f>
        <v>-95.4</v>
      </c>
      <c r="S9" s="546" t="s">
        <v>660</v>
      </c>
    </row>
    <row r="10" spans="2:19" x14ac:dyDescent="0.25">
      <c r="B10" s="434" t="str">
        <f>'S | 01 '!C9</f>
        <v>Jollychic Holding Limited</v>
      </c>
      <c r="C10" s="436" t="str">
        <f>'S | 01 '!F9</f>
        <v>Mozn</v>
      </c>
      <c r="D10" s="436" t="str">
        <f>'S | 01 '!H9</f>
        <v>C+ Prefs</v>
      </c>
      <c r="E10" s="441">
        <f>F10*G10*10^-6</f>
        <v>0</v>
      </c>
      <c r="F10" s="452">
        <f>VLOOKUP(B10,'6. %'!$C$6:$I$40,2,0)</f>
        <v>13458655</v>
      </c>
      <c r="G10" s="438"/>
      <c r="H10" s="461" t="s">
        <v>547</v>
      </c>
      <c r="J10" s="538" t="s">
        <v>228</v>
      </c>
      <c r="K10" s="560">
        <v>78.099999999999994</v>
      </c>
      <c r="L10" s="547">
        <f>Q10</f>
        <v>62.900000000000006</v>
      </c>
      <c r="M10" s="540">
        <f t="shared" ref="M10:M12" si="0">L10-K10</f>
        <v>-15.199999999999989</v>
      </c>
      <c r="N10" s="541">
        <v>80.3</v>
      </c>
      <c r="O10" s="542">
        <v>56.9</v>
      </c>
      <c r="P10" s="543">
        <v>68.900000000000006</v>
      </c>
      <c r="Q10" s="548">
        <f>AVERAGE(O10:P10)</f>
        <v>62.900000000000006</v>
      </c>
      <c r="R10" s="545">
        <f>Q10-N10</f>
        <v>-17.399999999999991</v>
      </c>
      <c r="S10" s="549" t="s">
        <v>660</v>
      </c>
    </row>
    <row r="11" spans="2:19" x14ac:dyDescent="0.25">
      <c r="B11" s="434" t="str">
        <f>'S | 01 '!C10</f>
        <v>Mena Mobile Inc</v>
      </c>
      <c r="C11" s="436" t="str">
        <f>'S | 01 '!F10</f>
        <v>Mozn</v>
      </c>
      <c r="D11" s="436" t="str">
        <f>'S | 01 '!H10</f>
        <v>B Prefs</v>
      </c>
      <c r="E11" s="441">
        <v>0</v>
      </c>
      <c r="F11" s="452">
        <f>VLOOKUP(B11,'6. %'!$C$6:$I$40,2,0)</f>
        <v>21419829</v>
      </c>
      <c r="G11" s="438"/>
      <c r="H11" s="461" t="s">
        <v>343</v>
      </c>
      <c r="J11" s="538" t="s">
        <v>37</v>
      </c>
      <c r="K11" s="560">
        <v>91</v>
      </c>
      <c r="L11" s="547">
        <f>Q11</f>
        <v>73.800000000000011</v>
      </c>
      <c r="M11" s="540">
        <f t="shared" si="0"/>
        <v>-17.199999999999989</v>
      </c>
      <c r="N11" s="550">
        <v>102.1</v>
      </c>
      <c r="O11" s="551">
        <v>66.2</v>
      </c>
      <c r="P11" s="543">
        <v>81.400000000000006</v>
      </c>
      <c r="Q11" s="544">
        <f>AVERAGE(O11:P11)</f>
        <v>73.800000000000011</v>
      </c>
      <c r="R11" s="545">
        <f>Q11-N11</f>
        <v>-28.299999999999983</v>
      </c>
      <c r="S11" s="546" t="s">
        <v>660</v>
      </c>
    </row>
    <row r="12" spans="2:19" ht="15.75" thickBot="1" x14ac:dyDescent="0.3">
      <c r="B12" s="4" t="str">
        <f>'S | 01 '!C11</f>
        <v>Flyr Inc</v>
      </c>
      <c r="C12" s="2" t="str">
        <f>'S | 01 '!F11</f>
        <v>Mozn</v>
      </c>
      <c r="D12" s="2" t="str">
        <f>'S | 01 '!H11</f>
        <v>B-1,2 Prefs</v>
      </c>
      <c r="E12" s="564">
        <f>F12*G12*10^-6</f>
        <v>37.118730497400001</v>
      </c>
      <c r="F12" s="453">
        <f>VLOOKUP(B12,'6. %'!$C$6:$I$40,2,0)</f>
        <v>5205482</v>
      </c>
      <c r="G12" s="192">
        <v>7.1307</v>
      </c>
      <c r="H12" s="462" t="s">
        <v>699</v>
      </c>
      <c r="J12" s="552" t="s">
        <v>661</v>
      </c>
      <c r="K12" s="561">
        <v>15</v>
      </c>
      <c r="L12" s="562">
        <f>Q12</f>
        <v>161.9</v>
      </c>
      <c r="M12" s="553">
        <f t="shared" si="0"/>
        <v>146.9</v>
      </c>
      <c r="N12" s="563">
        <f>5.9*10^-3</f>
        <v>5.9000000000000007E-3</v>
      </c>
      <c r="O12" s="554"/>
      <c r="P12" s="555"/>
      <c r="Q12" s="556">
        <v>161.9</v>
      </c>
      <c r="R12" s="557">
        <f t="shared" ref="R12" si="1">Q12-N12</f>
        <v>161.89410000000001</v>
      </c>
      <c r="S12" s="558" t="s">
        <v>662</v>
      </c>
    </row>
    <row r="13" spans="2:19" x14ac:dyDescent="0.25">
      <c r="B13" s="434" t="str">
        <f>'S | 01 '!C12</f>
        <v xml:space="preserve">Esyasoft Holding </v>
      </c>
      <c r="C13" s="436" t="str">
        <f>'S | 01 '!F12</f>
        <v>Mozn</v>
      </c>
      <c r="D13" s="436" t="str">
        <f>'S | 01 '!H12</f>
        <v>Convertible Note</v>
      </c>
      <c r="E13" s="441">
        <v>0</v>
      </c>
      <c r="F13" s="452" t="str">
        <f>VLOOKUP(B13,'6. %'!$C$6:$I$40,2,0)</f>
        <v>n/a</v>
      </c>
      <c r="G13" s="438"/>
      <c r="H13" s="461" t="s">
        <v>296</v>
      </c>
    </row>
    <row r="14" spans="2:19" ht="15.75" thickBot="1" x14ac:dyDescent="0.3">
      <c r="B14" s="4" t="str">
        <f>'S | 01 '!C13</f>
        <v>Beyond Limits</v>
      </c>
      <c r="C14" s="2" t="str">
        <f>'S | 01 '!F13</f>
        <v>Mozn</v>
      </c>
      <c r="D14" s="2" t="str">
        <f>'S | 01 '!H13</f>
        <v>C Prefs</v>
      </c>
      <c r="E14" s="564">
        <f>L11</f>
        <v>73.800000000000011</v>
      </c>
      <c r="F14" s="453">
        <f>VLOOKUP(B14,'6. %'!$C$6:$I$40,2,0)</f>
        <v>17670202</v>
      </c>
      <c r="G14" s="192">
        <v>5.15</v>
      </c>
      <c r="H14" s="462" t="s">
        <v>669</v>
      </c>
    </row>
    <row r="15" spans="2:19" x14ac:dyDescent="0.25">
      <c r="B15" s="435" t="str">
        <f>'S | 01 '!C14</f>
        <v>ONT plc</v>
      </c>
      <c r="C15" s="437" t="str">
        <f>'S | 01 '!F14</f>
        <v>Mozn</v>
      </c>
      <c r="D15" s="437" t="str">
        <f>'S | 01 '!H14</f>
        <v>Ordinary Shares</v>
      </c>
      <c r="E15" s="443">
        <f>F15*G15*10^-6</f>
        <v>53.000051393097593</v>
      </c>
      <c r="F15" s="454">
        <f>VLOOKUP(B15,'6. %'!$C$6:$I$40,2,0)</f>
        <v>44328120</v>
      </c>
      <c r="G15" s="439">
        <f>K18*K20</f>
        <v>1.1956304799999999</v>
      </c>
      <c r="H15" s="463" t="s">
        <v>215</v>
      </c>
      <c r="J15" s="284"/>
      <c r="K15" s="285"/>
      <c r="L15" s="286"/>
    </row>
    <row r="16" spans="2:19" x14ac:dyDescent="0.25">
      <c r="B16" s="4" t="str">
        <f>'S | 01 '!C15</f>
        <v>Heygears</v>
      </c>
      <c r="C16" s="2" t="str">
        <f>'S | 01 '!F15</f>
        <v>Mozn</v>
      </c>
      <c r="D16" s="2" t="str">
        <f>'S | 01 '!H15</f>
        <v>Registered Capital</v>
      </c>
      <c r="E16" s="442">
        <f>K34/1000000</f>
        <v>149.39859152003655</v>
      </c>
      <c r="F16" s="453">
        <f>'CF (Equity, Debt)'!J20</f>
        <v>3565017.22</v>
      </c>
      <c r="G16" s="192"/>
      <c r="H16" s="462" t="s">
        <v>346</v>
      </c>
      <c r="J16" s="281" t="s">
        <v>320</v>
      </c>
      <c r="K16" s="282">
        <f>C2</f>
        <v>45473</v>
      </c>
      <c r="L16" s="283"/>
    </row>
    <row r="17" spans="2:12" x14ac:dyDescent="0.25">
      <c r="B17" s="434" t="str">
        <f>'S | 01 '!C16</f>
        <v>Jysan Technologies</v>
      </c>
      <c r="C17" s="436" t="str">
        <f>'S | 01 '!F16</f>
        <v>Mozn 1</v>
      </c>
      <c r="D17" s="436" t="str">
        <f>'S | 01 '!H16</f>
        <v>A (Ordinary Shares)</v>
      </c>
      <c r="E17" s="441">
        <v>0</v>
      </c>
      <c r="F17" s="452">
        <f>VLOOKUP(B17,'6. %'!$C$6:$I$40,2,0)</f>
        <v>7959497</v>
      </c>
      <c r="G17" s="438">
        <f>E17*10^6/F17</f>
        <v>0</v>
      </c>
      <c r="H17" s="461" t="s">
        <v>434</v>
      </c>
      <c r="J17" s="81"/>
      <c r="K17" s="27"/>
      <c r="L17" s="230" t="s">
        <v>302</v>
      </c>
    </row>
    <row r="18" spans="2:12" x14ac:dyDescent="0.25">
      <c r="B18" s="4" t="str">
        <f>'S | 01 '!C17</f>
        <v>Cerebras Systems Inc</v>
      </c>
      <c r="C18" s="2" t="str">
        <f>'S | 01 '!F17</f>
        <v>Mozn</v>
      </c>
      <c r="D18" s="2" t="str">
        <f>'S | 01 '!H17</f>
        <v>F Prefs</v>
      </c>
      <c r="E18" s="442">
        <f>F18*G18*10^-6</f>
        <v>21.135483260000001</v>
      </c>
      <c r="F18" s="453">
        <f>VLOOKUP(B18,'6. %'!$C$6:$I$40,2,0)</f>
        <v>1441711</v>
      </c>
      <c r="G18" s="192">
        <v>14.66</v>
      </c>
      <c r="H18" s="462" t="s">
        <v>543</v>
      </c>
      <c r="J18" s="231" t="s">
        <v>297</v>
      </c>
      <c r="K18" s="26">
        <v>0.94599999999999995</v>
      </c>
      <c r="L18" s="229" t="s">
        <v>303</v>
      </c>
    </row>
    <row r="19" spans="2:12" x14ac:dyDescent="0.25">
      <c r="B19" s="4" t="str">
        <f>'S | 01 '!C18</f>
        <v>Endless Studios LLC</v>
      </c>
      <c r="C19" s="2" t="str">
        <f>'S | 01 '!F18</f>
        <v>Mozn</v>
      </c>
      <c r="D19" s="2" t="str">
        <f>'S | 01 '!H18</f>
        <v>A Pref Units</v>
      </c>
      <c r="E19" s="442">
        <f>-'CF (Equity, Debt)'!E23-'CF (Equity, Debt)'!E41</f>
        <v>8</v>
      </c>
      <c r="F19" s="453">
        <f>VLOOKUP(B19,'6. %'!$C$6:$I$40,2,0)</f>
        <v>8000000</v>
      </c>
      <c r="G19" s="192"/>
      <c r="H19" s="462" t="s">
        <v>543</v>
      </c>
      <c r="J19" s="81" t="s">
        <v>299</v>
      </c>
      <c r="K19" s="26">
        <v>17.66</v>
      </c>
      <c r="L19" s="229" t="s">
        <v>303</v>
      </c>
    </row>
    <row r="20" spans="2:12" x14ac:dyDescent="0.25">
      <c r="B20" s="434" t="str">
        <f>'S | 01 '!C19</f>
        <v>Instadeep Limited</v>
      </c>
      <c r="C20" s="436" t="str">
        <f>'S | 01 '!F19</f>
        <v>Mozn</v>
      </c>
      <c r="D20" s="436" t="str">
        <f>'S | 01 '!H19</f>
        <v xml:space="preserve">B Prefs </v>
      </c>
      <c r="E20" s="441">
        <f>-'CF (Equity, Debt)'!E24*G20</f>
        <v>0</v>
      </c>
      <c r="F20" s="452">
        <f>VLOOKUP(B20,'6. %'!$C$6:$I$40,2,0)</f>
        <v>33267</v>
      </c>
      <c r="G20" s="438">
        <v>0</v>
      </c>
      <c r="H20" s="461" t="s">
        <v>422</v>
      </c>
      <c r="J20" s="231" t="s">
        <v>298</v>
      </c>
      <c r="K20" s="26">
        <v>1.2638799999999999</v>
      </c>
      <c r="L20" s="229" t="s">
        <v>301</v>
      </c>
    </row>
    <row r="21" spans="2:12" ht="15.75" thickBot="1" x14ac:dyDescent="0.3">
      <c r="B21" s="434" t="str">
        <f>'S | 01 '!C20</f>
        <v>X-fusion</v>
      </c>
      <c r="C21" s="436" t="str">
        <f>'S | 01 '!F20</f>
        <v>Mozn 2</v>
      </c>
      <c r="D21" s="436" t="str">
        <f>'S | 01 '!H20</f>
        <v>Equity-TBC</v>
      </c>
      <c r="E21" s="441">
        <v>0</v>
      </c>
      <c r="F21" s="452" t="str">
        <f>VLOOKUP(B21,'6. %'!$C$6:$I$40,2,0)</f>
        <v>n/a</v>
      </c>
      <c r="G21" s="438"/>
      <c r="H21" s="461" t="s">
        <v>548</v>
      </c>
      <c r="J21" s="86" t="s">
        <v>442</v>
      </c>
      <c r="K21" s="232">
        <v>1.0710999999999999</v>
      </c>
      <c r="L21" s="233" t="s">
        <v>301</v>
      </c>
    </row>
    <row r="22" spans="2:12" x14ac:dyDescent="0.25">
      <c r="B22" s="4" t="str">
        <f>'S | 01 '!C21</f>
        <v>DriveNets</v>
      </c>
      <c r="C22" s="2" t="str">
        <f>'S | 01 '!F21</f>
        <v>G42</v>
      </c>
      <c r="D22" s="2" t="str">
        <f>'S | 01 '!H21</f>
        <v>Equity-TBC</v>
      </c>
      <c r="E22" s="564">
        <f>L9</f>
        <v>204.6</v>
      </c>
      <c r="F22" s="453">
        <f>VLOOKUP(B22,'6. %'!$C$6:$I$40,2,0)</f>
        <v>86882669</v>
      </c>
      <c r="G22" s="192"/>
      <c r="H22" s="462" t="s">
        <v>543</v>
      </c>
    </row>
    <row r="23" spans="2:12" ht="15.75" thickBot="1" x14ac:dyDescent="0.3">
      <c r="B23" s="435" t="str">
        <f>'S | 01 '!C22</f>
        <v>vTv Therapeutics Inc.</v>
      </c>
      <c r="C23" s="437" t="str">
        <f>'S | 01 '!F22</f>
        <v>G42</v>
      </c>
      <c r="D23" s="437" t="str">
        <f>'S | 01 '!H22</f>
        <v>Ordinary Shares</v>
      </c>
      <c r="E23" s="443">
        <f>(F23*G23)*10^-6</f>
        <v>4.58554262</v>
      </c>
      <c r="F23" s="454">
        <f>VLOOKUP(B23,'6. %'!$C$6:$I$40,2,0)</f>
        <v>259657</v>
      </c>
      <c r="G23" s="439">
        <f>K19</f>
        <v>17.66</v>
      </c>
      <c r="H23" s="463" t="s">
        <v>215</v>
      </c>
    </row>
    <row r="24" spans="2:12" x14ac:dyDescent="0.25">
      <c r="B24" s="434" t="str">
        <f>'S | 01 '!C23</f>
        <v>Honor Device Co Ltd</v>
      </c>
      <c r="C24" s="436" t="str">
        <f>'S | 01 '!F23</f>
        <v>G42 3</v>
      </c>
      <c r="D24" s="436" t="str">
        <f>'S | 01 '!H23</f>
        <v>Equity-TBC</v>
      </c>
      <c r="E24" s="441">
        <v>0</v>
      </c>
      <c r="F24" s="452">
        <f>VLOOKUP(B24,'6. %'!$C$6:$I$40,2,0)</f>
        <v>606850777.73599994</v>
      </c>
      <c r="G24" s="438"/>
      <c r="H24" s="461" t="s">
        <v>550</v>
      </c>
      <c r="J24" s="388" t="s">
        <v>262</v>
      </c>
      <c r="K24" s="288"/>
      <c r="L24" s="294"/>
    </row>
    <row r="25" spans="2:12" x14ac:dyDescent="0.25">
      <c r="B25" s="4" t="str">
        <f>'S | 01 '!C24</f>
        <v>Applied AI Corporation Limited</v>
      </c>
      <c r="C25" s="2" t="str">
        <f>'S | 01 '!F24</f>
        <v>Mozn</v>
      </c>
      <c r="D25" s="2" t="str">
        <f>'S | 01 '!H24</f>
        <v>Convertible Note</v>
      </c>
      <c r="E25" s="442">
        <f>-'CF (Equity, Debt)'!E32-'CF (Equity, Debt)'!E38-'CF (Equity, Debt)'!E47</f>
        <v>11.5</v>
      </c>
      <c r="F25" s="453" t="str">
        <f>VLOOKUP(B25,'6. %'!$C$6:$I$40,2,0)</f>
        <v>n/a</v>
      </c>
      <c r="G25" s="192"/>
      <c r="H25" s="462" t="s">
        <v>543</v>
      </c>
      <c r="J25" s="81" t="s">
        <v>300</v>
      </c>
      <c r="K25" s="26">
        <v>7.2205500000000002</v>
      </c>
      <c r="L25" s="229" t="s">
        <v>301</v>
      </c>
    </row>
    <row r="26" spans="2:12" x14ac:dyDescent="0.25">
      <c r="B26" s="4" t="str">
        <f>'S | 01 '!C25</f>
        <v xml:space="preserve">eSpace </v>
      </c>
      <c r="C26" s="2" t="str">
        <f>'S | 01 '!F25</f>
        <v>Mozn 4</v>
      </c>
      <c r="D26" s="2" t="str">
        <f>'S | 01 '!H25</f>
        <v>B Prefs</v>
      </c>
      <c r="E26" s="442">
        <f>F26*G26*10^-6</f>
        <v>20.888121539999997</v>
      </c>
      <c r="F26" s="453">
        <f>VLOOKUP(B26,'6. %'!$C$6:$I$40,2,0)</f>
        <v>417846</v>
      </c>
      <c r="G26" s="192">
        <v>49.99</v>
      </c>
      <c r="H26" s="462" t="s">
        <v>635</v>
      </c>
      <c r="J26" s="296" t="s">
        <v>252</v>
      </c>
      <c r="K26" s="297">
        <v>7500000000</v>
      </c>
      <c r="L26" s="298"/>
    </row>
    <row r="27" spans="2:12" x14ac:dyDescent="0.25">
      <c r="B27" s="4" t="str">
        <f>'S | 01 '!C26</f>
        <v>Tools for Humanity Corporation</v>
      </c>
      <c r="C27" s="2" t="str">
        <f>'S | 01 '!F26</f>
        <v>Mozn</v>
      </c>
      <c r="D27" s="2" t="str">
        <f>'S | 01 '!H26</f>
        <v>C Prefs</v>
      </c>
      <c r="E27" s="442">
        <f ca="1">'S | 01 '!K26</f>
        <v>14.999998939999999</v>
      </c>
      <c r="F27" s="453">
        <f>VLOOKUP(B27,'6. %'!$C$6:$I$40,2,0)</f>
        <v>65413</v>
      </c>
      <c r="G27" s="192"/>
      <c r="H27" s="462" t="s">
        <v>543</v>
      </c>
      <c r="J27" s="296" t="s">
        <v>253</v>
      </c>
      <c r="K27" s="299">
        <v>0.14383199999999999</v>
      </c>
      <c r="L27" s="298"/>
    </row>
    <row r="28" spans="2:12" x14ac:dyDescent="0.25">
      <c r="B28" s="4" t="str">
        <f>'S | 01 '!C27</f>
        <v>WLD Tokens</v>
      </c>
      <c r="C28" s="2" t="str">
        <f>'S | 01 '!F27</f>
        <v>Mozn</v>
      </c>
      <c r="D28" s="2" t="str">
        <f>'S | 01 '!H27</f>
        <v>Tokens</v>
      </c>
      <c r="E28" s="564">
        <f>F28*G28*10^-6</f>
        <v>120.19230769230769</v>
      </c>
      <c r="F28" s="453">
        <f>VLOOKUP(B28,'6. %'!$C$6:$I$40,2,0)</f>
        <v>62500000</v>
      </c>
      <c r="G28" s="192">
        <f>50/26</f>
        <v>1.9230769230769231</v>
      </c>
      <c r="H28" s="462" t="s">
        <v>694</v>
      </c>
      <c r="J28" s="296" t="s">
        <v>254</v>
      </c>
      <c r="K28" s="297">
        <v>1078740000</v>
      </c>
      <c r="L28" s="298"/>
    </row>
    <row r="29" spans="2:12" x14ac:dyDescent="0.25">
      <c r="B29" s="4" t="str">
        <f>'S | 01 '!C28</f>
        <v>E-line Ventures LLC</v>
      </c>
      <c r="C29" s="2" t="str">
        <f>'S | 01 '!F28</f>
        <v>Mozn</v>
      </c>
      <c r="D29" s="2" t="str">
        <f>'S | 01 '!H28</f>
        <v>B Prefs</v>
      </c>
      <c r="E29" s="442">
        <f ca="1">MAX('S | 01 '!K28,F29*G29*10^-6)</f>
        <v>6</v>
      </c>
      <c r="F29" s="453">
        <f>VLOOKUP(B29,'6. %'!$C$6:$I$40,2,0)</f>
        <v>4477612</v>
      </c>
      <c r="G29" s="192"/>
      <c r="H29" s="462" t="s">
        <v>543</v>
      </c>
      <c r="J29" s="296" t="s">
        <v>255</v>
      </c>
      <c r="K29" s="300">
        <v>0</v>
      </c>
      <c r="L29" s="298"/>
    </row>
    <row r="30" spans="2:12" x14ac:dyDescent="0.25">
      <c r="B30" s="4" t="str">
        <f>'S | 01 '!C29</f>
        <v>School Hack (AIREV Holding Limited)</v>
      </c>
      <c r="C30" s="2" t="str">
        <f>'S | 01 '!F29</f>
        <v>Core42 5</v>
      </c>
      <c r="D30" s="2" t="str">
        <f>'S | 01 '!H29</f>
        <v>Preferred Shares</v>
      </c>
      <c r="E30" s="442">
        <f ca="1">MAX('S | 01 '!K29,F30*G30*10^-6)</f>
        <v>2.5</v>
      </c>
      <c r="F30" s="453">
        <f>VLOOKUP(B30,'6. %'!$C$6:$I$40,2,0)</f>
        <v>25000</v>
      </c>
      <c r="G30" s="192"/>
      <c r="H30" s="462" t="s">
        <v>543</v>
      </c>
      <c r="J30" s="296" t="s">
        <v>256</v>
      </c>
      <c r="K30" s="300">
        <v>0</v>
      </c>
      <c r="L30" s="298"/>
    </row>
    <row r="31" spans="2:12" x14ac:dyDescent="0.25">
      <c r="B31" s="4" t="str">
        <f>'S | 01 '!C30</f>
        <v>Life Biosciences LLC</v>
      </c>
      <c r="C31" s="2" t="str">
        <f>'S | 01 '!F30</f>
        <v>G42 Capital</v>
      </c>
      <c r="D31" s="2" t="str">
        <f>'S | 01 '!H30</f>
        <v>Convertible Note</v>
      </c>
      <c r="E31" s="442">
        <f>-'CF (Equity, Debt)'!E49</f>
        <v>20</v>
      </c>
      <c r="F31" s="453" t="str">
        <f>VLOOKUP(B31,'6. %'!$C$6:$I$40,2,0)</f>
        <v>n/a</v>
      </c>
      <c r="G31" s="192"/>
      <c r="H31" s="462" t="s">
        <v>543</v>
      </c>
      <c r="J31" s="296" t="s">
        <v>257</v>
      </c>
      <c r="K31" s="297">
        <f>K28*(1-K29)*(1-K30)</f>
        <v>1078740000</v>
      </c>
      <c r="L31" s="301"/>
    </row>
    <row r="32" spans="2:12" ht="15.75" thickBot="1" x14ac:dyDescent="0.3">
      <c r="B32" s="4" t="str">
        <f>'S | 01 '!C31</f>
        <v>Verses AI Inc</v>
      </c>
      <c r="C32" s="2" t="str">
        <f>'S | 01 '!F31</f>
        <v>G42 Capital</v>
      </c>
      <c r="D32" s="2" t="str">
        <f>'S | 01 '!H31</f>
        <v>Convertible Debenture</v>
      </c>
      <c r="E32" s="308">
        <f>-'CF (Equity, Debt)'!E50</f>
        <v>10</v>
      </c>
      <c r="F32" s="446" t="str">
        <f>VLOOKUP(B32,'6. %'!$C$6:$I$40,2,0)</f>
        <v>n/a</v>
      </c>
      <c r="G32" s="192"/>
      <c r="H32" s="462" t="s">
        <v>543</v>
      </c>
      <c r="J32" s="296"/>
      <c r="K32" s="297"/>
      <c r="L32" s="301"/>
    </row>
    <row r="33" spans="2:12" x14ac:dyDescent="0.25">
      <c r="B33" s="181"/>
      <c r="C33" s="181"/>
      <c r="D33" s="181"/>
      <c r="E33" s="181"/>
      <c r="F33" s="447"/>
      <c r="G33" s="181"/>
      <c r="H33" s="464"/>
      <c r="J33" s="296" t="s">
        <v>319</v>
      </c>
      <c r="K33" s="302">
        <f>K25</f>
        <v>7.2205500000000002</v>
      </c>
      <c r="L33" s="301"/>
    </row>
    <row r="34" spans="2:12" ht="15.75" thickBot="1" x14ac:dyDescent="0.3">
      <c r="B34" s="427" t="s">
        <v>29</v>
      </c>
      <c r="C34" s="427"/>
      <c r="D34" s="427"/>
      <c r="E34" s="427"/>
      <c r="F34" s="427"/>
      <c r="G34" s="427"/>
      <c r="H34" s="427"/>
      <c r="J34" s="296" t="s">
        <v>258</v>
      </c>
      <c r="K34" s="455">
        <f>K31/K33</f>
        <v>149398591.52003655</v>
      </c>
      <c r="L34" s="298"/>
    </row>
    <row r="35" spans="2:12" x14ac:dyDescent="0.25">
      <c r="B35" s="434" t="s">
        <v>48</v>
      </c>
      <c r="C35" s="436" t="s">
        <v>8</v>
      </c>
      <c r="D35" s="436" t="s">
        <v>126</v>
      </c>
      <c r="E35" s="440">
        <f>'S | 01 '!N36</f>
        <v>0</v>
      </c>
      <c r="F35" s="445"/>
      <c r="G35" s="438"/>
      <c r="H35" s="461" t="s">
        <v>130</v>
      </c>
      <c r="J35" s="296" t="s">
        <v>259</v>
      </c>
      <c r="K35" s="297">
        <v>60000000</v>
      </c>
      <c r="L35" s="298"/>
    </row>
    <row r="36" spans="2:12" ht="15.75" thickBot="1" x14ac:dyDescent="0.3">
      <c r="B36" s="434" t="s">
        <v>248</v>
      </c>
      <c r="C36" s="436" t="s">
        <v>8</v>
      </c>
      <c r="D36" s="436" t="s">
        <v>127</v>
      </c>
      <c r="E36" s="441">
        <v>0</v>
      </c>
      <c r="F36" s="445"/>
      <c r="G36" s="438"/>
      <c r="H36" s="461" t="s">
        <v>547</v>
      </c>
      <c r="J36" s="303" t="s">
        <v>260</v>
      </c>
      <c r="K36" s="304">
        <v>1.90391818080482</v>
      </c>
      <c r="L36" s="90"/>
    </row>
    <row r="37" spans="2:12" ht="15.75" thickBot="1" x14ac:dyDescent="0.3">
      <c r="B37" s="434" t="s">
        <v>240</v>
      </c>
      <c r="C37" s="436" t="s">
        <v>8</v>
      </c>
      <c r="D37" s="436" t="s">
        <v>127</v>
      </c>
      <c r="E37" s="448">
        <v>0</v>
      </c>
      <c r="F37" s="445"/>
      <c r="G37" s="438"/>
      <c r="H37" s="461" t="s">
        <v>551</v>
      </c>
      <c r="J37" s="378"/>
      <c r="K37" s="379"/>
    </row>
    <row r="38" spans="2:12" ht="15.75" thickBot="1" x14ac:dyDescent="0.3">
      <c r="B38" s="181"/>
      <c r="C38" s="181"/>
      <c r="D38" s="181"/>
      <c r="E38" s="181"/>
      <c r="F38" s="181"/>
      <c r="G38" s="181"/>
      <c r="H38" s="464"/>
      <c r="J38" s="378"/>
      <c r="K38" s="379"/>
    </row>
    <row r="39" spans="2:12" ht="15.75" thickBot="1" x14ac:dyDescent="0.3">
      <c r="B39" s="427" t="s">
        <v>30</v>
      </c>
      <c r="C39" s="427"/>
      <c r="D39" s="427"/>
      <c r="E39" s="427"/>
      <c r="F39" s="427"/>
      <c r="G39" s="427"/>
      <c r="H39" s="427"/>
      <c r="J39" s="388" t="s">
        <v>314</v>
      </c>
      <c r="K39" s="288"/>
      <c r="L39" s="294"/>
    </row>
    <row r="40" spans="2:12" x14ac:dyDescent="0.25">
      <c r="B40" s="4" t="s">
        <v>118</v>
      </c>
      <c r="C40" s="2" t="s">
        <v>11</v>
      </c>
      <c r="D40" s="2" t="s">
        <v>54</v>
      </c>
      <c r="E40" s="449">
        <f>'8. NewSpace'!H38*10^-6*K21-'CF (Funds)'!F49</f>
        <v>19.274963442142997</v>
      </c>
      <c r="F40" s="446"/>
      <c r="G40" s="192"/>
      <c r="H40" s="462" t="s">
        <v>454</v>
      </c>
      <c r="J40" s="81"/>
      <c r="L40" s="229"/>
    </row>
    <row r="41" spans="2:12" x14ac:dyDescent="0.25">
      <c r="B41" s="4" t="s">
        <v>347</v>
      </c>
      <c r="C41" s="2" t="s">
        <v>11</v>
      </c>
      <c r="D41" s="2" t="s">
        <v>60</v>
      </c>
      <c r="E41" s="442">
        <f ca="1">E40*'S | 02'!L38/'S | 02'!L37</f>
        <v>3.2756152095037327</v>
      </c>
      <c r="F41" s="446"/>
      <c r="G41" s="192"/>
      <c r="H41" s="462" t="s">
        <v>632</v>
      </c>
      <c r="J41" s="527">
        <f ca="1">SUM(E10:E32)</f>
        <v>757.71882746284189</v>
      </c>
      <c r="K41" s="297" t="b">
        <f ca="1">J41='S | 01 '!N33</f>
        <v>1</v>
      </c>
      <c r="L41" s="298"/>
    </row>
    <row r="42" spans="2:12" x14ac:dyDescent="0.25">
      <c r="B42" s="4" t="s">
        <v>1</v>
      </c>
      <c r="C42" s="2" t="s">
        <v>11</v>
      </c>
      <c r="D42" s="2" t="s">
        <v>54</v>
      </c>
      <c r="E42" s="442">
        <f>81.513771 -'CF (Funds)'!F36</f>
        <v>74.725861000000009</v>
      </c>
      <c r="F42" s="446"/>
      <c r="G42" s="192"/>
      <c r="H42" s="462" t="s">
        <v>454</v>
      </c>
      <c r="J42" s="527">
        <f>SUM(E35:E37)</f>
        <v>0</v>
      </c>
      <c r="K42" s="299" t="b">
        <f>J42='S | 01 '!N39</f>
        <v>1</v>
      </c>
      <c r="L42" s="298"/>
    </row>
    <row r="43" spans="2:12" x14ac:dyDescent="0.25">
      <c r="B43" s="434" t="s">
        <v>12</v>
      </c>
      <c r="C43" s="436" t="s">
        <v>11</v>
      </c>
      <c r="D43" s="436" t="s">
        <v>54</v>
      </c>
      <c r="E43" s="441">
        <v>0</v>
      </c>
      <c r="F43" s="445"/>
      <c r="G43" s="438"/>
      <c r="H43" s="461" t="s">
        <v>26</v>
      </c>
      <c r="J43" s="527">
        <f ca="1">SUM(E40:E44)</f>
        <v>108.15165165164674</v>
      </c>
      <c r="K43" s="297" t="b">
        <f ca="1">J43='S | 01 '!N47</f>
        <v>1</v>
      </c>
      <c r="L43" s="298"/>
    </row>
    <row r="44" spans="2:12" ht="15.75" thickBot="1" x14ac:dyDescent="0.3">
      <c r="B44" s="4" t="s">
        <v>164</v>
      </c>
      <c r="C44" s="2" t="s">
        <v>11</v>
      </c>
      <c r="D44" s="2" t="s">
        <v>54</v>
      </c>
      <c r="E44" s="308">
        <v>10.875211999999999</v>
      </c>
      <c r="F44" s="446"/>
      <c r="G44" s="192"/>
      <c r="H44" s="462" t="s">
        <v>664</v>
      </c>
      <c r="J44" s="303"/>
      <c r="K44" s="528"/>
      <c r="L44" s="529"/>
    </row>
    <row r="45" spans="2:12" x14ac:dyDescent="0.25">
      <c r="B45" s="35" t="s">
        <v>89</v>
      </c>
      <c r="C45" s="35"/>
    </row>
    <row r="46" spans="2:12" x14ac:dyDescent="0.25">
      <c r="B46" s="26" t="s">
        <v>624</v>
      </c>
      <c r="G46" s="375"/>
    </row>
    <row r="47" spans="2:12" x14ac:dyDescent="0.25">
      <c r="G47" s="375"/>
      <c r="J47" s="594"/>
    </row>
    <row r="48" spans="2:12" x14ac:dyDescent="0.25">
      <c r="G48" s="375"/>
    </row>
    <row r="49" spans="5:6" x14ac:dyDescent="0.25">
      <c r="F49" s="27">
        <v>7.1307</v>
      </c>
    </row>
    <row r="50" spans="5:6" x14ac:dyDescent="0.25">
      <c r="F50" s="27">
        <f>F49*F12</f>
        <v>37118730.497400001</v>
      </c>
    </row>
    <row r="51" spans="5:6" ht="15.75" x14ac:dyDescent="0.3">
      <c r="E51" s="420"/>
      <c r="F51" s="27">
        <f>F50*0.8</f>
        <v>29694984.397920001</v>
      </c>
    </row>
  </sheetData>
  <mergeCells count="2">
    <mergeCell ref="N6:S6"/>
    <mergeCell ref="J6:M6"/>
  </mergeCells>
  <hyperlinks>
    <hyperlink ref="L18" r:id="rId1" xr:uid="{CC6E9707-04B1-41FD-8B83-19BDFBE26526}"/>
    <hyperlink ref="L19" r:id="rId2" xr:uid="{8A0F78DA-9703-4A11-A62D-7660BBB7B435}"/>
  </hyperlinks>
  <pageMargins left="0.25" right="0.25" top="0.75" bottom="0.75" header="0.3" footer="0.3"/>
  <pageSetup paperSize="9" scale="64" orientation="landscape" verticalDpi="1200" r:id="rId3"/>
  <colBreaks count="1" manualBreakCount="1">
    <brk id="8" max="1048575" man="1"/>
  </colBreaks>
  <ignoredErrors>
    <ignoredError sqref="F16 E27" formula="1"/>
  </ignoredErrors>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63"/>
  <sheetViews>
    <sheetView showGridLines="0" zoomScale="70" zoomScaleNormal="70" workbookViewId="0">
      <selection activeCell="E44" sqref="E44"/>
    </sheetView>
  </sheetViews>
  <sheetFormatPr defaultColWidth="9.140625" defaultRowHeight="12.75" outlineLevelCol="1" x14ac:dyDescent="0.2"/>
  <cols>
    <col min="1" max="1" width="5.5703125" style="58" customWidth="1"/>
    <col min="2" max="2" width="22.5703125" style="58" customWidth="1"/>
    <col min="3" max="3" width="39.28515625" style="58" customWidth="1"/>
    <col min="4" max="4" width="14.140625" style="66" customWidth="1"/>
    <col min="5" max="6" width="14.140625" style="58" customWidth="1"/>
    <col min="7" max="7" width="17" style="58" customWidth="1" outlineLevel="1"/>
    <col min="8" max="8" width="19.28515625" style="68" customWidth="1" outlineLevel="1"/>
    <col min="9" max="9" width="19.7109375" style="58" customWidth="1" outlineLevel="1"/>
    <col min="10" max="10" width="17.85546875" style="58" customWidth="1"/>
    <col min="11" max="11" width="9.5703125" style="58" bestFit="1" customWidth="1"/>
    <col min="12" max="16384" width="9.140625" style="58"/>
  </cols>
  <sheetData>
    <row r="2" spans="2:15" s="57" customFormat="1" x14ac:dyDescent="0.2">
      <c r="B2" s="473" t="s">
        <v>313</v>
      </c>
      <c r="C2" s="474"/>
      <c r="D2" s="475"/>
      <c r="E2" s="476"/>
      <c r="F2" s="476"/>
      <c r="G2" s="476"/>
      <c r="H2" s="476"/>
      <c r="I2" s="476"/>
      <c r="J2" s="476"/>
      <c r="K2" s="476"/>
    </row>
    <row r="3" spans="2:15" s="57" customFormat="1" ht="36" customHeight="1" x14ac:dyDescent="0.2">
      <c r="B3" s="497" t="s">
        <v>4</v>
      </c>
      <c r="C3" s="497" t="s">
        <v>5</v>
      </c>
      <c r="D3" s="498" t="s">
        <v>6</v>
      </c>
      <c r="E3" s="499" t="s">
        <v>91</v>
      </c>
      <c r="F3" s="499" t="s">
        <v>131</v>
      </c>
      <c r="G3" s="499" t="s">
        <v>57</v>
      </c>
      <c r="H3" s="499" t="s">
        <v>415</v>
      </c>
      <c r="I3" s="499" t="s">
        <v>414</v>
      </c>
      <c r="J3" s="499" t="s">
        <v>134</v>
      </c>
      <c r="K3" s="499" t="s">
        <v>21</v>
      </c>
      <c r="N3" s="465" t="s">
        <v>119</v>
      </c>
      <c r="O3" s="466"/>
    </row>
    <row r="4" spans="2:15" ht="12.75" customHeight="1" x14ac:dyDescent="0.2">
      <c r="B4" s="477" t="str">
        <f>VLOOKUP(C4,'S | 01 '!$C$9:$F$46,4,0)</f>
        <v>Mozn</v>
      </c>
      <c r="C4" s="478" t="s">
        <v>47</v>
      </c>
      <c r="D4" s="479">
        <v>43470</v>
      </c>
      <c r="E4" s="480">
        <f t="shared" ref="E4:E27" si="0">-I4*10^-6</f>
        <v>-30</v>
      </c>
      <c r="F4" s="481"/>
      <c r="G4" s="482" t="s">
        <v>10</v>
      </c>
      <c r="H4" s="481">
        <v>30000000</v>
      </c>
      <c r="I4" s="483">
        <f t="shared" ref="I4:I14" si="1">H4</f>
        <v>30000000</v>
      </c>
      <c r="J4" s="484">
        <v>6100312</v>
      </c>
      <c r="K4" s="482"/>
      <c r="L4" s="68"/>
      <c r="N4" s="58" t="s">
        <v>90</v>
      </c>
      <c r="O4" s="68">
        <v>3.6779999999999999</v>
      </c>
    </row>
    <row r="5" spans="2:15" ht="12.75" customHeight="1" x14ac:dyDescent="0.2">
      <c r="B5" s="477" t="str">
        <f>VLOOKUP(C5,'S | 01 '!$C$9:$F$46,4,0)</f>
        <v>Mozn</v>
      </c>
      <c r="C5" s="478" t="s">
        <v>47</v>
      </c>
      <c r="D5" s="479">
        <v>43724</v>
      </c>
      <c r="E5" s="480">
        <f t="shared" si="0"/>
        <v>-20</v>
      </c>
      <c r="F5" s="481"/>
      <c r="G5" s="482" t="s">
        <v>10</v>
      </c>
      <c r="H5" s="481">
        <v>20000000</v>
      </c>
      <c r="I5" s="483">
        <f t="shared" si="1"/>
        <v>20000000</v>
      </c>
      <c r="J5" s="484">
        <v>4204767.4285714282</v>
      </c>
      <c r="K5" s="482"/>
      <c r="L5" s="68"/>
    </row>
    <row r="6" spans="2:15" ht="12.75" customHeight="1" x14ac:dyDescent="0.2">
      <c r="B6" s="477" t="str">
        <f>VLOOKUP(C6,'S | 01 '!$C$9:$F$46,4,0)</f>
        <v>Mozn</v>
      </c>
      <c r="C6" s="478" t="s">
        <v>47</v>
      </c>
      <c r="D6" s="479">
        <v>43724</v>
      </c>
      <c r="E6" s="480">
        <f t="shared" si="0"/>
        <v>-15</v>
      </c>
      <c r="F6" s="481"/>
      <c r="G6" s="482" t="s">
        <v>10</v>
      </c>
      <c r="H6" s="481">
        <v>15000000</v>
      </c>
      <c r="I6" s="483">
        <f t="shared" si="1"/>
        <v>15000000</v>
      </c>
      <c r="J6" s="484">
        <v>3153575.5714285714</v>
      </c>
      <c r="K6" s="482"/>
      <c r="L6" s="68"/>
    </row>
    <row r="7" spans="2:15" ht="12.75" customHeight="1" x14ac:dyDescent="0.2">
      <c r="B7" s="489" t="str">
        <f>VLOOKUP(C7,'S | 01 '!$C$9:$F$46,4,0)</f>
        <v>Mozn</v>
      </c>
      <c r="C7" s="490" t="s">
        <v>0</v>
      </c>
      <c r="D7" s="491">
        <v>43563</v>
      </c>
      <c r="E7" s="492">
        <f t="shared" si="0"/>
        <v>-8</v>
      </c>
      <c r="F7" s="493"/>
      <c r="G7" s="494" t="s">
        <v>10</v>
      </c>
      <c r="H7" s="493">
        <v>8000000</v>
      </c>
      <c r="I7" s="495">
        <f t="shared" si="1"/>
        <v>8000000</v>
      </c>
      <c r="J7" s="496">
        <v>21419829</v>
      </c>
      <c r="K7" s="494"/>
      <c r="L7" s="68"/>
    </row>
    <row r="8" spans="2:15" ht="12.75" customHeight="1" x14ac:dyDescent="0.2">
      <c r="B8" s="477" t="str">
        <f>VLOOKUP(C8,'S | 01 '!$C$9:$F$46,4,0)</f>
        <v>Mozn</v>
      </c>
      <c r="C8" s="478" t="s">
        <v>38</v>
      </c>
      <c r="D8" s="479">
        <v>43570</v>
      </c>
      <c r="E8" s="480">
        <f t="shared" si="0"/>
        <v>-4.9999980900000001</v>
      </c>
      <c r="F8" s="481"/>
      <c r="G8" s="482" t="s">
        <v>10</v>
      </c>
      <c r="H8" s="481">
        <v>4999998.09</v>
      </c>
      <c r="I8" s="483">
        <f t="shared" si="1"/>
        <v>4999998.09</v>
      </c>
      <c r="J8" s="484">
        <v>2625467</v>
      </c>
      <c r="K8" s="482"/>
      <c r="L8" s="68"/>
    </row>
    <row r="9" spans="2:15" ht="12.75" customHeight="1" x14ac:dyDescent="0.2">
      <c r="B9" s="477" t="str">
        <f>VLOOKUP(C9,'S | 01 '!$C$9:$F$46,4,0)</f>
        <v>Mozn</v>
      </c>
      <c r="C9" s="478" t="s">
        <v>38</v>
      </c>
      <c r="D9" s="479">
        <v>43915</v>
      </c>
      <c r="E9" s="480">
        <f t="shared" si="0"/>
        <v>-5.0000019099999999</v>
      </c>
      <c r="F9" s="481"/>
      <c r="G9" s="482" t="s">
        <v>10</v>
      </c>
      <c r="H9" s="481">
        <f>10000000-H8</f>
        <v>5000001.91</v>
      </c>
      <c r="I9" s="483">
        <f t="shared" si="1"/>
        <v>5000001.91</v>
      </c>
      <c r="J9" s="484">
        <v>2580015</v>
      </c>
      <c r="K9" s="482"/>
      <c r="L9" s="68"/>
    </row>
    <row r="10" spans="2:15" ht="12.75" customHeight="1" x14ac:dyDescent="0.2">
      <c r="B10" s="489" t="str">
        <f>VLOOKUP(C10,'S | 01 '!$C$9:$F$46,4,0)</f>
        <v>Mozn</v>
      </c>
      <c r="C10" s="490" t="s">
        <v>39</v>
      </c>
      <c r="D10" s="491">
        <v>43870</v>
      </c>
      <c r="E10" s="492">
        <f t="shared" si="0"/>
        <v>-2.5</v>
      </c>
      <c r="F10" s="493"/>
      <c r="G10" s="494" t="s">
        <v>10</v>
      </c>
      <c r="H10" s="493">
        <v>2500000</v>
      </c>
      <c r="I10" s="495">
        <f t="shared" si="1"/>
        <v>2500000</v>
      </c>
      <c r="J10" s="496" t="s">
        <v>71</v>
      </c>
      <c r="K10" s="494"/>
      <c r="L10" s="68"/>
    </row>
    <row r="11" spans="2:15" ht="12.75" customHeight="1" x14ac:dyDescent="0.2">
      <c r="B11" s="477" t="str">
        <f>VLOOKUP(C11,'S | 01 '!$C$9:$F$46,4,0)</f>
        <v>Mozn</v>
      </c>
      <c r="C11" s="478" t="s">
        <v>37</v>
      </c>
      <c r="D11" s="479">
        <v>43879</v>
      </c>
      <c r="E11" s="480">
        <f t="shared" si="0"/>
        <v>-20</v>
      </c>
      <c r="F11" s="481"/>
      <c r="G11" s="482" t="s">
        <v>10</v>
      </c>
      <c r="H11" s="481">
        <v>20000000</v>
      </c>
      <c r="I11" s="483">
        <f t="shared" si="1"/>
        <v>20000000</v>
      </c>
      <c r="J11" s="484">
        <v>4084038</v>
      </c>
      <c r="K11" s="482"/>
      <c r="L11" s="68"/>
    </row>
    <row r="12" spans="2:15" ht="12.75" customHeight="1" x14ac:dyDescent="0.2">
      <c r="B12" s="477" t="str">
        <f>VLOOKUP(C12,'S | 01 '!$C$9:$F$46,4,0)</f>
        <v>Mozn</v>
      </c>
      <c r="C12" s="478" t="s">
        <v>37</v>
      </c>
      <c r="D12" s="479">
        <v>43921</v>
      </c>
      <c r="E12" s="480">
        <f t="shared" si="0"/>
        <v>-30</v>
      </c>
      <c r="F12" s="481"/>
      <c r="G12" s="482" t="s">
        <v>10</v>
      </c>
      <c r="H12" s="481">
        <v>30000000</v>
      </c>
      <c r="I12" s="483">
        <f t="shared" si="1"/>
        <v>30000000</v>
      </c>
      <c r="J12" s="484">
        <v>5822642</v>
      </c>
      <c r="K12" s="482"/>
      <c r="L12" s="68"/>
    </row>
    <row r="13" spans="2:15" ht="12.75" customHeight="1" x14ac:dyDescent="0.2">
      <c r="B13" s="477" t="str">
        <f>VLOOKUP(C13,'S | 01 '!$C$9:$F$46,4,0)</f>
        <v>Mozn</v>
      </c>
      <c r="C13" s="478" t="s">
        <v>37</v>
      </c>
      <c r="D13" s="479">
        <v>43989</v>
      </c>
      <c r="E13" s="480">
        <f t="shared" si="0"/>
        <v>-30</v>
      </c>
      <c r="F13" s="481"/>
      <c r="G13" s="482" t="s">
        <v>10</v>
      </c>
      <c r="H13" s="481">
        <v>30000000</v>
      </c>
      <c r="I13" s="483">
        <f t="shared" si="1"/>
        <v>30000000</v>
      </c>
      <c r="J13" s="484">
        <v>5822642</v>
      </c>
      <c r="K13" s="482"/>
      <c r="L13" s="68"/>
    </row>
    <row r="14" spans="2:15" ht="12.75" customHeight="1" x14ac:dyDescent="0.2">
      <c r="B14" s="477" t="str">
        <f>VLOOKUP(C14,'S | 01 '!$C$9:$F$46,4,0)</f>
        <v>Mozn</v>
      </c>
      <c r="C14" s="478" t="s">
        <v>37</v>
      </c>
      <c r="D14" s="479">
        <v>44103</v>
      </c>
      <c r="E14" s="480">
        <f t="shared" si="0"/>
        <v>-10</v>
      </c>
      <c r="F14" s="481"/>
      <c r="G14" s="482" t="s">
        <v>10</v>
      </c>
      <c r="H14" s="481">
        <v>10000000</v>
      </c>
      <c r="I14" s="483">
        <f t="shared" si="1"/>
        <v>10000000</v>
      </c>
      <c r="J14" s="484">
        <v>1940880</v>
      </c>
      <c r="K14" s="482"/>
      <c r="L14" s="68"/>
    </row>
    <row r="15" spans="2:15" ht="12.75" customHeight="1" x14ac:dyDescent="0.2">
      <c r="B15" s="489" t="str">
        <f>VLOOKUP(C15,'S | 01 '!$C$9:$F$46,4,0)</f>
        <v>Mozn</v>
      </c>
      <c r="C15" s="490" t="s">
        <v>87</v>
      </c>
      <c r="D15" s="491">
        <v>43968</v>
      </c>
      <c r="E15" s="492">
        <f t="shared" si="0"/>
        <v>-50</v>
      </c>
      <c r="F15" s="493"/>
      <c r="G15" s="494" t="s">
        <v>10</v>
      </c>
      <c r="H15" s="493">
        <v>50000000</v>
      </c>
      <c r="I15" s="495">
        <v>50000000</v>
      </c>
      <c r="J15" s="496">
        <v>15277680</v>
      </c>
      <c r="K15" s="494"/>
      <c r="L15" s="68"/>
    </row>
    <row r="16" spans="2:15" ht="12.75" customHeight="1" x14ac:dyDescent="0.2">
      <c r="B16" s="489" t="str">
        <f>VLOOKUP(C16,'S | 01 '!$C$9:$F$46,4,0)</f>
        <v>Mozn</v>
      </c>
      <c r="C16" s="490" t="s">
        <v>87</v>
      </c>
      <c r="D16" s="491">
        <v>44006</v>
      </c>
      <c r="E16" s="492">
        <f t="shared" si="0"/>
        <v>-27.268350856443721</v>
      </c>
      <c r="F16" s="493"/>
      <c r="G16" s="494" t="s">
        <v>20</v>
      </c>
      <c r="H16" s="493">
        <v>21029625</v>
      </c>
      <c r="I16" s="495">
        <v>27268350.856443722</v>
      </c>
      <c r="J16" s="496">
        <v>9000000</v>
      </c>
      <c r="K16" s="494"/>
      <c r="L16" s="68"/>
    </row>
    <row r="17" spans="2:13" ht="12.75" customHeight="1" x14ac:dyDescent="0.2">
      <c r="B17" s="489" t="str">
        <f>VLOOKUP(C17,'S | 01 '!$C$9:$F$46,4,0)</f>
        <v>Mozn</v>
      </c>
      <c r="C17" s="490" t="s">
        <v>87</v>
      </c>
      <c r="D17" s="491">
        <v>43837</v>
      </c>
      <c r="E17" s="492">
        <f t="shared" si="0"/>
        <v>-18.109441299619355</v>
      </c>
      <c r="F17" s="493"/>
      <c r="G17" s="494" t="s">
        <v>20</v>
      </c>
      <c r="H17" s="493">
        <v>14386480</v>
      </c>
      <c r="I17" s="495">
        <v>18109441.299619358</v>
      </c>
      <c r="J17" s="496">
        <v>6362180</v>
      </c>
      <c r="K17" s="494"/>
      <c r="L17" s="68"/>
    </row>
    <row r="18" spans="2:13" ht="12.75" customHeight="1" x14ac:dyDescent="0.2">
      <c r="B18" s="489" t="str">
        <f>VLOOKUP(C18,'S | 01 '!$C$9:$F$46,4,0)</f>
        <v>Mozn</v>
      </c>
      <c r="C18" s="490" t="s">
        <v>87</v>
      </c>
      <c r="D18" s="491">
        <v>43990</v>
      </c>
      <c r="E18" s="492">
        <f t="shared" si="0"/>
        <v>-34.851687094159864</v>
      </c>
      <c r="F18" s="493"/>
      <c r="G18" s="494" t="s">
        <v>20</v>
      </c>
      <c r="H18" s="493">
        <v>26085572.879999999</v>
      </c>
      <c r="I18" s="495">
        <v>34851687.094159864</v>
      </c>
      <c r="J18" s="496">
        <v>11381140</v>
      </c>
      <c r="K18" s="494"/>
      <c r="L18" s="68"/>
    </row>
    <row r="19" spans="2:13" ht="12.75" customHeight="1" x14ac:dyDescent="0.2">
      <c r="B19" s="489" t="str">
        <f>VLOOKUP(C19,'S | 01 '!$C$9:$F$46,4,0)</f>
        <v>Mozn</v>
      </c>
      <c r="C19" s="490" t="s">
        <v>87</v>
      </c>
      <c r="D19" s="491">
        <v>44315</v>
      </c>
      <c r="E19" s="492">
        <f t="shared" si="0"/>
        <v>-11.240780424143557</v>
      </c>
      <c r="F19" s="493"/>
      <c r="G19" s="494" t="s">
        <v>20</v>
      </c>
      <c r="H19" s="493">
        <v>8074920</v>
      </c>
      <c r="I19" s="495">
        <v>11240780.424143557</v>
      </c>
      <c r="J19" s="496">
        <v>2307120</v>
      </c>
      <c r="K19" s="494"/>
      <c r="L19" s="68"/>
    </row>
    <row r="20" spans="2:13" ht="12.75" customHeight="1" x14ac:dyDescent="0.2">
      <c r="B20" s="477" t="str">
        <f>VLOOKUP(C20,'S | 01 '!$C$9:$F$46,4,0)</f>
        <v>Mozn</v>
      </c>
      <c r="C20" s="478" t="s">
        <v>9</v>
      </c>
      <c r="D20" s="479">
        <v>44166</v>
      </c>
      <c r="E20" s="480">
        <f t="shared" si="0"/>
        <v>-60</v>
      </c>
      <c r="F20" s="481"/>
      <c r="G20" s="482" t="s">
        <v>10</v>
      </c>
      <c r="H20" s="481">
        <v>60000000</v>
      </c>
      <c r="I20" s="483">
        <f>H20</f>
        <v>60000000</v>
      </c>
      <c r="J20" s="484">
        <v>3565017.22</v>
      </c>
      <c r="K20" s="482"/>
      <c r="L20" s="68"/>
    </row>
    <row r="21" spans="2:13" ht="12.75" customHeight="1" x14ac:dyDescent="0.2">
      <c r="B21" s="489" t="str">
        <f>VLOOKUP(C21,'S | 01 '!$C$9:$F$46,4,0)</f>
        <v>Mozn 1</v>
      </c>
      <c r="C21" s="490" t="s">
        <v>18</v>
      </c>
      <c r="D21" s="491">
        <v>44363</v>
      </c>
      <c r="E21" s="492">
        <f t="shared" si="0"/>
        <v>-20</v>
      </c>
      <c r="F21" s="493"/>
      <c r="G21" s="494" t="s">
        <v>10</v>
      </c>
      <c r="H21" s="493">
        <v>20000000</v>
      </c>
      <c r="I21" s="495">
        <f>H21</f>
        <v>20000000</v>
      </c>
      <c r="J21" s="496">
        <v>7959497</v>
      </c>
      <c r="K21" s="494"/>
      <c r="L21" s="68"/>
    </row>
    <row r="22" spans="2:13" ht="12.75" customHeight="1" x14ac:dyDescent="0.2">
      <c r="B22" s="477" t="str">
        <f>VLOOKUP(C22,'S | 01 '!$C$9:$F$46,4,0)</f>
        <v>Mozn</v>
      </c>
      <c r="C22" s="478" t="s">
        <v>40</v>
      </c>
      <c r="D22" s="479">
        <v>44488</v>
      </c>
      <c r="E22" s="480">
        <f t="shared" si="0"/>
        <v>-39.999983359999995</v>
      </c>
      <c r="F22" s="481"/>
      <c r="G22" s="482" t="s">
        <v>10</v>
      </c>
      <c r="H22" s="481">
        <v>39999983.359999999</v>
      </c>
      <c r="I22" s="483">
        <f>H22</f>
        <v>39999983.359999999</v>
      </c>
      <c r="J22" s="484">
        <v>1441711</v>
      </c>
      <c r="K22" s="482"/>
      <c r="L22" s="68"/>
    </row>
    <row r="23" spans="2:13" ht="12.75" customHeight="1" x14ac:dyDescent="0.2">
      <c r="B23" s="489" t="str">
        <f>VLOOKUP(C23,'S | 01 '!$C$9:$F$46,4,0)</f>
        <v>Mozn</v>
      </c>
      <c r="C23" s="490" t="s">
        <v>41</v>
      </c>
      <c r="D23" s="491">
        <v>44494</v>
      </c>
      <c r="E23" s="492">
        <f t="shared" si="0"/>
        <v>-3</v>
      </c>
      <c r="F23" s="493"/>
      <c r="G23" s="494" t="s">
        <v>10</v>
      </c>
      <c r="H23" s="493">
        <v>3000000</v>
      </c>
      <c r="I23" s="495">
        <f>H23</f>
        <v>3000000</v>
      </c>
      <c r="J23" s="496">
        <v>3000000</v>
      </c>
      <c r="K23" s="494"/>
      <c r="L23" s="68"/>
    </row>
    <row r="24" spans="2:13" ht="12.75" customHeight="1" x14ac:dyDescent="0.2">
      <c r="B24" s="477" t="str">
        <f>VLOOKUP(C24,'S | 01 '!$C$9:$F$46,4,0)</f>
        <v>Mozn</v>
      </c>
      <c r="C24" s="478" t="s">
        <v>42</v>
      </c>
      <c r="D24" s="479">
        <v>44550</v>
      </c>
      <c r="E24" s="480">
        <f t="shared" si="0"/>
        <v>-5.0237201984774336</v>
      </c>
      <c r="F24" s="481"/>
      <c r="G24" s="482" t="s">
        <v>20</v>
      </c>
      <c r="H24" s="485">
        <v>3679995.54</v>
      </c>
      <c r="I24" s="483">
        <v>5023720.198477434</v>
      </c>
      <c r="J24" s="484">
        <v>33267</v>
      </c>
      <c r="K24" s="482"/>
      <c r="L24" s="68"/>
    </row>
    <row r="25" spans="2:13" ht="12.75" customHeight="1" x14ac:dyDescent="0.2">
      <c r="B25" s="489" t="str">
        <f>VLOOKUP(C25,'S | 01 '!$C$9:$F$46,4,0)</f>
        <v>Mozn 2</v>
      </c>
      <c r="C25" s="490" t="s">
        <v>70</v>
      </c>
      <c r="D25" s="491">
        <v>44574</v>
      </c>
      <c r="E25" s="492">
        <f t="shared" si="0"/>
        <v>-493.50095619999996</v>
      </c>
      <c r="F25" s="493"/>
      <c r="G25" s="494" t="s">
        <v>10</v>
      </c>
      <c r="H25" s="493">
        <v>893500956.20000005</v>
      </c>
      <c r="I25" s="495">
        <v>493500956.19999999</v>
      </c>
      <c r="J25" s="496"/>
      <c r="K25" s="494"/>
      <c r="L25" s="68"/>
    </row>
    <row r="26" spans="2:13" ht="12.75" customHeight="1" x14ac:dyDescent="0.2">
      <c r="B26" s="477" t="str">
        <f>VLOOKUP(C26,'S | 01 '!$C$9:$F$46,4,0)</f>
        <v>G42</v>
      </c>
      <c r="C26" s="478" t="s">
        <v>19</v>
      </c>
      <c r="D26" s="479">
        <v>44643</v>
      </c>
      <c r="E26" s="480">
        <f t="shared" si="0"/>
        <v>-200</v>
      </c>
      <c r="F26" s="481"/>
      <c r="G26" s="482" t="s">
        <v>10</v>
      </c>
      <c r="H26" s="481">
        <v>200000000</v>
      </c>
      <c r="I26" s="483">
        <f>H26</f>
        <v>200000000</v>
      </c>
      <c r="J26" s="484"/>
      <c r="K26" s="482"/>
      <c r="L26" s="68"/>
    </row>
    <row r="27" spans="2:13" ht="12.75" customHeight="1" x14ac:dyDescent="0.2">
      <c r="B27" s="477" t="str">
        <f>VLOOKUP(C27,'S | 01 '!$C$9:$F$46,4,0)</f>
        <v>G42</v>
      </c>
      <c r="C27" s="478" t="s">
        <v>19</v>
      </c>
      <c r="D27" s="479">
        <v>44680</v>
      </c>
      <c r="E27" s="480">
        <f t="shared" si="0"/>
        <v>-100</v>
      </c>
      <c r="F27" s="481"/>
      <c r="G27" s="482" t="s">
        <v>10</v>
      </c>
      <c r="H27" s="481">
        <v>100000000</v>
      </c>
      <c r="I27" s="483">
        <f>H27</f>
        <v>100000000</v>
      </c>
      <c r="J27" s="484"/>
      <c r="K27" s="482"/>
      <c r="L27" s="68"/>
    </row>
    <row r="28" spans="2:13" ht="12.75" customHeight="1" x14ac:dyDescent="0.2">
      <c r="B28" s="489" t="str">
        <f>VLOOKUP(C28,'S | 01 '!$C$9:$F$46,4,0)</f>
        <v>Mozn</v>
      </c>
      <c r="C28" s="490" t="s">
        <v>39</v>
      </c>
      <c r="D28" s="491">
        <v>44691</v>
      </c>
      <c r="E28" s="492"/>
      <c r="F28" s="493">
        <v>5</v>
      </c>
      <c r="G28" s="494" t="s">
        <v>10</v>
      </c>
      <c r="H28" s="493"/>
      <c r="I28" s="495"/>
      <c r="J28" s="496"/>
      <c r="K28" s="494"/>
      <c r="L28" s="68"/>
    </row>
    <row r="29" spans="2:13" ht="12.75" customHeight="1" x14ac:dyDescent="0.2">
      <c r="B29" s="477" t="str">
        <f>VLOOKUP(C29,'S | 01 '!$C$9:$F$46,4,0)</f>
        <v>G42</v>
      </c>
      <c r="C29" s="478" t="s">
        <v>88</v>
      </c>
      <c r="D29" s="479">
        <v>44712</v>
      </c>
      <c r="E29" s="480">
        <f>-I29*10^-6</f>
        <v>-12.5</v>
      </c>
      <c r="F29" s="481"/>
      <c r="G29" s="482" t="s">
        <v>10</v>
      </c>
      <c r="H29" s="481">
        <v>12500000</v>
      </c>
      <c r="I29" s="483">
        <f t="shared" ref="I29:I35" si="2">H29</f>
        <v>12500000</v>
      </c>
      <c r="J29" s="484">
        <f>'6. %'!D22</f>
        <v>259657</v>
      </c>
      <c r="K29" s="482"/>
      <c r="L29" s="68"/>
    </row>
    <row r="30" spans="2:13" ht="12.75" customHeight="1" x14ac:dyDescent="0.2">
      <c r="B30" s="489" t="str">
        <f>VLOOKUP(C30,'S | 01 '!$C$9:$F$46,4,0)</f>
        <v>G42 3</v>
      </c>
      <c r="C30" s="490" t="s">
        <v>35</v>
      </c>
      <c r="D30" s="491">
        <v>44769</v>
      </c>
      <c r="E30" s="492">
        <f t="shared" ref="E30:E38" si="3">-I30*10^-6</f>
        <v>-600</v>
      </c>
      <c r="F30" s="493"/>
      <c r="G30" s="494" t="s">
        <v>10</v>
      </c>
      <c r="H30" s="493">
        <v>600000000</v>
      </c>
      <c r="I30" s="495">
        <f t="shared" si="2"/>
        <v>600000000</v>
      </c>
      <c r="J30" s="496"/>
      <c r="K30" s="494"/>
      <c r="L30" s="68"/>
      <c r="M30" s="57"/>
    </row>
    <row r="31" spans="2:13" ht="12.75" customHeight="1" x14ac:dyDescent="0.2">
      <c r="B31" s="489" t="str">
        <f>VLOOKUP(C31,'S | 01 '!$C$9:$F$46,4,0)</f>
        <v>G42 3</v>
      </c>
      <c r="C31" s="490" t="s">
        <v>35</v>
      </c>
      <c r="D31" s="491">
        <v>44849</v>
      </c>
      <c r="E31" s="492">
        <f t="shared" si="3"/>
        <v>-200</v>
      </c>
      <c r="F31" s="493"/>
      <c r="G31" s="494" t="s">
        <v>10</v>
      </c>
      <c r="H31" s="493">
        <v>200000000</v>
      </c>
      <c r="I31" s="495">
        <f t="shared" si="2"/>
        <v>200000000</v>
      </c>
      <c r="J31" s="496"/>
      <c r="K31" s="494"/>
      <c r="L31" s="68"/>
    </row>
    <row r="32" spans="2:13" ht="12.75" customHeight="1" x14ac:dyDescent="0.2">
      <c r="B32" s="477" t="str">
        <f>VLOOKUP(C32,'S | 01 '!$C$9:$F$46,4,0)</f>
        <v>Mozn</v>
      </c>
      <c r="C32" s="478" t="s">
        <v>246</v>
      </c>
      <c r="D32" s="479">
        <v>44861</v>
      </c>
      <c r="E32" s="480">
        <f t="shared" si="3"/>
        <v>-4.75</v>
      </c>
      <c r="F32" s="481"/>
      <c r="G32" s="482" t="s">
        <v>10</v>
      </c>
      <c r="H32" s="481">
        <v>4750000</v>
      </c>
      <c r="I32" s="483">
        <f t="shared" si="2"/>
        <v>4750000</v>
      </c>
      <c r="J32" s="484"/>
      <c r="K32" s="482"/>
      <c r="L32" s="68"/>
    </row>
    <row r="33" spans="2:13" ht="12.75" customHeight="1" x14ac:dyDescent="0.2">
      <c r="B33" s="489" t="str">
        <f>VLOOKUP(C33,'S | 01 '!$C$9:$F$46,4,0)</f>
        <v>Mozn 4</v>
      </c>
      <c r="C33" s="490" t="s">
        <v>276</v>
      </c>
      <c r="D33" s="491">
        <v>44892</v>
      </c>
      <c r="E33" s="492">
        <f t="shared" si="3"/>
        <v>-15</v>
      </c>
      <c r="F33" s="493"/>
      <c r="G33" s="494" t="s">
        <v>10</v>
      </c>
      <c r="H33" s="493">
        <v>15000000</v>
      </c>
      <c r="I33" s="495">
        <f t="shared" si="2"/>
        <v>15000000</v>
      </c>
      <c r="J33" s="496"/>
      <c r="K33" s="494"/>
      <c r="L33" s="68"/>
      <c r="M33" s="57"/>
    </row>
    <row r="34" spans="2:13" ht="12.75" customHeight="1" x14ac:dyDescent="0.2">
      <c r="B34" s="477" t="str">
        <f>VLOOKUP(C34,'S | 01 '!$C$9:$F$46,4,0)</f>
        <v>G42</v>
      </c>
      <c r="C34" s="478" t="s">
        <v>88</v>
      </c>
      <c r="D34" s="479">
        <v>44985</v>
      </c>
      <c r="E34" s="480">
        <f t="shared" si="3"/>
        <v>-12.03125</v>
      </c>
      <c r="F34" s="481"/>
      <c r="G34" s="482" t="s">
        <v>10</v>
      </c>
      <c r="H34" s="481">
        <v>12031250</v>
      </c>
      <c r="I34" s="483">
        <f t="shared" si="2"/>
        <v>12031250</v>
      </c>
      <c r="J34" s="484">
        <v>10386274</v>
      </c>
      <c r="K34" s="482"/>
      <c r="L34" s="68"/>
    </row>
    <row r="35" spans="2:13" ht="12.75" customHeight="1" x14ac:dyDescent="0.2">
      <c r="B35" s="489" t="str">
        <f>VLOOKUP(C35,'S | 01 '!$C$9:$F$46,4,0)</f>
        <v>Mozn</v>
      </c>
      <c r="C35" s="490" t="s">
        <v>348</v>
      </c>
      <c r="D35" s="491">
        <v>45075</v>
      </c>
      <c r="E35" s="492">
        <f t="shared" si="3"/>
        <v>-14.999998939999999</v>
      </c>
      <c r="F35" s="493"/>
      <c r="G35" s="494" t="s">
        <v>10</v>
      </c>
      <c r="H35" s="493">
        <v>14999998.939999999</v>
      </c>
      <c r="I35" s="495">
        <f t="shared" si="2"/>
        <v>14999998.939999999</v>
      </c>
      <c r="J35" s="496"/>
      <c r="K35" s="494"/>
      <c r="L35" s="68"/>
    </row>
    <row r="36" spans="2:13" ht="12.75" customHeight="1" x14ac:dyDescent="0.2">
      <c r="B36" s="477" t="str">
        <f>VLOOKUP(C36,'S | 01 '!$C$9:$F$46,4,0)</f>
        <v>Mozn</v>
      </c>
      <c r="C36" s="478" t="s">
        <v>413</v>
      </c>
      <c r="D36" s="479">
        <v>45075</v>
      </c>
      <c r="E36" s="480">
        <f t="shared" si="3"/>
        <v>-5.875E-3</v>
      </c>
      <c r="F36" s="481"/>
      <c r="G36" s="482" t="s">
        <v>10</v>
      </c>
      <c r="H36" s="481"/>
      <c r="I36" s="483">
        <v>5875</v>
      </c>
      <c r="J36" s="484"/>
      <c r="K36" s="482"/>
      <c r="L36" s="68"/>
    </row>
    <row r="37" spans="2:13" ht="12.75" customHeight="1" x14ac:dyDescent="0.2">
      <c r="B37" s="477" t="str">
        <f>VLOOKUP(C37,'S | 01 '!$C$9:$F$46,4,0)</f>
        <v>Mozn</v>
      </c>
      <c r="C37" s="478" t="s">
        <v>413</v>
      </c>
      <c r="D37" s="479">
        <v>45114</v>
      </c>
      <c r="E37" s="480">
        <f t="shared" si="3"/>
        <v>-1E-3</v>
      </c>
      <c r="F37" s="481"/>
      <c r="G37" s="482" t="s">
        <v>10</v>
      </c>
      <c r="H37" s="481"/>
      <c r="I37" s="483">
        <v>1000</v>
      </c>
      <c r="J37" s="484"/>
      <c r="K37" s="482"/>
      <c r="L37" s="68"/>
    </row>
    <row r="38" spans="2:13" ht="12.75" customHeight="1" x14ac:dyDescent="0.2">
      <c r="B38" s="489" t="str">
        <f>VLOOKUP(C38,'S | 01 '!$C$9:$F$46,4,0)</f>
        <v>Mozn</v>
      </c>
      <c r="C38" s="490" t="s">
        <v>246</v>
      </c>
      <c r="D38" s="491">
        <v>45121</v>
      </c>
      <c r="E38" s="492">
        <f t="shared" si="3"/>
        <v>-2.75</v>
      </c>
      <c r="F38" s="493"/>
      <c r="G38" s="494" t="s">
        <v>10</v>
      </c>
      <c r="H38" s="493"/>
      <c r="I38" s="495">
        <v>2750000</v>
      </c>
      <c r="J38" s="496"/>
      <c r="K38" s="494"/>
      <c r="L38" s="68"/>
    </row>
    <row r="39" spans="2:13" ht="12.75" customHeight="1" x14ac:dyDescent="0.2">
      <c r="B39" s="477" t="str">
        <f>VLOOKUP(C39,'S | 01 '!$C$9:$F$46,4,0)</f>
        <v>Mozn</v>
      </c>
      <c r="C39" s="478" t="s">
        <v>42</v>
      </c>
      <c r="D39" s="479">
        <v>45138</v>
      </c>
      <c r="E39" s="480"/>
      <c r="F39" s="481">
        <f>I39*10^-6</f>
        <v>7.8207760999999989</v>
      </c>
      <c r="G39" s="482" t="s">
        <v>10</v>
      </c>
      <c r="H39" s="486">
        <v>6090345.2199999997</v>
      </c>
      <c r="I39" s="483">
        <v>7820776.0999999996</v>
      </c>
      <c r="J39" s="484"/>
      <c r="K39" s="482"/>
      <c r="L39" s="372"/>
    </row>
    <row r="40" spans="2:13" ht="12.75" customHeight="1" x14ac:dyDescent="0.2">
      <c r="B40" s="489" t="str">
        <f>VLOOKUP(C40,'S | 01 '!$C$9:$F$46,4,0)</f>
        <v>Mozn 1</v>
      </c>
      <c r="C40" s="490" t="s">
        <v>18</v>
      </c>
      <c r="D40" s="491">
        <v>45149</v>
      </c>
      <c r="E40" s="492"/>
      <c r="F40" s="493">
        <v>24.5</v>
      </c>
      <c r="G40" s="494" t="s">
        <v>10</v>
      </c>
      <c r="H40" s="493"/>
      <c r="I40" s="495">
        <v>24500000</v>
      </c>
      <c r="J40" s="496">
        <v>7959497</v>
      </c>
      <c r="K40" s="494"/>
      <c r="L40" s="372"/>
    </row>
    <row r="41" spans="2:13" ht="12.75" customHeight="1" x14ac:dyDescent="0.2">
      <c r="B41" s="477" t="str">
        <f>VLOOKUP(C41,'S | 01 '!$C$9:$F$46,4,0)</f>
        <v>Mozn</v>
      </c>
      <c r="C41" s="478" t="s">
        <v>41</v>
      </c>
      <c r="D41" s="479">
        <v>45167</v>
      </c>
      <c r="E41" s="480">
        <f t="shared" ref="E41" si="4">-I41*10^-6</f>
        <v>-5</v>
      </c>
      <c r="F41" s="481"/>
      <c r="G41" s="482" t="s">
        <v>10</v>
      </c>
      <c r="H41" s="481"/>
      <c r="I41" s="483">
        <v>5000000</v>
      </c>
      <c r="J41" s="484">
        <v>5000000</v>
      </c>
      <c r="K41" s="482"/>
      <c r="L41" s="372"/>
    </row>
    <row r="42" spans="2:13" ht="12.75" customHeight="1" x14ac:dyDescent="0.2">
      <c r="B42" s="489" t="str">
        <f>VLOOKUP(C42,'S | 01 '!$C$9:$F$46,4,0)</f>
        <v>Mozn</v>
      </c>
      <c r="C42" s="490" t="s">
        <v>424</v>
      </c>
      <c r="D42" s="491">
        <v>45167</v>
      </c>
      <c r="E42" s="492">
        <v>-6</v>
      </c>
      <c r="F42" s="493"/>
      <c r="G42" s="494" t="s">
        <v>10</v>
      </c>
      <c r="H42" s="493"/>
      <c r="I42" s="495">
        <v>6000000</v>
      </c>
      <c r="J42" s="496">
        <f>I42/1.34</f>
        <v>4477611.940298507</v>
      </c>
      <c r="K42" s="494"/>
      <c r="L42" s="372"/>
    </row>
    <row r="43" spans="2:13" ht="12.75" customHeight="1" x14ac:dyDescent="0.2">
      <c r="B43" s="477" t="str">
        <f>VLOOKUP(C43,'S | 01 '!$C$9:$F$46,4,0)</f>
        <v>G42 3</v>
      </c>
      <c r="C43" s="478" t="s">
        <v>35</v>
      </c>
      <c r="D43" s="479">
        <v>45224</v>
      </c>
      <c r="E43" s="480"/>
      <c r="F43" s="487">
        <v>2.8</v>
      </c>
      <c r="G43" s="482" t="s">
        <v>10</v>
      </c>
      <c r="H43" s="481"/>
      <c r="I43" s="483"/>
      <c r="J43" s="484"/>
      <c r="K43" s="482"/>
      <c r="L43" s="372"/>
    </row>
    <row r="44" spans="2:13" ht="12.75" customHeight="1" x14ac:dyDescent="0.2">
      <c r="B44" s="489" t="str">
        <f>VLOOKUP(C44,'S | 01 '!$C$9:$F$46,4,0)</f>
        <v>G42 3</v>
      </c>
      <c r="C44" s="490" t="s">
        <v>35</v>
      </c>
      <c r="D44" s="491">
        <v>45224</v>
      </c>
      <c r="E44" s="492"/>
      <c r="F44" s="493">
        <v>800</v>
      </c>
      <c r="G44" s="494" t="s">
        <v>10</v>
      </c>
      <c r="H44" s="493"/>
      <c r="I44" s="495"/>
      <c r="J44" s="496"/>
      <c r="K44" s="494"/>
      <c r="L44" s="372"/>
    </row>
    <row r="45" spans="2:13" ht="12.75" customHeight="1" x14ac:dyDescent="0.2">
      <c r="B45" s="477" t="str">
        <f>VLOOKUP(C45,'S | 01 '!$C$9:$F$46,4,0)</f>
        <v>Mozn 2</v>
      </c>
      <c r="C45" s="478" t="s">
        <v>70</v>
      </c>
      <c r="D45" s="479">
        <v>45224</v>
      </c>
      <c r="E45" s="480"/>
      <c r="F45" s="487">
        <v>403</v>
      </c>
      <c r="G45" s="482" t="s">
        <v>10</v>
      </c>
      <c r="H45" s="481"/>
      <c r="I45" s="483"/>
      <c r="J45" s="484"/>
      <c r="K45" s="482"/>
      <c r="L45" s="372"/>
    </row>
    <row r="46" spans="2:13" ht="12.75" customHeight="1" x14ac:dyDescent="0.2">
      <c r="B46" s="489" t="str">
        <f>VLOOKUP(C46,'S | 01 '!$C$9:$F$46,4,0)</f>
        <v>Mozn</v>
      </c>
      <c r="C46" s="490" t="s">
        <v>42</v>
      </c>
      <c r="D46" s="491">
        <v>45224</v>
      </c>
      <c r="E46" s="492"/>
      <c r="F46" s="493">
        <v>0.12141643000000001</v>
      </c>
      <c r="G46" s="494" t="s">
        <v>10</v>
      </c>
      <c r="H46" s="493"/>
      <c r="I46" s="495"/>
      <c r="J46" s="496"/>
      <c r="K46" s="494"/>
      <c r="L46" s="372"/>
    </row>
    <row r="47" spans="2:13" ht="12.75" customHeight="1" x14ac:dyDescent="0.2">
      <c r="B47" s="477" t="str">
        <f>VLOOKUP(C47,'S | 01 '!$C$9:$F$46,4,0)</f>
        <v>Mozn</v>
      </c>
      <c r="C47" s="478" t="s">
        <v>246</v>
      </c>
      <c r="D47" s="479">
        <v>45295</v>
      </c>
      <c r="E47" s="480">
        <f t="shared" ref="E47:E48" si="5">-I47*10^-6</f>
        <v>-4</v>
      </c>
      <c r="F47" s="481"/>
      <c r="G47" s="482" t="s">
        <v>10</v>
      </c>
      <c r="H47" s="481">
        <v>4000000</v>
      </c>
      <c r="I47" s="483">
        <f t="shared" ref="I47" si="6">H47</f>
        <v>4000000</v>
      </c>
      <c r="J47" s="484"/>
      <c r="K47" s="482"/>
      <c r="L47" s="372"/>
    </row>
    <row r="48" spans="2:13" ht="12.75" customHeight="1" x14ac:dyDescent="0.2">
      <c r="B48" s="489" t="str">
        <f>VLOOKUP(C48,'S | 01 '!$C$9:$F$46,4,0)</f>
        <v>Core42 5</v>
      </c>
      <c r="C48" s="490" t="s">
        <v>467</v>
      </c>
      <c r="D48" s="491">
        <v>45322</v>
      </c>
      <c r="E48" s="492">
        <f t="shared" si="5"/>
        <v>-2.5</v>
      </c>
      <c r="F48" s="493"/>
      <c r="G48" s="494" t="s">
        <v>10</v>
      </c>
      <c r="H48" s="493">
        <f>I48</f>
        <v>2500000</v>
      </c>
      <c r="I48" s="495">
        <v>2500000</v>
      </c>
      <c r="J48" s="496"/>
      <c r="K48" s="494"/>
      <c r="L48" s="372"/>
    </row>
    <row r="49" spans="2:12" ht="12.75" customHeight="1" x14ac:dyDescent="0.2">
      <c r="B49" s="477" t="str">
        <f>VLOOKUP(C49,'S | 01 '!$C$9:$F$46,4,0)</f>
        <v>G42 Capital</v>
      </c>
      <c r="C49" s="478" t="s">
        <v>607</v>
      </c>
      <c r="D49" s="479">
        <v>45349</v>
      </c>
      <c r="E49" s="480">
        <f t="shared" ref="E49" si="7">-I49*10^-6</f>
        <v>-20</v>
      </c>
      <c r="F49" s="481"/>
      <c r="G49" s="482" t="s">
        <v>10</v>
      </c>
      <c r="H49" s="481"/>
      <c r="I49" s="483">
        <v>20000000</v>
      </c>
      <c r="J49" s="484"/>
      <c r="K49" s="482"/>
      <c r="L49" s="372"/>
    </row>
    <row r="50" spans="2:12" ht="12.75" customHeight="1" x14ac:dyDescent="0.2">
      <c r="B50" s="489" t="s">
        <v>608</v>
      </c>
      <c r="C50" s="490" t="s">
        <v>685</v>
      </c>
      <c r="D50" s="491">
        <v>45463</v>
      </c>
      <c r="E50" s="492">
        <v>-10</v>
      </c>
      <c r="F50" s="493"/>
      <c r="G50" s="494" t="s">
        <v>10</v>
      </c>
      <c r="H50" s="493"/>
      <c r="I50" s="495">
        <v>10000000</v>
      </c>
      <c r="J50" s="496"/>
      <c r="K50" s="494"/>
      <c r="L50" s="372"/>
    </row>
    <row r="51" spans="2:12" ht="12.75" customHeight="1" x14ac:dyDescent="0.2">
      <c r="B51" s="477"/>
      <c r="C51" s="478"/>
      <c r="D51" s="479"/>
      <c r="E51" s="480"/>
      <c r="F51" s="481"/>
      <c r="G51" s="482"/>
      <c r="H51" s="481"/>
      <c r="I51" s="483"/>
      <c r="J51" s="484"/>
      <c r="K51" s="482"/>
      <c r="L51" s="372"/>
    </row>
    <row r="52" spans="2:12" ht="12.75" customHeight="1" x14ac:dyDescent="0.2">
      <c r="B52" s="59"/>
      <c r="C52" s="60"/>
      <c r="D52" s="61"/>
      <c r="E52" s="63"/>
      <c r="F52" s="63"/>
      <c r="G52" s="62"/>
      <c r="H52" s="93"/>
      <c r="I52" s="419"/>
      <c r="J52" s="64"/>
      <c r="K52" s="64"/>
      <c r="L52" s="372"/>
    </row>
    <row r="53" spans="2:12" x14ac:dyDescent="0.2">
      <c r="D53" s="266"/>
      <c r="H53" s="65"/>
      <c r="I53" s="371"/>
    </row>
    <row r="54" spans="2:12" s="57" customFormat="1" x14ac:dyDescent="0.2">
      <c r="B54" s="473" t="s">
        <v>132</v>
      </c>
      <c r="C54" s="474"/>
      <c r="D54" s="475"/>
      <c r="E54" s="476"/>
      <c r="F54" s="476"/>
      <c r="G54" s="476"/>
      <c r="H54" s="476"/>
      <c r="I54" s="476"/>
      <c r="J54" s="476"/>
      <c r="K54" s="476"/>
    </row>
    <row r="55" spans="2:12" ht="12.75" customHeight="1" x14ac:dyDescent="0.2">
      <c r="B55" s="477" t="s">
        <v>8</v>
      </c>
      <c r="C55" s="478" t="s">
        <v>48</v>
      </c>
      <c r="D55" s="479">
        <v>43635</v>
      </c>
      <c r="E55" s="480">
        <v>-8</v>
      </c>
      <c r="F55" s="481"/>
      <c r="G55" s="482" t="s">
        <v>10</v>
      </c>
      <c r="H55" s="481">
        <v>8000000</v>
      </c>
      <c r="I55" s="488">
        <f>H55</f>
        <v>8000000</v>
      </c>
      <c r="J55" s="484"/>
      <c r="K55" s="482"/>
    </row>
    <row r="56" spans="2:12" ht="12.75" customHeight="1" x14ac:dyDescent="0.2">
      <c r="B56" s="489" t="s">
        <v>8</v>
      </c>
      <c r="C56" s="490" t="s">
        <v>248</v>
      </c>
      <c r="D56" s="491">
        <v>44293</v>
      </c>
      <c r="E56" s="492">
        <v>-2.3539819999999998</v>
      </c>
      <c r="F56" s="493"/>
      <c r="G56" s="494" t="s">
        <v>10</v>
      </c>
      <c r="H56" s="493">
        <f>-E56*10^6</f>
        <v>2353982</v>
      </c>
      <c r="I56" s="495">
        <f>H56</f>
        <v>2353982</v>
      </c>
      <c r="J56" s="496"/>
      <c r="K56" s="494"/>
    </row>
    <row r="57" spans="2:12" ht="12.75" customHeight="1" x14ac:dyDescent="0.2">
      <c r="B57" s="477" t="s">
        <v>8</v>
      </c>
      <c r="C57" s="478" t="s">
        <v>240</v>
      </c>
      <c r="D57" s="479">
        <v>44384</v>
      </c>
      <c r="E57" s="480">
        <f>-I57*10^-6</f>
        <v>-0.41176499999999999</v>
      </c>
      <c r="F57" s="481"/>
      <c r="G57" s="482" t="s">
        <v>10</v>
      </c>
      <c r="H57" s="481">
        <v>2500000</v>
      </c>
      <c r="I57" s="488">
        <v>411765</v>
      </c>
      <c r="J57" s="484"/>
      <c r="K57" s="482"/>
    </row>
    <row r="58" spans="2:12" x14ac:dyDescent="0.2">
      <c r="B58" s="489" t="s">
        <v>8</v>
      </c>
      <c r="C58" s="490" t="s">
        <v>240</v>
      </c>
      <c r="D58" s="491">
        <v>44902</v>
      </c>
      <c r="E58" s="492"/>
      <c r="F58" s="493">
        <f>(411765+59019.65)*10^-6</f>
        <v>0.47078465000000003</v>
      </c>
      <c r="G58" s="494" t="s">
        <v>10</v>
      </c>
      <c r="H58" s="493">
        <f>F58*10^6</f>
        <v>470784.65</v>
      </c>
      <c r="I58" s="495">
        <v>470784.65</v>
      </c>
      <c r="J58" s="496"/>
      <c r="K58" s="494"/>
    </row>
    <row r="59" spans="2:12" x14ac:dyDescent="0.2">
      <c r="D59" s="267"/>
      <c r="I59" s="371"/>
      <c r="J59" s="67"/>
    </row>
    <row r="60" spans="2:12" x14ac:dyDescent="0.2">
      <c r="I60" s="371"/>
      <c r="J60" s="67"/>
    </row>
    <row r="61" spans="2:12" x14ac:dyDescent="0.2">
      <c r="I61" s="371"/>
    </row>
    <row r="62" spans="2:12" x14ac:dyDescent="0.2">
      <c r="I62" s="371"/>
    </row>
    <row r="63" spans="2:12" x14ac:dyDescent="0.2">
      <c r="I63" s="371"/>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56"/>
  <sheetViews>
    <sheetView topLeftCell="A14" zoomScaleNormal="100" workbookViewId="0">
      <selection activeCell="E50" sqref="E50"/>
    </sheetView>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25.85546875"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473" t="s">
        <v>633</v>
      </c>
      <c r="C2" s="474"/>
      <c r="D2" s="475"/>
      <c r="E2" s="476"/>
      <c r="F2" s="476"/>
      <c r="G2" s="476"/>
      <c r="H2" s="476"/>
      <c r="I2" s="476"/>
    </row>
    <row r="3" spans="2:10" s="51" customFormat="1" ht="33.75" customHeight="1" x14ac:dyDescent="0.2">
      <c r="B3" s="499" t="s">
        <v>115</v>
      </c>
      <c r="C3" s="499" t="s">
        <v>5</v>
      </c>
      <c r="D3" s="499" t="s">
        <v>6</v>
      </c>
      <c r="E3" s="499" t="s">
        <v>159</v>
      </c>
      <c r="F3" s="499" t="s">
        <v>160</v>
      </c>
      <c r="G3" s="499" t="s">
        <v>22</v>
      </c>
      <c r="H3" s="499" t="s">
        <v>154</v>
      </c>
      <c r="I3" s="499" t="s">
        <v>7</v>
      </c>
      <c r="J3" s="397" t="s">
        <v>322</v>
      </c>
    </row>
    <row r="4" spans="2:10" s="54" customFormat="1" ht="15.75" customHeight="1" x14ac:dyDescent="0.25">
      <c r="B4" s="482" t="s">
        <v>11</v>
      </c>
      <c r="C4" s="477" t="s">
        <v>12</v>
      </c>
      <c r="D4" s="479">
        <v>44153</v>
      </c>
      <c r="E4" s="487">
        <f>H4</f>
        <v>-10.5</v>
      </c>
      <c r="F4" s="487"/>
      <c r="G4" s="482" t="s">
        <v>10</v>
      </c>
      <c r="H4" s="487">
        <v>-10.5</v>
      </c>
      <c r="I4" s="482" t="s">
        <v>13</v>
      </c>
      <c r="J4" s="394">
        <f>SUM(E4:E58)</f>
        <v>-140.87350187458156</v>
      </c>
    </row>
    <row r="5" spans="2:10" s="54" customFormat="1" ht="15.75" customHeight="1" x14ac:dyDescent="0.25">
      <c r="B5" s="482" t="s">
        <v>11</v>
      </c>
      <c r="C5" s="477" t="s">
        <v>12</v>
      </c>
      <c r="D5" s="479">
        <v>44238</v>
      </c>
      <c r="E5" s="487">
        <f>H5</f>
        <v>4.2140269999999997</v>
      </c>
      <c r="F5" s="487"/>
      <c r="G5" s="500" t="s">
        <v>10</v>
      </c>
      <c r="H5" s="487">
        <v>4.2140269999999997</v>
      </c>
      <c r="I5" s="482" t="s">
        <v>14</v>
      </c>
      <c r="J5" s="395">
        <f ca="1">'S | 01 '!K47</f>
        <v>140.87350187458156</v>
      </c>
    </row>
    <row r="6" spans="2:10" s="54" customFormat="1" ht="15.75" customHeight="1" x14ac:dyDescent="0.25">
      <c r="B6" s="482" t="s">
        <v>11</v>
      </c>
      <c r="C6" s="477" t="s">
        <v>12</v>
      </c>
      <c r="D6" s="479">
        <v>44238</v>
      </c>
      <c r="E6" s="487"/>
      <c r="F6" s="487">
        <f>H6</f>
        <v>5.0448349999999996E-2</v>
      </c>
      <c r="G6" s="500" t="s">
        <v>10</v>
      </c>
      <c r="H6" s="487">
        <v>5.0448349999999996E-2</v>
      </c>
      <c r="I6" s="482" t="s">
        <v>17</v>
      </c>
      <c r="J6" s="395" t="b">
        <f ca="1">ROUND(J5,5)=-ROUND(J4,5)</f>
        <v>1</v>
      </c>
    </row>
    <row r="7" spans="2:10" s="54" customFormat="1" ht="15.75" customHeight="1" x14ac:dyDescent="0.2">
      <c r="B7" s="482" t="s">
        <v>11</v>
      </c>
      <c r="C7" s="477" t="s">
        <v>12</v>
      </c>
      <c r="D7" s="479">
        <v>44285</v>
      </c>
      <c r="E7" s="487">
        <f>H7</f>
        <v>-6.4337459999999993</v>
      </c>
      <c r="F7" s="487"/>
      <c r="G7" s="500" t="s">
        <v>10</v>
      </c>
      <c r="H7" s="487">
        <v>-6.4337459999999993</v>
      </c>
      <c r="I7" s="482" t="s">
        <v>15</v>
      </c>
      <c r="J7" s="396"/>
    </row>
    <row r="8" spans="2:10" s="54" customFormat="1" ht="15.75" customHeight="1" x14ac:dyDescent="0.2">
      <c r="B8" s="482" t="s">
        <v>11</v>
      </c>
      <c r="C8" s="477" t="s">
        <v>12</v>
      </c>
      <c r="D8" s="479">
        <v>44269</v>
      </c>
      <c r="E8" s="487">
        <f>H8</f>
        <v>1.1352073899999999</v>
      </c>
      <c r="F8" s="487"/>
      <c r="G8" s="500" t="s">
        <v>10</v>
      </c>
      <c r="H8" s="487">
        <v>1.1352073899999999</v>
      </c>
      <c r="I8" s="482" t="s">
        <v>16</v>
      </c>
      <c r="J8" s="396"/>
    </row>
    <row r="9" spans="2:10" s="54" customFormat="1" ht="15.75" customHeight="1" x14ac:dyDescent="0.2">
      <c r="B9" s="482" t="s">
        <v>11</v>
      </c>
      <c r="C9" s="477" t="s">
        <v>12</v>
      </c>
      <c r="D9" s="479">
        <v>44269</v>
      </c>
      <c r="E9" s="487"/>
      <c r="F9" s="487">
        <f>H9</f>
        <v>2.5899999999999999E-2</v>
      </c>
      <c r="G9" s="482" t="s">
        <v>10</v>
      </c>
      <c r="H9" s="487">
        <v>2.5899999999999999E-2</v>
      </c>
      <c r="I9" s="482" t="s">
        <v>17</v>
      </c>
      <c r="J9" s="396"/>
    </row>
    <row r="10" spans="2:10" s="54" customFormat="1" ht="15.75" customHeight="1" x14ac:dyDescent="0.2">
      <c r="B10" s="482" t="s">
        <v>11</v>
      </c>
      <c r="C10" s="477" t="s">
        <v>12</v>
      </c>
      <c r="D10" s="479">
        <v>44483</v>
      </c>
      <c r="E10" s="487">
        <f>H10</f>
        <v>-7.5671379999999999</v>
      </c>
      <c r="F10" s="487"/>
      <c r="G10" s="482" t="s">
        <v>10</v>
      </c>
      <c r="H10" s="487">
        <v>-7.5671379999999999</v>
      </c>
      <c r="I10" s="482" t="s">
        <v>103</v>
      </c>
      <c r="J10" s="396"/>
    </row>
    <row r="11" spans="2:10" s="54" customFormat="1" ht="15.75" customHeight="1" x14ac:dyDescent="0.2">
      <c r="B11" s="482" t="s">
        <v>11</v>
      </c>
      <c r="C11" s="477" t="s">
        <v>12</v>
      </c>
      <c r="D11" s="479">
        <v>44554</v>
      </c>
      <c r="E11" s="487">
        <f>H11</f>
        <v>-7.3850159999999994</v>
      </c>
      <c r="F11" s="487"/>
      <c r="G11" s="482" t="s">
        <v>10</v>
      </c>
      <c r="H11" s="487">
        <v>-7.3850159999999994</v>
      </c>
      <c r="I11" s="482" t="s">
        <v>104</v>
      </c>
    </row>
    <row r="12" spans="2:10" s="54" customFormat="1" ht="15.75" customHeight="1" x14ac:dyDescent="0.2">
      <c r="B12" s="482" t="s">
        <v>11</v>
      </c>
      <c r="C12" s="477" t="s">
        <v>12</v>
      </c>
      <c r="D12" s="479">
        <v>44554</v>
      </c>
      <c r="E12" s="487">
        <f>H12</f>
        <v>4.0733456099999996</v>
      </c>
      <c r="F12" s="487"/>
      <c r="G12" s="482" t="s">
        <v>10</v>
      </c>
      <c r="H12" s="487">
        <v>4.0733456099999996</v>
      </c>
      <c r="I12" s="482" t="s">
        <v>16</v>
      </c>
    </row>
    <row r="13" spans="2:10" s="54" customFormat="1" ht="15.75" customHeight="1" x14ac:dyDescent="0.2">
      <c r="B13" s="482" t="s">
        <v>11</v>
      </c>
      <c r="C13" s="477" t="s">
        <v>12</v>
      </c>
      <c r="D13" s="479">
        <v>44554</v>
      </c>
      <c r="E13" s="487"/>
      <c r="F13" s="487">
        <f>H13</f>
        <v>0.13969399999999998</v>
      </c>
      <c r="G13" s="482" t="s">
        <v>10</v>
      </c>
      <c r="H13" s="487">
        <v>0.13969399999999998</v>
      </c>
      <c r="I13" s="482" t="s">
        <v>17</v>
      </c>
    </row>
    <row r="14" spans="2:10" s="54" customFormat="1" ht="15.75" customHeight="1" x14ac:dyDescent="0.2">
      <c r="B14" s="482" t="s">
        <v>11</v>
      </c>
      <c r="C14" s="477" t="s">
        <v>12</v>
      </c>
      <c r="D14" s="479">
        <v>44703</v>
      </c>
      <c r="E14" s="487">
        <f>H14</f>
        <v>5.6730739999999997</v>
      </c>
      <c r="F14" s="487"/>
      <c r="G14" s="482" t="s">
        <v>10</v>
      </c>
      <c r="H14" s="487">
        <v>5.6730739999999997</v>
      </c>
      <c r="I14" s="482" t="s">
        <v>16</v>
      </c>
    </row>
    <row r="15" spans="2:10" s="54" customFormat="1" ht="15.75" customHeight="1" x14ac:dyDescent="0.2">
      <c r="B15" s="482" t="s">
        <v>11</v>
      </c>
      <c r="C15" s="477" t="s">
        <v>12</v>
      </c>
      <c r="D15" s="479">
        <v>44703</v>
      </c>
      <c r="E15" s="487"/>
      <c r="F15" s="487">
        <f>H15</f>
        <v>0.22778599999999999</v>
      </c>
      <c r="G15" s="482" t="s">
        <v>10</v>
      </c>
      <c r="H15" s="487">
        <v>0.22778599999999999</v>
      </c>
      <c r="I15" s="482" t="s">
        <v>17</v>
      </c>
    </row>
    <row r="16" spans="2:10" s="54" customFormat="1" ht="15.75" customHeight="1" x14ac:dyDescent="0.2">
      <c r="B16" s="482" t="s">
        <v>11</v>
      </c>
      <c r="C16" s="477" t="s">
        <v>12</v>
      </c>
      <c r="D16" s="479">
        <v>44776</v>
      </c>
      <c r="E16" s="487">
        <f>H16</f>
        <v>-3.235493</v>
      </c>
      <c r="F16" s="487"/>
      <c r="G16" s="482" t="s">
        <v>10</v>
      </c>
      <c r="H16" s="487">
        <v>-3.235493</v>
      </c>
      <c r="I16" s="482" t="s">
        <v>106</v>
      </c>
    </row>
    <row r="17" spans="2:9" s="54" customFormat="1" ht="15.75" customHeight="1" x14ac:dyDescent="0.2">
      <c r="B17" s="482" t="s">
        <v>11</v>
      </c>
      <c r="C17" s="477" t="s">
        <v>12</v>
      </c>
      <c r="D17" s="479">
        <v>44960</v>
      </c>
      <c r="E17" s="487">
        <f>H17</f>
        <v>-2.6315279999999999</v>
      </c>
      <c r="F17" s="487"/>
      <c r="G17" s="482" t="s">
        <v>10</v>
      </c>
      <c r="H17" s="487">
        <v>-2.6315279999999999</v>
      </c>
      <c r="I17" s="482" t="s">
        <v>108</v>
      </c>
    </row>
    <row r="18" spans="2:9" s="54" customFormat="1" ht="15.75" customHeight="1" x14ac:dyDescent="0.2">
      <c r="B18" s="482" t="s">
        <v>11</v>
      </c>
      <c r="C18" s="477" t="s">
        <v>12</v>
      </c>
      <c r="D18" s="479">
        <v>45085</v>
      </c>
      <c r="E18" s="487">
        <f>H18</f>
        <v>1.9125570000000001</v>
      </c>
      <c r="F18" s="487"/>
      <c r="G18" s="482" t="s">
        <v>10</v>
      </c>
      <c r="H18" s="487">
        <v>1.9125570000000001</v>
      </c>
      <c r="I18" s="482" t="s">
        <v>16</v>
      </c>
    </row>
    <row r="19" spans="2:9" s="54" customFormat="1" ht="15.75" customHeight="1" x14ac:dyDescent="0.2">
      <c r="B19" s="482" t="s">
        <v>11</v>
      </c>
      <c r="C19" s="477" t="s">
        <v>12</v>
      </c>
      <c r="D19" s="479">
        <v>45166</v>
      </c>
      <c r="E19" s="487">
        <v>-1.7991220000000001</v>
      </c>
      <c r="F19" s="487"/>
      <c r="G19" s="482" t="s">
        <v>10</v>
      </c>
      <c r="H19" s="487">
        <v>-1.7991220000000001</v>
      </c>
      <c r="I19" s="482" t="s">
        <v>444</v>
      </c>
    </row>
    <row r="20" spans="2:9" s="54" customFormat="1" ht="15.75" customHeight="1" x14ac:dyDescent="0.2">
      <c r="B20" s="482" t="s">
        <v>11</v>
      </c>
      <c r="C20" s="477" t="s">
        <v>12</v>
      </c>
      <c r="D20" s="479">
        <v>45218</v>
      </c>
      <c r="E20" s="487">
        <v>-2.415861</v>
      </c>
      <c r="F20" s="487"/>
      <c r="G20" s="482" t="s">
        <v>10</v>
      </c>
      <c r="H20" s="487">
        <v>-2.415861</v>
      </c>
      <c r="I20" s="482" t="s">
        <v>446</v>
      </c>
    </row>
    <row r="21" spans="2:9" s="54" customFormat="1" ht="15.75" customHeight="1" x14ac:dyDescent="0.2">
      <c r="B21" s="482" t="s">
        <v>11</v>
      </c>
      <c r="C21" s="477" t="s">
        <v>12</v>
      </c>
      <c r="D21" s="479">
        <v>45323</v>
      </c>
      <c r="E21" s="487"/>
      <c r="F21" s="487">
        <f>24.959693</f>
        <v>24.959693000000001</v>
      </c>
      <c r="G21" s="482" t="s">
        <v>10</v>
      </c>
      <c r="H21" s="487">
        <f>F21</f>
        <v>24.959693000000001</v>
      </c>
      <c r="I21" s="482" t="s">
        <v>623</v>
      </c>
    </row>
    <row r="22" spans="2:9" s="54" customFormat="1" ht="15.75" customHeight="1" x14ac:dyDescent="0.2">
      <c r="B22" s="494" t="s">
        <v>11</v>
      </c>
      <c r="C22" s="489" t="s">
        <v>1</v>
      </c>
      <c r="D22" s="491">
        <v>43665</v>
      </c>
      <c r="E22" s="504">
        <f t="shared" ref="E22:E29" si="0">H22</f>
        <v>-3</v>
      </c>
      <c r="F22" s="504"/>
      <c r="G22" s="494" t="s">
        <v>10</v>
      </c>
      <c r="H22" s="504">
        <v>-3</v>
      </c>
      <c r="I22" s="494" t="s">
        <v>13</v>
      </c>
    </row>
    <row r="23" spans="2:9" s="54" customFormat="1" ht="15.75" customHeight="1" x14ac:dyDescent="0.2">
      <c r="B23" s="494" t="s">
        <v>11</v>
      </c>
      <c r="C23" s="489" t="s">
        <v>1</v>
      </c>
      <c r="D23" s="491">
        <v>43983</v>
      </c>
      <c r="E23" s="504">
        <f t="shared" si="0"/>
        <v>-4.4849999999999994</v>
      </c>
      <c r="F23" s="504"/>
      <c r="G23" s="494" t="s">
        <v>10</v>
      </c>
      <c r="H23" s="504">
        <v>-4.4849999999999994</v>
      </c>
      <c r="I23" s="494" t="s">
        <v>15</v>
      </c>
    </row>
    <row r="24" spans="2:9" s="54" customFormat="1" ht="15.75" customHeight="1" x14ac:dyDescent="0.2">
      <c r="B24" s="494" t="s">
        <v>11</v>
      </c>
      <c r="C24" s="489" t="s">
        <v>1</v>
      </c>
      <c r="D24" s="491">
        <v>43879</v>
      </c>
      <c r="E24" s="504">
        <f t="shared" si="0"/>
        <v>-9.5097500000000004</v>
      </c>
      <c r="F24" s="504"/>
      <c r="G24" s="494" t="s">
        <v>10</v>
      </c>
      <c r="H24" s="504">
        <v>-9.5097500000000004</v>
      </c>
      <c r="I24" s="494" t="s">
        <v>103</v>
      </c>
    </row>
    <row r="25" spans="2:9" s="54" customFormat="1" ht="15.75" customHeight="1" x14ac:dyDescent="0.2">
      <c r="B25" s="494" t="s">
        <v>11</v>
      </c>
      <c r="C25" s="489" t="s">
        <v>1</v>
      </c>
      <c r="D25" s="491">
        <v>43934</v>
      </c>
      <c r="E25" s="504">
        <f t="shared" si="0"/>
        <v>-41.3</v>
      </c>
      <c r="F25" s="504"/>
      <c r="G25" s="494" t="s">
        <v>10</v>
      </c>
      <c r="H25" s="504">
        <v>-41.3</v>
      </c>
      <c r="I25" s="494" t="s">
        <v>104</v>
      </c>
    </row>
    <row r="26" spans="2:9" s="54" customFormat="1" ht="15.75" customHeight="1" x14ac:dyDescent="0.2">
      <c r="B26" s="494" t="s">
        <v>11</v>
      </c>
      <c r="C26" s="489" t="s">
        <v>1</v>
      </c>
      <c r="D26" s="491">
        <v>44151</v>
      </c>
      <c r="E26" s="504">
        <f t="shared" si="0"/>
        <v>9.9499999999999993</v>
      </c>
      <c r="F26" s="504"/>
      <c r="G26" s="494" t="s">
        <v>10</v>
      </c>
      <c r="H26" s="504">
        <v>9.9499999999999993</v>
      </c>
      <c r="I26" s="494" t="s">
        <v>105</v>
      </c>
    </row>
    <row r="27" spans="2:9" s="54" customFormat="1" ht="15.75" customHeight="1" x14ac:dyDescent="0.2">
      <c r="B27" s="494" t="s">
        <v>11</v>
      </c>
      <c r="C27" s="489" t="s">
        <v>1</v>
      </c>
      <c r="D27" s="491">
        <v>44151</v>
      </c>
      <c r="E27" s="504">
        <f t="shared" si="0"/>
        <v>-10.455</v>
      </c>
      <c r="F27" s="504"/>
      <c r="G27" s="494" t="s">
        <v>10</v>
      </c>
      <c r="H27" s="504">
        <v>-10.455</v>
      </c>
      <c r="I27" s="494" t="s">
        <v>106</v>
      </c>
    </row>
    <row r="28" spans="2:9" s="54" customFormat="1" ht="15.75" customHeight="1" x14ac:dyDescent="0.2">
      <c r="B28" s="494" t="s">
        <v>11</v>
      </c>
      <c r="C28" s="489" t="s">
        <v>1</v>
      </c>
      <c r="D28" s="491">
        <v>44196</v>
      </c>
      <c r="E28" s="504">
        <f t="shared" si="0"/>
        <v>4.9749999999999996</v>
      </c>
      <c r="F28" s="504"/>
      <c r="G28" s="494" t="s">
        <v>10</v>
      </c>
      <c r="H28" s="504">
        <v>4.9749999999999996</v>
      </c>
      <c r="I28" s="494" t="s">
        <v>107</v>
      </c>
    </row>
    <row r="29" spans="2:9" s="54" customFormat="1" ht="15.75" customHeight="1" x14ac:dyDescent="0.2">
      <c r="B29" s="494" t="s">
        <v>11</v>
      </c>
      <c r="C29" s="489" t="s">
        <v>1</v>
      </c>
      <c r="D29" s="491">
        <v>44196</v>
      </c>
      <c r="E29" s="504">
        <f t="shared" si="0"/>
        <v>-3.4522930000000001</v>
      </c>
      <c r="F29" s="504"/>
      <c r="G29" s="494" t="s">
        <v>10</v>
      </c>
      <c r="H29" s="504">
        <v>-3.4522930000000001</v>
      </c>
      <c r="I29" s="494" t="s">
        <v>108</v>
      </c>
    </row>
    <row r="30" spans="2:9" s="54" customFormat="1" ht="15.75" customHeight="1" x14ac:dyDescent="0.2">
      <c r="B30" s="494" t="s">
        <v>11</v>
      </c>
      <c r="C30" s="489" t="s">
        <v>1</v>
      </c>
      <c r="D30" s="491">
        <v>44196</v>
      </c>
      <c r="E30" s="504"/>
      <c r="F30" s="504">
        <f>H30</f>
        <v>0.58290199999999992</v>
      </c>
      <c r="G30" s="494" t="s">
        <v>10</v>
      </c>
      <c r="H30" s="504">
        <v>0.58290199999999992</v>
      </c>
      <c r="I30" s="494" t="s">
        <v>109</v>
      </c>
    </row>
    <row r="31" spans="2:9" s="54" customFormat="1" ht="15.75" customHeight="1" x14ac:dyDescent="0.2">
      <c r="B31" s="494" t="s">
        <v>11</v>
      </c>
      <c r="C31" s="489" t="s">
        <v>1</v>
      </c>
      <c r="D31" s="491">
        <v>44370</v>
      </c>
      <c r="E31" s="504">
        <f>H31</f>
        <v>-5.97</v>
      </c>
      <c r="F31" s="504"/>
      <c r="G31" s="494" t="s">
        <v>10</v>
      </c>
      <c r="H31" s="504">
        <v>-5.97</v>
      </c>
      <c r="I31" s="494" t="s">
        <v>110</v>
      </c>
    </row>
    <row r="32" spans="2:9" s="54" customFormat="1" ht="15.75" customHeight="1" x14ac:dyDescent="0.2">
      <c r="B32" s="494" t="s">
        <v>11</v>
      </c>
      <c r="C32" s="489" t="s">
        <v>1</v>
      </c>
      <c r="D32" s="491">
        <v>44400</v>
      </c>
      <c r="E32" s="504">
        <f>H32</f>
        <v>-0.75</v>
      </c>
      <c r="F32" s="504"/>
      <c r="G32" s="494" t="s">
        <v>10</v>
      </c>
      <c r="H32" s="504">
        <v>-0.75</v>
      </c>
      <c r="I32" s="494" t="s">
        <v>111</v>
      </c>
    </row>
    <row r="33" spans="2:9" s="54" customFormat="1" ht="15.75" customHeight="1" x14ac:dyDescent="0.2">
      <c r="B33" s="494" t="s">
        <v>11</v>
      </c>
      <c r="C33" s="489" t="s">
        <v>1</v>
      </c>
      <c r="D33" s="491">
        <v>44400</v>
      </c>
      <c r="E33" s="504"/>
      <c r="F33" s="504">
        <f>H33</f>
        <v>0.44505899999999998</v>
      </c>
      <c r="G33" s="494" t="s">
        <v>10</v>
      </c>
      <c r="H33" s="504">
        <v>0.44505899999999998</v>
      </c>
      <c r="I33" s="494" t="s">
        <v>112</v>
      </c>
    </row>
    <row r="34" spans="2:9" s="54" customFormat="1" ht="15.75" customHeight="1" x14ac:dyDescent="0.2">
      <c r="B34" s="494" t="s">
        <v>11</v>
      </c>
      <c r="C34" s="489" t="s">
        <v>1</v>
      </c>
      <c r="D34" s="491">
        <v>44554</v>
      </c>
      <c r="E34" s="504">
        <f>H34</f>
        <v>1.7823899999999999</v>
      </c>
      <c r="F34" s="504"/>
      <c r="G34" s="494" t="s">
        <v>10</v>
      </c>
      <c r="H34" s="504">
        <v>1.7823899999999999</v>
      </c>
      <c r="I34" s="494" t="s">
        <v>113</v>
      </c>
    </row>
    <row r="35" spans="2:9" s="54" customFormat="1" ht="15.75" customHeight="1" x14ac:dyDescent="0.2">
      <c r="B35" s="494" t="s">
        <v>11</v>
      </c>
      <c r="C35" s="489" t="s">
        <v>1</v>
      </c>
      <c r="D35" s="491">
        <v>44676</v>
      </c>
      <c r="E35" s="504">
        <f>H35</f>
        <v>-21</v>
      </c>
      <c r="F35" s="504"/>
      <c r="G35" s="494" t="s">
        <v>10</v>
      </c>
      <c r="H35" s="504">
        <v>-21</v>
      </c>
      <c r="I35" s="494" t="s">
        <v>114</v>
      </c>
    </row>
    <row r="36" spans="2:9" s="54" customFormat="1" ht="15.75" customHeight="1" x14ac:dyDescent="0.2">
      <c r="B36" s="494" t="s">
        <v>11</v>
      </c>
      <c r="C36" s="489" t="s">
        <v>1</v>
      </c>
      <c r="D36" s="491">
        <v>45243</v>
      </c>
      <c r="E36" s="504"/>
      <c r="F36" s="504">
        <f>H36</f>
        <v>6.7879100000000001</v>
      </c>
      <c r="G36" s="494" t="s">
        <v>10</v>
      </c>
      <c r="H36" s="504">
        <v>6.7879100000000001</v>
      </c>
      <c r="I36" s="494" t="s">
        <v>455</v>
      </c>
    </row>
    <row r="37" spans="2:9" s="54" customFormat="1" ht="15.75" customHeight="1" x14ac:dyDescent="0.2">
      <c r="B37" s="494" t="s">
        <v>11</v>
      </c>
      <c r="C37" s="489" t="s">
        <v>1</v>
      </c>
      <c r="D37" s="491">
        <v>45470</v>
      </c>
      <c r="E37" s="504">
        <f>H37</f>
        <v>-5.5696999999999997E-2</v>
      </c>
      <c r="F37" s="504"/>
      <c r="G37" s="494" t="s">
        <v>10</v>
      </c>
      <c r="H37" s="504">
        <f>-55697*10^-6</f>
        <v>-5.5696999999999997E-2</v>
      </c>
      <c r="I37" s="494" t="s">
        <v>691</v>
      </c>
    </row>
    <row r="38" spans="2:9" s="54" customFormat="1" ht="15.75" customHeight="1" x14ac:dyDescent="0.2">
      <c r="B38" s="482" t="s">
        <v>11</v>
      </c>
      <c r="C38" s="477" t="s">
        <v>118</v>
      </c>
      <c r="D38" s="479">
        <v>44087</v>
      </c>
      <c r="E38" s="487">
        <f>H38*1.1</f>
        <v>-20.917552997000001</v>
      </c>
      <c r="F38" s="501"/>
      <c r="G38" s="482" t="s">
        <v>133</v>
      </c>
      <c r="H38" s="502">
        <v>-19.015957270000001</v>
      </c>
      <c r="I38" s="482" t="s">
        <v>135</v>
      </c>
    </row>
    <row r="39" spans="2:9" s="54" customFormat="1" ht="15.75" customHeight="1" x14ac:dyDescent="0.2">
      <c r="B39" s="482" t="s">
        <v>11</v>
      </c>
      <c r="C39" s="477" t="s">
        <v>118</v>
      </c>
      <c r="D39" s="479">
        <v>44287</v>
      </c>
      <c r="E39" s="487">
        <v>-0.21103182000000001</v>
      </c>
      <c r="F39" s="501"/>
      <c r="G39" s="487" t="s">
        <v>133</v>
      </c>
      <c r="H39" s="502">
        <v>-0.21103182000000001</v>
      </c>
      <c r="I39" s="482" t="s">
        <v>136</v>
      </c>
    </row>
    <row r="40" spans="2:9" s="54" customFormat="1" ht="15.75" customHeight="1" x14ac:dyDescent="0.2">
      <c r="B40" s="482" t="s">
        <v>11</v>
      </c>
      <c r="C40" s="477" t="s">
        <v>118</v>
      </c>
      <c r="D40" s="479">
        <v>44442</v>
      </c>
      <c r="E40" s="487">
        <f>1.18*H40</f>
        <v>-0.23965473139999999</v>
      </c>
      <c r="F40" s="501"/>
      <c r="G40" s="487" t="s">
        <v>133</v>
      </c>
      <c r="H40" s="502">
        <f>-203097.23*10^-6</f>
        <v>-0.20309722999999999</v>
      </c>
      <c r="I40" s="482" t="s">
        <v>156</v>
      </c>
    </row>
    <row r="41" spans="2:9" s="54" customFormat="1" ht="15.75" customHeight="1" x14ac:dyDescent="0.2">
      <c r="B41" s="482" t="s">
        <v>11</v>
      </c>
      <c r="C41" s="477" t="s">
        <v>118</v>
      </c>
      <c r="D41" s="479">
        <v>44623</v>
      </c>
      <c r="E41" s="487">
        <f>1.11*H41</f>
        <v>-0.25893584940000003</v>
      </c>
      <c r="F41" s="501"/>
      <c r="G41" s="487" t="s">
        <v>133</v>
      </c>
      <c r="H41" s="502">
        <f>-233275.54*10^-6</f>
        <v>-0.23327554</v>
      </c>
      <c r="I41" s="482" t="s">
        <v>157</v>
      </c>
    </row>
    <row r="42" spans="2:9" s="54" customFormat="1" ht="15.75" customHeight="1" x14ac:dyDescent="0.2">
      <c r="B42" s="482" t="s">
        <v>11</v>
      </c>
      <c r="C42" s="477" t="s">
        <v>118</v>
      </c>
      <c r="D42" s="479">
        <v>44784</v>
      </c>
      <c r="E42" s="480">
        <f>1.03*H42</f>
        <v>1.5224656599999999E-2</v>
      </c>
      <c r="F42" s="501"/>
      <c r="G42" s="487" t="s">
        <v>133</v>
      </c>
      <c r="H42" s="503">
        <f>14781.22*10^-6</f>
        <v>1.4781219999999999E-2</v>
      </c>
      <c r="I42" s="482" t="s">
        <v>158</v>
      </c>
    </row>
    <row r="43" spans="2:9" s="54" customFormat="1" ht="15.75" customHeight="1" x14ac:dyDescent="0.2">
      <c r="B43" s="482" t="s">
        <v>11</v>
      </c>
      <c r="C43" s="477" t="s">
        <v>118</v>
      </c>
      <c r="D43" s="479">
        <v>44956</v>
      </c>
      <c r="E43" s="487">
        <f>9741387*10^-6*1.08341</f>
        <v>10.553916089669999</v>
      </c>
      <c r="F43" s="487"/>
      <c r="G43" s="487" t="s">
        <v>133</v>
      </c>
      <c r="H43" s="502">
        <f>9741387*10^-6</f>
        <v>9.7413869999999996</v>
      </c>
      <c r="I43" s="482" t="s">
        <v>158</v>
      </c>
    </row>
    <row r="44" spans="2:9" s="54" customFormat="1" ht="15.75" customHeight="1" x14ac:dyDescent="0.2">
      <c r="B44" s="482" t="s">
        <v>11</v>
      </c>
      <c r="C44" s="477" t="s">
        <v>118</v>
      </c>
      <c r="D44" s="479">
        <v>44956</v>
      </c>
      <c r="E44" s="487"/>
      <c r="F44" s="487">
        <f>2728214.02*10^-6*1.08341</f>
        <v>2.9557743514081998</v>
      </c>
      <c r="G44" s="487" t="s">
        <v>133</v>
      </c>
      <c r="H44" s="502">
        <v>2.7282140199999994</v>
      </c>
      <c r="I44" s="482" t="s">
        <v>321</v>
      </c>
    </row>
    <row r="45" spans="2:9" s="54" customFormat="1" ht="15.75" customHeight="1" x14ac:dyDescent="0.2">
      <c r="B45" s="482" t="s">
        <v>11</v>
      </c>
      <c r="C45" s="477" t="s">
        <v>118</v>
      </c>
      <c r="D45" s="479">
        <v>45170</v>
      </c>
      <c r="E45" s="487">
        <v>-0.22532724156300002</v>
      </c>
      <c r="F45" s="487"/>
      <c r="G45" s="487" t="s">
        <v>133</v>
      </c>
      <c r="H45" s="487">
        <v>-0.22532724156300002</v>
      </c>
      <c r="I45" s="482" t="s">
        <v>555</v>
      </c>
    </row>
    <row r="46" spans="2:9" s="54" customFormat="1" ht="15.75" customHeight="1" x14ac:dyDescent="0.2">
      <c r="B46" s="482" t="s">
        <v>11</v>
      </c>
      <c r="C46" s="477" t="s">
        <v>118</v>
      </c>
      <c r="D46" s="479">
        <v>45260</v>
      </c>
      <c r="E46" s="487">
        <v>-0.28531251529200002</v>
      </c>
      <c r="F46" s="487"/>
      <c r="G46" s="487" t="s">
        <v>133</v>
      </c>
      <c r="H46" s="487">
        <v>-0.28531251529200002</v>
      </c>
      <c r="I46" s="482" t="s">
        <v>554</v>
      </c>
    </row>
    <row r="47" spans="2:9" s="54" customFormat="1" ht="15.75" customHeight="1" x14ac:dyDescent="0.2">
      <c r="B47" s="482" t="s">
        <v>11</v>
      </c>
      <c r="C47" s="477" t="s">
        <v>118</v>
      </c>
      <c r="D47" s="479">
        <v>45321</v>
      </c>
      <c r="E47" s="487">
        <v>-2.4198785200000001</v>
      </c>
      <c r="F47" s="487"/>
      <c r="G47" s="487" t="s">
        <v>133</v>
      </c>
      <c r="H47" s="487">
        <v>-2.4198785200000001</v>
      </c>
      <c r="I47" s="482" t="s">
        <v>473</v>
      </c>
    </row>
    <row r="48" spans="2:9" s="54" customFormat="1" ht="15.75" customHeight="1" x14ac:dyDescent="0.2">
      <c r="B48" s="482" t="s">
        <v>11</v>
      </c>
      <c r="C48" s="477" t="s">
        <v>118</v>
      </c>
      <c r="D48" s="479">
        <v>45372</v>
      </c>
      <c r="E48" s="487">
        <v>-0.21649573657739998</v>
      </c>
      <c r="F48" s="487"/>
      <c r="G48" s="487" t="s">
        <v>133</v>
      </c>
      <c r="H48" s="487">
        <v>-0.21649573657739998</v>
      </c>
      <c r="I48" s="482" t="s">
        <v>636</v>
      </c>
    </row>
    <row r="49" spans="2:9" s="54" customFormat="1" ht="15.75" customHeight="1" x14ac:dyDescent="0.2">
      <c r="B49" s="482" t="s">
        <v>11</v>
      </c>
      <c r="C49" s="477" t="s">
        <v>118</v>
      </c>
      <c r="D49" s="479">
        <v>45454</v>
      </c>
      <c r="E49" s="487"/>
      <c r="F49" s="487">
        <f>H49*1.0743</f>
        <v>0.46369472675700002</v>
      </c>
      <c r="G49" s="487" t="s">
        <v>133</v>
      </c>
      <c r="H49" s="502">
        <f>431624.99*10^-6</f>
        <v>0.43162498999999999</v>
      </c>
      <c r="I49" s="482" t="s">
        <v>701</v>
      </c>
    </row>
    <row r="50" spans="2:9" s="54" customFormat="1" ht="15.75" customHeight="1" x14ac:dyDescent="0.2">
      <c r="B50" s="482" t="s">
        <v>11</v>
      </c>
      <c r="C50" s="477" t="s">
        <v>118</v>
      </c>
      <c r="D50" s="479">
        <v>45454</v>
      </c>
      <c r="E50" s="487">
        <f>H50*1.0883</f>
        <v>-1.717390356678</v>
      </c>
      <c r="F50" s="487"/>
      <c r="G50" s="487" t="s">
        <v>133</v>
      </c>
      <c r="H50" s="502">
        <f>-1578048.66*10^-6</f>
        <v>-1.5780486599999999</v>
      </c>
      <c r="I50" s="482" t="s">
        <v>702</v>
      </c>
    </row>
    <row r="51" spans="2:9" s="54" customFormat="1" ht="15.75" customHeight="1" x14ac:dyDescent="0.2">
      <c r="B51" s="482" t="s">
        <v>11</v>
      </c>
      <c r="C51" s="477" t="s">
        <v>347</v>
      </c>
      <c r="D51" s="479">
        <v>44087</v>
      </c>
      <c r="E51" s="487">
        <f>-'S | 01 '!K43</f>
        <v>-2.7058823529411762</v>
      </c>
      <c r="F51" s="501"/>
      <c r="G51" s="482" t="s">
        <v>133</v>
      </c>
      <c r="H51" s="502">
        <v>-2.125</v>
      </c>
      <c r="I51" s="482" t="s">
        <v>135</v>
      </c>
    </row>
    <row r="52" spans="2:9" s="54" customFormat="1" ht="15.75" customHeight="1" x14ac:dyDescent="0.2">
      <c r="B52" s="494" t="s">
        <v>11</v>
      </c>
      <c r="C52" s="489" t="s">
        <v>164</v>
      </c>
      <c r="D52" s="491">
        <v>44540</v>
      </c>
      <c r="E52" s="504">
        <f>H52</f>
        <v>-2.8053124999999999</v>
      </c>
      <c r="F52" s="504"/>
      <c r="G52" s="494" t="s">
        <v>10</v>
      </c>
      <c r="H52" s="505">
        <v>-2.8053124999999999</v>
      </c>
      <c r="I52" s="494" t="s">
        <v>13</v>
      </c>
    </row>
    <row r="53" spans="2:9" s="54" customFormat="1" ht="15.75" customHeight="1" x14ac:dyDescent="0.2">
      <c r="B53" s="494" t="s">
        <v>11</v>
      </c>
      <c r="C53" s="489" t="s">
        <v>164</v>
      </c>
      <c r="D53" s="491">
        <v>44602</v>
      </c>
      <c r="E53" s="504">
        <f>H53</f>
        <v>-3.4074999999999998</v>
      </c>
      <c r="F53" s="504"/>
      <c r="G53" s="494" t="s">
        <v>10</v>
      </c>
      <c r="H53" s="505">
        <v>-3.4074999999999998</v>
      </c>
      <c r="I53" s="494" t="s">
        <v>117</v>
      </c>
    </row>
    <row r="54" spans="2:9" s="54" customFormat="1" ht="15.75" customHeight="1" x14ac:dyDescent="0.2">
      <c r="B54" s="494" t="s">
        <v>11</v>
      </c>
      <c r="C54" s="489" t="s">
        <v>164</v>
      </c>
      <c r="D54" s="491">
        <v>44683</v>
      </c>
      <c r="E54" s="504">
        <f>H54</f>
        <v>-1.0257749999999999</v>
      </c>
      <c r="F54" s="504"/>
      <c r="G54" s="494" t="s">
        <v>10</v>
      </c>
      <c r="H54" s="505">
        <v>-1.0257749999999999</v>
      </c>
      <c r="I54" s="494" t="s">
        <v>245</v>
      </c>
    </row>
    <row r="55" spans="2:9" s="54" customFormat="1" ht="15.75" customHeight="1" x14ac:dyDescent="0.2">
      <c r="B55" s="494" t="s">
        <v>11</v>
      </c>
      <c r="C55" s="489" t="s">
        <v>164</v>
      </c>
      <c r="D55" s="491">
        <v>44707</v>
      </c>
      <c r="E55" s="504">
        <f>H55</f>
        <v>-3.3882749999999997</v>
      </c>
      <c r="F55" s="504"/>
      <c r="G55" s="494" t="s">
        <v>10</v>
      </c>
      <c r="H55" s="505">
        <v>-3.3882749999999997</v>
      </c>
      <c r="I55" s="494" t="s">
        <v>116</v>
      </c>
    </row>
    <row r="56" spans="2:9" x14ac:dyDescent="0.25">
      <c r="B56" s="494" t="s">
        <v>11</v>
      </c>
      <c r="C56" s="489" t="s">
        <v>164</v>
      </c>
      <c r="D56" s="491">
        <v>44875</v>
      </c>
      <c r="E56" s="504">
        <f>H56</f>
        <v>-3.3882749999999997</v>
      </c>
      <c r="F56" s="504"/>
      <c r="G56" s="494" t="s">
        <v>10</v>
      </c>
      <c r="H56" s="505">
        <v>-3.3882749999999997</v>
      </c>
      <c r="I56" s="494" t="s">
        <v>104</v>
      </c>
    </row>
  </sheetData>
  <pageMargins left="0.7" right="0.7" top="0.75" bottom="0.75" header="0.3" footer="0.3"/>
  <pageSetup paperSize="9" orientation="portrait" verticalDpi="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421" t="s">
        <v>563</v>
      </c>
      <c r="C2" s="421" t="s">
        <v>564</v>
      </c>
    </row>
    <row r="3" spans="2:3" ht="15.75" thickBot="1" x14ac:dyDescent="0.3">
      <c r="B3" s="422" t="s">
        <v>565</v>
      </c>
      <c r="C3" s="423" t="s">
        <v>566</v>
      </c>
    </row>
    <row r="4" spans="2:3" ht="15.75" thickBot="1" x14ac:dyDescent="0.3">
      <c r="B4" s="424" t="s">
        <v>77</v>
      </c>
      <c r="C4" s="425" t="s">
        <v>567</v>
      </c>
    </row>
    <row r="5" spans="2:3" ht="15.75" thickBot="1" x14ac:dyDescent="0.3">
      <c r="B5" s="422" t="s">
        <v>187</v>
      </c>
      <c r="C5" s="423" t="s">
        <v>568</v>
      </c>
    </row>
    <row r="6" spans="2:3" ht="15.75" thickBot="1" x14ac:dyDescent="0.3">
      <c r="B6" s="424" t="s">
        <v>11</v>
      </c>
      <c r="C6" s="425" t="s">
        <v>569</v>
      </c>
    </row>
    <row r="7" spans="2:3" ht="15.75" thickBot="1" x14ac:dyDescent="0.3">
      <c r="B7" s="422" t="s">
        <v>570</v>
      </c>
      <c r="C7" s="423" t="s">
        <v>571</v>
      </c>
    </row>
    <row r="8" spans="2:3" ht="15.75" thickBot="1" x14ac:dyDescent="0.3">
      <c r="B8" s="424" t="s">
        <v>24</v>
      </c>
      <c r="C8" s="425" t="s">
        <v>572</v>
      </c>
    </row>
    <row r="9" spans="2:3" ht="15.75" thickBot="1" x14ac:dyDescent="0.3">
      <c r="B9" s="422" t="s">
        <v>573</v>
      </c>
      <c r="C9" s="423" t="s">
        <v>574</v>
      </c>
    </row>
    <row r="10" spans="2:3" ht="15.75" thickBot="1" x14ac:dyDescent="0.3">
      <c r="B10" s="424" t="s">
        <v>575</v>
      </c>
      <c r="C10" s="425" t="s">
        <v>576</v>
      </c>
    </row>
    <row r="11" spans="2:3" ht="15.75" thickBot="1" x14ac:dyDescent="0.3">
      <c r="B11" s="422" t="s">
        <v>8</v>
      </c>
      <c r="C11" s="423" t="s">
        <v>577</v>
      </c>
    </row>
    <row r="12" spans="2:3" ht="15.75" thickBot="1" x14ac:dyDescent="0.3">
      <c r="B12" s="424" t="s">
        <v>578</v>
      </c>
      <c r="C12" s="425" t="s">
        <v>579</v>
      </c>
    </row>
    <row r="13" spans="2:3" ht="15.75" thickBot="1" x14ac:dyDescent="0.3">
      <c r="B13" s="422" t="s">
        <v>124</v>
      </c>
      <c r="C13" s="423" t="s">
        <v>580</v>
      </c>
    </row>
    <row r="14" spans="2:3" ht="15.75" thickBot="1" x14ac:dyDescent="0.3">
      <c r="B14" s="424" t="s">
        <v>351</v>
      </c>
      <c r="C14" s="425" t="s">
        <v>581</v>
      </c>
    </row>
    <row r="15" spans="2:3" ht="15.75" thickBot="1" x14ac:dyDescent="0.3">
      <c r="B15" s="422" t="s">
        <v>582</v>
      </c>
      <c r="C15" s="423" t="s">
        <v>583</v>
      </c>
    </row>
    <row r="16" spans="2:3" ht="15.75" thickBot="1" x14ac:dyDescent="0.3">
      <c r="B16" s="424" t="s">
        <v>584</v>
      </c>
      <c r="C16" s="425" t="s">
        <v>585</v>
      </c>
    </row>
    <row r="17" spans="2:3" ht="15.75" thickBot="1" x14ac:dyDescent="0.3">
      <c r="B17" s="422" t="s">
        <v>586</v>
      </c>
      <c r="C17" s="423" t="s">
        <v>587</v>
      </c>
    </row>
    <row r="18" spans="2:3" ht="15.75" thickBot="1" x14ac:dyDescent="0.3">
      <c r="B18" s="424" t="s">
        <v>46</v>
      </c>
      <c r="C18" s="425" t="s">
        <v>588</v>
      </c>
    </row>
    <row r="20" spans="2:3" ht="15.75" thickBot="1" x14ac:dyDescent="0.3"/>
    <row r="21" spans="2:3" ht="15.75" thickBot="1" x14ac:dyDescent="0.3">
      <c r="B21" s="421" t="s">
        <v>563</v>
      </c>
      <c r="C21" s="421" t="s">
        <v>564</v>
      </c>
    </row>
    <row r="22" spans="2:3" ht="15.75" thickBot="1" x14ac:dyDescent="0.3">
      <c r="B22" s="422" t="s">
        <v>589</v>
      </c>
      <c r="C22" s="423" t="s">
        <v>602</v>
      </c>
    </row>
    <row r="23" spans="2:3" ht="15.75" thickBot="1" x14ac:dyDescent="0.3">
      <c r="B23" s="424" t="s">
        <v>590</v>
      </c>
      <c r="C23" s="425" t="s">
        <v>601</v>
      </c>
    </row>
    <row r="24" spans="2:3" ht="15.75" thickBot="1" x14ac:dyDescent="0.3">
      <c r="B24" s="422" t="s">
        <v>591</v>
      </c>
      <c r="C24" s="423" t="s">
        <v>597</v>
      </c>
    </row>
    <row r="25" spans="2:3" ht="15.75" thickBot="1" x14ac:dyDescent="0.3">
      <c r="B25" s="424" t="s">
        <v>593</v>
      </c>
      <c r="C25" s="425" t="s">
        <v>592</v>
      </c>
    </row>
    <row r="26" spans="2:3" ht="15.75" thickBot="1" x14ac:dyDescent="0.3">
      <c r="B26" s="422" t="s">
        <v>594</v>
      </c>
      <c r="C26" s="423" t="s">
        <v>598</v>
      </c>
    </row>
    <row r="27" spans="2:3" ht="15.75" thickBot="1" x14ac:dyDescent="0.3">
      <c r="B27" s="424" t="s">
        <v>595</v>
      </c>
      <c r="C27" s="425" t="s">
        <v>599</v>
      </c>
    </row>
    <row r="28" spans="2:3" ht="15.75" thickBot="1" x14ac:dyDescent="0.3">
      <c r="B28" s="422" t="s">
        <v>596</v>
      </c>
      <c r="C28" s="423" t="s">
        <v>600</v>
      </c>
    </row>
  </sheetData>
  <pageMargins left="0.7" right="0.7" top="0.75" bottom="0.75" header="0.3" footer="0.3"/>
  <pageSetup paperSize="9" scale="42" orientation="portrait" verticalDpi="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3"/>
  <sheetViews>
    <sheetView showGridLines="0" zoomScale="70" zoomScaleNormal="70" workbookViewId="0">
      <selection activeCell="H31" sqref="H31"/>
    </sheetView>
  </sheetViews>
  <sheetFormatPr defaultColWidth="9.140625" defaultRowHeight="15" x14ac:dyDescent="0.25"/>
  <cols>
    <col min="1" max="1" width="9.140625" style="26"/>
    <col min="2" max="2" width="12" style="26" bestFit="1" customWidth="1"/>
    <col min="3" max="3" width="32" style="26" customWidth="1"/>
    <col min="4" max="5" width="27.42578125" style="27" customWidth="1"/>
    <col min="6" max="6" width="10.42578125" style="26" customWidth="1"/>
    <col min="7" max="7" width="35" style="122" customWidth="1"/>
    <col min="8" max="9" width="27.85546875" style="122"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153"/>
      <c r="C1" s="71"/>
      <c r="D1" s="112"/>
      <c r="E1" s="112"/>
      <c r="F1" s="71"/>
    </row>
    <row r="2" spans="1:17" ht="43.5" customHeight="1" thickBot="1" x14ac:dyDescent="0.5">
      <c r="B2" s="153"/>
      <c r="C2" s="157" t="s">
        <v>191</v>
      </c>
      <c r="D2" s="158"/>
      <c r="E2" s="26"/>
      <c r="F2" s="27"/>
      <c r="G2" s="27"/>
      <c r="H2" s="27"/>
      <c r="I2" s="27"/>
      <c r="J2" s="27"/>
      <c r="K2" s="27"/>
      <c r="L2" s="27"/>
      <c r="M2" s="95"/>
      <c r="N2" s="27"/>
    </row>
    <row r="3" spans="1:17" s="58" customFormat="1" ht="15.75" thickBot="1" x14ac:dyDescent="0.3">
      <c r="B3" s="131"/>
      <c r="C3" s="127" t="s">
        <v>170</v>
      </c>
      <c r="D3" s="130">
        <f>'S | 01 '!D2</f>
        <v>45473</v>
      </c>
      <c r="E3" s="26"/>
      <c r="F3" s="26"/>
      <c r="G3" s="26"/>
      <c r="H3" s="26"/>
      <c r="I3" s="26"/>
      <c r="J3" s="26"/>
      <c r="K3" s="26"/>
      <c r="L3" s="26"/>
      <c r="M3" s="26"/>
      <c r="N3" s="26"/>
      <c r="O3" s="26"/>
      <c r="P3" s="26"/>
      <c r="Q3" s="26"/>
    </row>
    <row r="4" spans="1:17" ht="15.75" thickBot="1" x14ac:dyDescent="0.3">
      <c r="B4" s="153"/>
      <c r="C4" s="71"/>
      <c r="D4" s="112"/>
      <c r="E4" s="112"/>
      <c r="F4" s="71"/>
    </row>
    <row r="5" spans="1:17" x14ac:dyDescent="0.25">
      <c r="B5" s="380"/>
      <c r="C5" s="74"/>
      <c r="D5" s="113"/>
      <c r="E5" s="113"/>
      <c r="F5" s="74"/>
      <c r="G5" s="123"/>
      <c r="H5" s="123"/>
      <c r="I5" s="123"/>
      <c r="J5" s="77"/>
    </row>
    <row r="6" spans="1:17" ht="39" customHeight="1" x14ac:dyDescent="0.25">
      <c r="A6" s="80"/>
      <c r="B6" s="381"/>
      <c r="C6" s="1" t="s">
        <v>51</v>
      </c>
      <c r="D6" s="1" t="s">
        <v>425</v>
      </c>
      <c r="E6" s="1" t="s">
        <v>56</v>
      </c>
      <c r="F6" s="1" t="s">
        <v>357</v>
      </c>
      <c r="G6" s="1" t="s">
        <v>392</v>
      </c>
      <c r="H6" s="1" t="s">
        <v>393</v>
      </c>
      <c r="I6" s="1" t="s">
        <v>386</v>
      </c>
      <c r="J6" s="79"/>
      <c r="K6" s="80"/>
    </row>
    <row r="7" spans="1:17" x14ac:dyDescent="0.25">
      <c r="B7" s="382"/>
      <c r="C7" s="96"/>
      <c r="D7" s="114"/>
      <c r="E7" s="114"/>
      <c r="F7" s="96"/>
      <c r="G7" s="96"/>
      <c r="H7" s="314"/>
      <c r="I7" s="314"/>
      <c r="J7" s="82"/>
    </row>
    <row r="8" spans="1:17" x14ac:dyDescent="0.25">
      <c r="B8" s="382"/>
      <c r="C8" s="317" t="s">
        <v>28</v>
      </c>
      <c r="D8" s="318"/>
      <c r="E8" s="318"/>
      <c r="F8" s="317"/>
      <c r="G8" s="319"/>
      <c r="H8" s="320"/>
      <c r="I8" s="320"/>
      <c r="J8" s="82"/>
    </row>
    <row r="9" spans="1:17" x14ac:dyDescent="0.25">
      <c r="B9" s="382" t="s">
        <v>447</v>
      </c>
      <c r="C9" s="4" t="str">
        <f>'S | 01 '!C9</f>
        <v>Jollychic Holding Limited</v>
      </c>
      <c r="D9" s="116">
        <v>13458655</v>
      </c>
      <c r="E9" s="116">
        <v>236116762</v>
      </c>
      <c r="F9" s="70">
        <f>D9/E9</f>
        <v>5.6999998161926343E-2</v>
      </c>
      <c r="G9" s="124" t="s">
        <v>148</v>
      </c>
      <c r="H9" s="124" t="s">
        <v>382</v>
      </c>
      <c r="I9" s="124" t="s">
        <v>382</v>
      </c>
      <c r="J9" s="82"/>
      <c r="M9" s="265"/>
    </row>
    <row r="10" spans="1:17" x14ac:dyDescent="0.25">
      <c r="B10" s="382" t="s">
        <v>447</v>
      </c>
      <c r="C10" s="4" t="str">
        <f>'S | 01 '!C10</f>
        <v>Mena Mobile Inc</v>
      </c>
      <c r="D10" s="116">
        <v>21419829</v>
      </c>
      <c r="E10" s="116">
        <v>152998776</v>
      </c>
      <c r="F10" s="70">
        <f>D10/E10</f>
        <v>0.14000000235296001</v>
      </c>
      <c r="G10" s="124" t="s">
        <v>148</v>
      </c>
      <c r="H10" s="124" t="s">
        <v>382</v>
      </c>
      <c r="I10" s="124" t="s">
        <v>382</v>
      </c>
      <c r="J10" s="82"/>
      <c r="M10" s="265"/>
    </row>
    <row r="11" spans="1:17" x14ac:dyDescent="0.25">
      <c r="B11" s="382"/>
      <c r="C11" s="4" t="str">
        <f>'S | 01 '!C11</f>
        <v>Flyr Inc</v>
      </c>
      <c r="D11" s="116">
        <v>5205482</v>
      </c>
      <c r="E11" s="116">
        <v>61222609</v>
      </c>
      <c r="F11" s="70">
        <f>D11/E11</f>
        <v>8.5025484621212399E-2</v>
      </c>
      <c r="G11" s="124" t="s">
        <v>359</v>
      </c>
      <c r="H11" s="124" t="s">
        <v>383</v>
      </c>
      <c r="I11" s="124" t="s">
        <v>192</v>
      </c>
      <c r="J11" s="82"/>
      <c r="M11" s="265"/>
    </row>
    <row r="12" spans="1:17" x14ac:dyDescent="0.25">
      <c r="B12" s="382" t="s">
        <v>26</v>
      </c>
      <c r="C12" s="4" t="str">
        <f>'S | 01 '!C12</f>
        <v xml:space="preserve">Esyasoft Holding </v>
      </c>
      <c r="D12" s="116" t="s">
        <v>124</v>
      </c>
      <c r="E12" s="116" t="s">
        <v>124</v>
      </c>
      <c r="F12" s="116" t="s">
        <v>124</v>
      </c>
      <c r="G12" s="124" t="s">
        <v>367</v>
      </c>
      <c r="H12" s="124" t="s">
        <v>385</v>
      </c>
      <c r="I12" s="124" t="s">
        <v>384</v>
      </c>
      <c r="J12" s="82"/>
      <c r="M12" s="265"/>
    </row>
    <row r="13" spans="1:17" x14ac:dyDescent="0.25">
      <c r="B13" s="382"/>
      <c r="C13" s="4" t="str">
        <f>'S | 01 '!C13</f>
        <v>Beyond Limits</v>
      </c>
      <c r="D13" s="116">
        <v>17670202</v>
      </c>
      <c r="E13" s="116">
        <v>187288050</v>
      </c>
      <c r="F13" s="70">
        <f>D13/E13</f>
        <v>9.4347728005070269E-2</v>
      </c>
      <c r="G13" s="124" t="s">
        <v>150</v>
      </c>
      <c r="H13" s="124" t="s">
        <v>383</v>
      </c>
      <c r="I13" s="124" t="s">
        <v>192</v>
      </c>
      <c r="J13" s="82"/>
      <c r="M13" s="265"/>
    </row>
    <row r="14" spans="1:17" x14ac:dyDescent="0.25">
      <c r="B14" s="382"/>
      <c r="C14" s="4" t="str">
        <f>'S | 01 '!C14</f>
        <v>ONT plc</v>
      </c>
      <c r="D14" s="116">
        <v>44328120</v>
      </c>
      <c r="E14" s="116">
        <f>829189128+29025326</f>
        <v>858214454</v>
      </c>
      <c r="F14" s="70">
        <f>D14/E14</f>
        <v>5.1651565402323088E-2</v>
      </c>
      <c r="G14" s="124" t="s">
        <v>151</v>
      </c>
      <c r="H14" s="124" t="s">
        <v>355</v>
      </c>
      <c r="I14" s="124" t="s">
        <v>355</v>
      </c>
      <c r="J14" s="82"/>
    </row>
    <row r="15" spans="1:17" x14ac:dyDescent="0.25">
      <c r="B15" s="382"/>
      <c r="C15" s="4" t="str">
        <f>'S | 01 '!C15</f>
        <v>Heygears</v>
      </c>
      <c r="D15" s="116">
        <v>3565017.22</v>
      </c>
      <c r="E15" s="116">
        <f>D15/F15</f>
        <v>24791496.662030596</v>
      </c>
      <c r="F15" s="70">
        <v>0.14380000000000001</v>
      </c>
      <c r="G15" s="124" t="s">
        <v>148</v>
      </c>
      <c r="H15" s="124" t="s">
        <v>354</v>
      </c>
      <c r="I15" s="124" t="s">
        <v>387</v>
      </c>
      <c r="J15" s="82"/>
    </row>
    <row r="16" spans="1:17" x14ac:dyDescent="0.25">
      <c r="B16" s="382" t="s">
        <v>26</v>
      </c>
      <c r="C16" s="4" t="str">
        <f>'S | 01 '!C16</f>
        <v>Jysan Technologies</v>
      </c>
      <c r="D16" s="116">
        <v>7959497</v>
      </c>
      <c r="E16" s="116">
        <v>265316566.66666669</v>
      </c>
      <c r="F16" s="70">
        <v>0.03</v>
      </c>
      <c r="G16" s="124" t="s">
        <v>149</v>
      </c>
      <c r="H16" s="124" t="s">
        <v>355</v>
      </c>
      <c r="I16" s="124" t="s">
        <v>355</v>
      </c>
      <c r="J16" s="82"/>
    </row>
    <row r="17" spans="2:14" x14ac:dyDescent="0.25">
      <c r="B17" s="364"/>
      <c r="C17" s="4" t="str">
        <f>'S | 01 '!C17</f>
        <v>Cerebras Systems Inc</v>
      </c>
      <c r="D17" s="116">
        <v>1441711</v>
      </c>
      <c r="E17" s="116">
        <v>158130778</v>
      </c>
      <c r="F17" s="305">
        <f>D17/E17</f>
        <v>9.117206771726628E-3</v>
      </c>
      <c r="G17" s="124" t="s">
        <v>358</v>
      </c>
      <c r="H17" s="124" t="s">
        <v>383</v>
      </c>
      <c r="I17" s="124" t="s">
        <v>192</v>
      </c>
      <c r="J17" s="82"/>
    </row>
    <row r="18" spans="2:14" x14ac:dyDescent="0.25">
      <c r="B18" s="364"/>
      <c r="C18" s="4" t="str">
        <f>'S | 01 '!C18</f>
        <v>Endless Studios LLC</v>
      </c>
      <c r="D18" s="116">
        <v>8000000</v>
      </c>
      <c r="E18" s="116">
        <f>38750000+11000000</f>
        <v>49750000</v>
      </c>
      <c r="F18" s="305">
        <f>D18/E18</f>
        <v>0.16080402010050251</v>
      </c>
      <c r="G18" s="124" t="s">
        <v>358</v>
      </c>
      <c r="H18" s="124" t="s">
        <v>383</v>
      </c>
      <c r="I18" s="124" t="s">
        <v>192</v>
      </c>
      <c r="J18" s="82"/>
    </row>
    <row r="19" spans="2:14" x14ac:dyDescent="0.25">
      <c r="B19" s="382" t="s">
        <v>26</v>
      </c>
      <c r="C19" s="4" t="str">
        <f>'S | 01 '!C19</f>
        <v>Instadeep Limited</v>
      </c>
      <c r="D19" s="116">
        <v>33267</v>
      </c>
      <c r="E19" s="116">
        <v>2895450</v>
      </c>
      <c r="F19" s="70">
        <f>D19/E19</f>
        <v>1.1489405791845828E-2</v>
      </c>
      <c r="G19" s="124" t="s">
        <v>368</v>
      </c>
      <c r="H19" s="124" t="s">
        <v>355</v>
      </c>
      <c r="I19" s="124" t="s">
        <v>355</v>
      </c>
      <c r="J19" s="82"/>
    </row>
    <row r="20" spans="2:14" x14ac:dyDescent="0.25">
      <c r="B20" s="382" t="s">
        <v>26</v>
      </c>
      <c r="C20" s="4" t="str">
        <f>'S | 01 '!C20</f>
        <v>X-fusion</v>
      </c>
      <c r="D20" s="116" t="s">
        <v>124</v>
      </c>
      <c r="E20" s="116" t="s">
        <v>124</v>
      </c>
      <c r="F20" s="70">
        <f>10% * 51%</f>
        <v>5.1000000000000004E-2</v>
      </c>
      <c r="G20" s="124" t="s">
        <v>148</v>
      </c>
      <c r="H20" s="124" t="s">
        <v>354</v>
      </c>
      <c r="I20" s="124" t="s">
        <v>387</v>
      </c>
      <c r="J20" s="82"/>
      <c r="L20" s="119"/>
    </row>
    <row r="21" spans="2:14" x14ac:dyDescent="0.25">
      <c r="B21" s="364"/>
      <c r="C21" s="4" t="str">
        <f>'S | 01 '!C21</f>
        <v>DriveNets</v>
      </c>
      <c r="D21" s="116">
        <v>86882669</v>
      </c>
      <c r="E21" s="116">
        <v>779782293</v>
      </c>
      <c r="F21" s="305">
        <f>D21/E21</f>
        <v>0.11141913554582343</v>
      </c>
      <c r="G21" s="124" t="s">
        <v>360</v>
      </c>
      <c r="H21" s="334" t="s">
        <v>389</v>
      </c>
      <c r="I21" s="334" t="s">
        <v>388</v>
      </c>
      <c r="J21" s="82"/>
    </row>
    <row r="22" spans="2:14" x14ac:dyDescent="0.25">
      <c r="B22" s="364"/>
      <c r="C22" s="4" t="str">
        <f>'S | 01 '!C22</f>
        <v>vTv Therapeutics Inc.</v>
      </c>
      <c r="D22" s="398">
        <f>ROUNDUP(10386274/40,0)</f>
        <v>259657</v>
      </c>
      <c r="E22" s="116">
        <f>ROUNDUP(81483600+23093860+9545439+3214503,0)+464377+3853997</f>
        <v>121655776</v>
      </c>
      <c r="F22" s="426">
        <f>D22/E22</f>
        <v>2.134358174658308E-3</v>
      </c>
      <c r="G22" s="124" t="s">
        <v>445</v>
      </c>
      <c r="H22" s="124" t="s">
        <v>383</v>
      </c>
      <c r="I22" s="124" t="s">
        <v>192</v>
      </c>
      <c r="J22" s="82"/>
      <c r="L22" s="119"/>
    </row>
    <row r="23" spans="2:14" x14ac:dyDescent="0.25">
      <c r="B23" s="382" t="s">
        <v>26</v>
      </c>
      <c r="C23" s="4" t="str">
        <f>'S | 01 '!C23</f>
        <v>Honor Device Co Ltd</v>
      </c>
      <c r="D23" s="120">
        <f>1517126944.34*0.8/2</f>
        <v>606850777.73599994</v>
      </c>
      <c r="E23" s="120">
        <v>32238947567.490002</v>
      </c>
      <c r="F23" s="70">
        <f>4.705882%* 0.8/2</f>
        <v>1.8823528000000003E-2</v>
      </c>
      <c r="G23" s="124" t="s">
        <v>148</v>
      </c>
      <c r="H23" s="124" t="s">
        <v>354</v>
      </c>
      <c r="I23" s="124" t="s">
        <v>387</v>
      </c>
      <c r="J23" s="82"/>
      <c r="L23" s="154"/>
      <c r="M23" s="118"/>
    </row>
    <row r="24" spans="2:14" x14ac:dyDescent="0.25">
      <c r="B24" s="364"/>
      <c r="C24" s="4" t="str">
        <f>'S | 01 '!C24</f>
        <v>Applied AI Corporation Limited</v>
      </c>
      <c r="D24" s="116" t="s">
        <v>124</v>
      </c>
      <c r="E24" s="116" t="s">
        <v>124</v>
      </c>
      <c r="F24" s="70" t="s">
        <v>124</v>
      </c>
      <c r="G24" s="124" t="s">
        <v>356</v>
      </c>
      <c r="H24" s="124" t="s">
        <v>390</v>
      </c>
      <c r="I24" s="124" t="s">
        <v>391</v>
      </c>
      <c r="J24" s="82"/>
      <c r="L24" s="385" t="s">
        <v>432</v>
      </c>
      <c r="M24" s="386"/>
      <c r="N24" s="387"/>
    </row>
    <row r="25" spans="2:14" x14ac:dyDescent="0.25">
      <c r="B25" s="364"/>
      <c r="C25" s="4" t="str">
        <f>'S | 01 '!C25</f>
        <v xml:space="preserve">eSpace </v>
      </c>
      <c r="D25" s="116">
        <v>417846</v>
      </c>
      <c r="E25" s="116">
        <v>14995394</v>
      </c>
      <c r="F25" s="305">
        <f>D25/E25</f>
        <v>2.7864956399278339E-2</v>
      </c>
      <c r="G25" s="124" t="s">
        <v>456</v>
      </c>
      <c r="H25" s="124" t="s">
        <v>383</v>
      </c>
      <c r="I25" s="124" t="s">
        <v>192</v>
      </c>
      <c r="J25" s="82"/>
      <c r="L25" s="118">
        <v>5400972</v>
      </c>
      <c r="M25" s="118" t="s">
        <v>426</v>
      </c>
    </row>
    <row r="26" spans="2:14" x14ac:dyDescent="0.25">
      <c r="B26" s="364"/>
      <c r="C26" s="4" t="str">
        <f>'S | 01 '!C26</f>
        <v>Tools for Humanity Corporation</v>
      </c>
      <c r="D26" s="116">
        <v>65413</v>
      </c>
      <c r="E26" s="116">
        <v>10445692.929292928</v>
      </c>
      <c r="F26" s="305">
        <f>D26/E26</f>
        <v>6.2621982517370271E-3</v>
      </c>
      <c r="G26" s="124" t="s">
        <v>417</v>
      </c>
      <c r="H26" s="124" t="s">
        <v>383</v>
      </c>
      <c r="I26" s="124" t="s">
        <v>192</v>
      </c>
      <c r="J26" s="82"/>
      <c r="L26" s="118">
        <v>4857352</v>
      </c>
      <c r="M26" s="118" t="s">
        <v>427</v>
      </c>
    </row>
    <row r="27" spans="2:14" x14ac:dyDescent="0.25">
      <c r="B27" s="364"/>
      <c r="C27" s="4" t="str">
        <f>'S | 01 '!C27</f>
        <v>WLD Tokens</v>
      </c>
      <c r="D27" s="116">
        <v>62500000</v>
      </c>
      <c r="E27" s="116">
        <v>10000000000</v>
      </c>
      <c r="F27" s="305">
        <f>D27/E27</f>
        <v>6.2500000000000003E-3</v>
      </c>
      <c r="G27" s="124" t="s">
        <v>417</v>
      </c>
      <c r="H27" s="124" t="s">
        <v>418</v>
      </c>
      <c r="I27" s="124" t="s">
        <v>382</v>
      </c>
      <c r="J27" s="82"/>
      <c r="L27" s="118">
        <v>16791835</v>
      </c>
      <c r="M27" s="118" t="s">
        <v>428</v>
      </c>
    </row>
    <row r="28" spans="2:14" x14ac:dyDescent="0.25">
      <c r="B28" s="364"/>
      <c r="C28" s="4" t="str">
        <f>'S | 01 '!C28</f>
        <v>E-line Ventures LLC</v>
      </c>
      <c r="D28" s="116">
        <v>4477612</v>
      </c>
      <c r="E28" s="116">
        <f>L32</f>
        <v>38990900</v>
      </c>
      <c r="F28" s="305">
        <f>D28/E28</f>
        <v>0.11483735948644427</v>
      </c>
      <c r="G28" s="124" t="s">
        <v>435</v>
      </c>
      <c r="H28" s="124" t="s">
        <v>433</v>
      </c>
      <c r="I28" s="124" t="s">
        <v>433</v>
      </c>
      <c r="J28" s="82"/>
      <c r="L28" s="118">
        <v>1465517</v>
      </c>
      <c r="M28" s="118" t="s">
        <v>429</v>
      </c>
    </row>
    <row r="29" spans="2:14" x14ac:dyDescent="0.25">
      <c r="B29" s="364"/>
      <c r="C29" s="4" t="str">
        <f>'S | 01 '!C29</f>
        <v>School Hack (AIREV Holding Limited)</v>
      </c>
      <c r="D29" s="116">
        <v>25000</v>
      </c>
      <c r="E29" s="116">
        <v>100000</v>
      </c>
      <c r="F29" s="305">
        <f t="shared" ref="F29" si="0">D29/E29</f>
        <v>0.25</v>
      </c>
      <c r="G29" s="124" t="s">
        <v>471</v>
      </c>
      <c r="H29" s="124" t="s">
        <v>390</v>
      </c>
      <c r="I29" s="124" t="s">
        <v>472</v>
      </c>
      <c r="J29" s="82"/>
      <c r="L29" s="118">
        <f>D28*2</f>
        <v>8955224</v>
      </c>
      <c r="M29" s="118" t="s">
        <v>430</v>
      </c>
    </row>
    <row r="30" spans="2:14" x14ac:dyDescent="0.25">
      <c r="B30" s="364"/>
      <c r="C30" s="4" t="str">
        <f>'S | 01 '!C30</f>
        <v>Life Biosciences LLC</v>
      </c>
      <c r="D30" s="116" t="s">
        <v>124</v>
      </c>
      <c r="E30" s="116" t="s">
        <v>124</v>
      </c>
      <c r="F30" s="70" t="s">
        <v>124</v>
      </c>
      <c r="G30" s="124" t="s">
        <v>356</v>
      </c>
      <c r="H30" s="124" t="s">
        <v>383</v>
      </c>
      <c r="I30" s="124" t="s">
        <v>192</v>
      </c>
      <c r="J30" s="82"/>
      <c r="L30" s="118">
        <v>1520000</v>
      </c>
      <c r="M30" s="118" t="s">
        <v>431</v>
      </c>
    </row>
    <row r="31" spans="2:14" x14ac:dyDescent="0.25">
      <c r="B31" s="364"/>
      <c r="C31" s="4" t="str">
        <f>'S | 01 '!C31</f>
        <v>Verses AI Inc</v>
      </c>
      <c r="D31" s="116" t="s">
        <v>124</v>
      </c>
      <c r="E31" s="116" t="s">
        <v>124</v>
      </c>
      <c r="F31" s="70" t="s">
        <v>124</v>
      </c>
      <c r="G31" s="124" t="s">
        <v>687</v>
      </c>
      <c r="H31" s="124" t="s">
        <v>690</v>
      </c>
      <c r="I31" s="124" t="s">
        <v>688</v>
      </c>
      <c r="J31" s="82"/>
      <c r="L31" s="118"/>
      <c r="M31" s="118"/>
    </row>
    <row r="32" spans="2:14" x14ac:dyDescent="0.25">
      <c r="B32" s="364"/>
      <c r="C32" s="5"/>
      <c r="D32" s="28"/>
      <c r="E32" s="28"/>
      <c r="F32" s="373"/>
      <c r="G32" s="374"/>
      <c r="H32" s="374"/>
      <c r="I32" s="374"/>
      <c r="J32" s="82"/>
      <c r="L32" s="376">
        <f>SUM(L25:L30)</f>
        <v>38990900</v>
      </c>
      <c r="M32" s="376"/>
      <c r="N32" s="377"/>
    </row>
    <row r="33" spans="1:18" x14ac:dyDescent="0.25">
      <c r="A33" s="85"/>
      <c r="B33" s="383"/>
      <c r="C33" s="323"/>
      <c r="D33" s="324"/>
      <c r="E33" s="324"/>
      <c r="F33" s="325"/>
      <c r="G33" s="326"/>
      <c r="H33" s="326"/>
      <c r="I33" s="326"/>
      <c r="J33" s="84"/>
      <c r="K33" s="85"/>
    </row>
    <row r="34" spans="1:18" x14ac:dyDescent="0.25">
      <c r="B34" s="364"/>
      <c r="C34" s="5"/>
      <c r="D34" s="28"/>
      <c r="E34" s="28"/>
      <c r="F34" s="117"/>
      <c r="G34" s="125"/>
      <c r="H34" s="125"/>
      <c r="I34" s="125"/>
      <c r="J34" s="82"/>
    </row>
    <row r="35" spans="1:18" x14ac:dyDescent="0.25">
      <c r="B35" s="364"/>
      <c r="C35" s="317" t="s">
        <v>30</v>
      </c>
      <c r="D35" s="321" t="s">
        <v>394</v>
      </c>
      <c r="E35" s="321" t="s">
        <v>395</v>
      </c>
      <c r="F35" s="322"/>
      <c r="G35" s="320"/>
      <c r="H35" s="320"/>
      <c r="I35" s="320"/>
      <c r="J35" s="82"/>
    </row>
    <row r="36" spans="1:18" x14ac:dyDescent="0.25">
      <c r="B36" s="364"/>
      <c r="C36" s="4" t="s">
        <v>118</v>
      </c>
      <c r="D36" s="116">
        <v>23234462</v>
      </c>
      <c r="E36" s="116" t="s">
        <v>407</v>
      </c>
      <c r="F36" s="70" t="e">
        <f>'8. NewSpace'!#REF!</f>
        <v>#REF!</v>
      </c>
      <c r="G36" s="124" t="s">
        <v>408</v>
      </c>
      <c r="H36" s="124" t="s">
        <v>399</v>
      </c>
      <c r="I36" s="124" t="s">
        <v>399</v>
      </c>
      <c r="J36" s="82"/>
    </row>
    <row r="37" spans="1:18" x14ac:dyDescent="0.25">
      <c r="B37" s="364"/>
      <c r="C37" s="4" t="s">
        <v>347</v>
      </c>
      <c r="D37" s="116">
        <f>-'CF (Funds)'!H51*10^6</f>
        <v>2125000</v>
      </c>
      <c r="E37" s="116" t="s">
        <v>407</v>
      </c>
      <c r="F37" s="70" t="e">
        <f>'8. NewSpace'!#REF!</f>
        <v>#REF!</v>
      </c>
      <c r="G37" s="124"/>
      <c r="H37" s="124" t="s">
        <v>399</v>
      </c>
      <c r="I37" s="124" t="s">
        <v>399</v>
      </c>
      <c r="J37" s="82"/>
      <c r="P37" s="265"/>
      <c r="Q37" s="265"/>
    </row>
    <row r="38" spans="1:18" x14ac:dyDescent="0.25">
      <c r="B38" s="364"/>
      <c r="C38" s="4" t="s">
        <v>1</v>
      </c>
      <c r="D38" s="116">
        <v>300000000</v>
      </c>
      <c r="E38" s="116">
        <v>301507538</v>
      </c>
      <c r="F38" s="70">
        <f>D38/E38</f>
        <v>0.99499999897183333</v>
      </c>
      <c r="G38" s="124" t="s">
        <v>398</v>
      </c>
      <c r="H38" s="124" t="s">
        <v>382</v>
      </c>
      <c r="I38" s="124" t="s">
        <v>382</v>
      </c>
      <c r="J38" s="82"/>
      <c r="P38" s="358"/>
      <c r="Q38" s="358"/>
    </row>
    <row r="39" spans="1:18" x14ac:dyDescent="0.25">
      <c r="B39" s="382" t="s">
        <v>26</v>
      </c>
      <c r="C39" s="4" t="s">
        <v>12</v>
      </c>
      <c r="D39" s="116">
        <v>50000000</v>
      </c>
      <c r="E39" s="116">
        <v>496717172</v>
      </c>
      <c r="F39" s="70">
        <f>D39/E39</f>
        <v>0.10066090487405174</v>
      </c>
      <c r="G39" s="124" t="s">
        <v>436</v>
      </c>
      <c r="H39" s="124" t="s">
        <v>382</v>
      </c>
      <c r="I39" s="124" t="s">
        <v>382</v>
      </c>
      <c r="J39" s="82"/>
      <c r="P39" s="265"/>
      <c r="Q39" s="265"/>
      <c r="R39" s="154"/>
    </row>
    <row r="40" spans="1:18" x14ac:dyDescent="0.25">
      <c r="B40" s="364"/>
      <c r="C40" s="4" t="s">
        <v>164</v>
      </c>
      <c r="D40" s="116">
        <v>17112500</v>
      </c>
      <c r="E40" s="116">
        <v>51337500</v>
      </c>
      <c r="F40" s="70">
        <f>D40/E40</f>
        <v>0.33333333333333331</v>
      </c>
      <c r="G40" s="124" t="s">
        <v>396</v>
      </c>
      <c r="H40" s="124" t="s">
        <v>397</v>
      </c>
      <c r="I40" s="124" t="s">
        <v>192</v>
      </c>
      <c r="J40" s="82"/>
    </row>
    <row r="41" spans="1:18" x14ac:dyDescent="0.25">
      <c r="B41" s="364"/>
      <c r="C41" s="5"/>
      <c r="D41" s="28"/>
      <c r="E41" s="28"/>
      <c r="F41" s="117"/>
      <c r="G41" s="125"/>
      <c r="H41" s="125"/>
      <c r="I41" s="125"/>
      <c r="J41" s="82"/>
    </row>
    <row r="42" spans="1:18" ht="15.75" thickBot="1" x14ac:dyDescent="0.3">
      <c r="B42" s="384"/>
      <c r="C42" s="87"/>
      <c r="D42" s="115"/>
      <c r="E42" s="115"/>
      <c r="F42" s="87"/>
      <c r="G42" s="126"/>
      <c r="H42" s="126"/>
      <c r="I42" s="126"/>
      <c r="J42" s="90"/>
    </row>
    <row r="43" spans="1:18" x14ac:dyDescent="0.25">
      <c r="C43" s="71"/>
      <c r="D43" s="112"/>
      <c r="E43" s="112"/>
      <c r="F43" s="71"/>
    </row>
    <row r="45" spans="1:18" x14ac:dyDescent="0.25">
      <c r="F45" s="27"/>
      <c r="G45" s="27"/>
      <c r="H45" s="27"/>
      <c r="I45" s="27"/>
      <c r="J45" s="27"/>
    </row>
    <row r="46" spans="1:18" x14ac:dyDescent="0.25">
      <c r="F46" s="27"/>
      <c r="G46" s="27"/>
      <c r="H46" s="27"/>
      <c r="I46" s="27"/>
      <c r="J46" s="27"/>
    </row>
    <row r="47" spans="1:18" x14ac:dyDescent="0.25">
      <c r="F47" s="27"/>
      <c r="G47" s="27"/>
      <c r="H47" s="27"/>
      <c r="I47" s="27"/>
      <c r="J47" s="27"/>
    </row>
    <row r="48" spans="1:18" x14ac:dyDescent="0.25">
      <c r="F48" s="27"/>
      <c r="G48" s="27"/>
      <c r="H48" s="27"/>
      <c r="I48" s="27"/>
      <c r="J48" s="27"/>
    </row>
    <row r="49" spans="3:10" x14ac:dyDescent="0.25">
      <c r="F49" s="27"/>
      <c r="G49" s="27"/>
      <c r="H49" s="27"/>
      <c r="I49" s="27"/>
      <c r="J49" s="27"/>
    </row>
    <row r="50" spans="3:10" x14ac:dyDescent="0.25">
      <c r="F50" s="27"/>
      <c r="G50" s="27"/>
      <c r="H50" s="27"/>
      <c r="I50" s="27"/>
      <c r="J50" s="27"/>
    </row>
    <row r="53" spans="3:10" x14ac:dyDescent="0.25">
      <c r="C53" s="153"/>
    </row>
  </sheetData>
  <pageMargins left="0.7" right="0.7" top="0.75" bottom="0.75" header="0.3" footer="0.3"/>
  <pageSetup paperSize="9" orientation="portrait" verticalDpi="0" r:id="rId1"/>
  <ignoredErrors>
    <ignoredError sqref="F20" formula="1"/>
  </ignoredError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L54"/>
  <sheetViews>
    <sheetView showGridLines="0" zoomScale="70" zoomScaleNormal="70" workbookViewId="0">
      <selection activeCell="D39" sqref="D39"/>
    </sheetView>
  </sheetViews>
  <sheetFormatPr defaultColWidth="9.140625" defaultRowHeight="15" x14ac:dyDescent="0.25"/>
  <cols>
    <col min="1" max="1" width="5.42578125" style="26" customWidth="1"/>
    <col min="2" max="2" width="2.42578125" style="26" customWidth="1"/>
    <col min="3" max="3" width="35.42578125" style="71" customWidth="1"/>
    <col min="4" max="4" width="35.28515625" style="27" customWidth="1"/>
    <col min="5" max="5" width="43.28515625" style="72" customWidth="1"/>
    <col min="6" max="6" width="8.85546875" style="27" customWidth="1"/>
    <col min="7" max="7" width="15.85546875" style="27" customWidth="1"/>
    <col min="8" max="8" width="75.42578125" style="27" customWidth="1"/>
    <col min="9" max="9" width="2.28515625" style="26" customWidth="1"/>
    <col min="10" max="10" width="2.42578125" style="26" customWidth="1"/>
    <col min="11" max="16384" width="9.140625" style="26"/>
  </cols>
  <sheetData>
    <row r="1" spans="2:9" ht="15.75" thickBot="1" x14ac:dyDescent="0.3"/>
    <row r="2" spans="2:9" x14ac:dyDescent="0.25">
      <c r="B2" s="73"/>
      <c r="C2" s="74"/>
      <c r="D2" s="75"/>
      <c r="E2" s="76"/>
      <c r="F2" s="75"/>
      <c r="G2" s="75"/>
      <c r="H2" s="75"/>
      <c r="I2" s="77"/>
    </row>
    <row r="3" spans="2:9" s="80" customFormat="1" ht="30" customHeight="1" x14ac:dyDescent="0.25">
      <c r="B3" s="78"/>
      <c r="C3" s="3" t="s">
        <v>51</v>
      </c>
      <c r="D3" s="1" t="s">
        <v>142</v>
      </c>
      <c r="E3" s="3" t="s">
        <v>81</v>
      </c>
      <c r="F3" s="1" t="s">
        <v>92</v>
      </c>
      <c r="G3" s="1" t="s">
        <v>25</v>
      </c>
      <c r="H3" s="97" t="s">
        <v>3</v>
      </c>
      <c r="I3" s="79"/>
    </row>
    <row r="4" spans="2:9" x14ac:dyDescent="0.25">
      <c r="B4" s="81"/>
      <c r="C4" s="5"/>
      <c r="D4" s="8"/>
      <c r="E4" s="43"/>
      <c r="F4" s="8"/>
      <c r="G4" s="8"/>
      <c r="H4" s="8"/>
      <c r="I4" s="82"/>
    </row>
    <row r="5" spans="2:9" x14ac:dyDescent="0.25">
      <c r="B5" s="81"/>
      <c r="C5" s="16" t="s">
        <v>28</v>
      </c>
      <c r="D5" s="2"/>
      <c r="E5" s="44"/>
      <c r="F5" s="2"/>
      <c r="G5" s="2"/>
      <c r="H5" s="2"/>
      <c r="I5" s="82"/>
    </row>
    <row r="6" spans="2:9" x14ac:dyDescent="0.25">
      <c r="B6" s="81"/>
      <c r="C6" s="4" t="s">
        <v>0</v>
      </c>
      <c r="D6" s="41" t="s">
        <v>672</v>
      </c>
      <c r="E6" s="45" t="s">
        <v>96</v>
      </c>
      <c r="F6" s="221"/>
      <c r="G6" s="221" t="s">
        <v>82</v>
      </c>
      <c r="H6" s="50"/>
      <c r="I6" s="82"/>
    </row>
    <row r="7" spans="2:9" x14ac:dyDescent="0.25">
      <c r="B7" s="81"/>
      <c r="C7" s="4" t="s">
        <v>38</v>
      </c>
      <c r="D7" s="41" t="s">
        <v>100</v>
      </c>
      <c r="E7" s="45" t="s">
        <v>457</v>
      </c>
      <c r="F7" s="221"/>
      <c r="G7" s="221"/>
      <c r="H7" s="50" t="s">
        <v>671</v>
      </c>
      <c r="I7" s="82"/>
    </row>
    <row r="8" spans="2:9" x14ac:dyDescent="0.25">
      <c r="B8" s="81"/>
      <c r="C8" s="4" t="s">
        <v>39</v>
      </c>
      <c r="D8" s="41" t="s">
        <v>138</v>
      </c>
      <c r="E8" s="45" t="s">
        <v>124</v>
      </c>
      <c r="F8" s="221" t="s">
        <v>121</v>
      </c>
      <c r="G8" s="221" t="s">
        <v>26</v>
      </c>
      <c r="H8" s="41" t="s">
        <v>125</v>
      </c>
      <c r="I8" s="82"/>
    </row>
    <row r="9" spans="2:9" x14ac:dyDescent="0.25">
      <c r="B9" s="81"/>
      <c r="C9" s="4" t="s">
        <v>47</v>
      </c>
      <c r="D9" s="41" t="s">
        <v>672</v>
      </c>
      <c r="E9" s="45" t="s">
        <v>324</v>
      </c>
      <c r="F9" s="221" t="s">
        <v>120</v>
      </c>
      <c r="G9" s="221" t="s">
        <v>82</v>
      </c>
      <c r="H9" s="41"/>
      <c r="I9" s="82"/>
    </row>
    <row r="10" spans="2:9" x14ac:dyDescent="0.25">
      <c r="B10" s="81"/>
      <c r="C10" s="4" t="s">
        <v>37</v>
      </c>
      <c r="D10" s="41" t="s">
        <v>672</v>
      </c>
      <c r="E10" s="45" t="s">
        <v>325</v>
      </c>
      <c r="F10" s="221" t="s">
        <v>122</v>
      </c>
      <c r="G10" s="221"/>
      <c r="H10" s="50"/>
      <c r="I10" s="82"/>
    </row>
    <row r="11" spans="2:9" x14ac:dyDescent="0.25">
      <c r="B11" s="81"/>
      <c r="C11" s="4" t="s">
        <v>87</v>
      </c>
      <c r="D11" s="41" t="s">
        <v>672</v>
      </c>
      <c r="E11" s="45" t="s">
        <v>95</v>
      </c>
      <c r="F11" s="221"/>
      <c r="G11" s="221"/>
      <c r="H11" s="50"/>
      <c r="I11" s="82"/>
    </row>
    <row r="12" spans="2:9" x14ac:dyDescent="0.25">
      <c r="B12" s="81"/>
      <c r="C12" s="4" t="s">
        <v>9</v>
      </c>
      <c r="D12" s="41" t="s">
        <v>673</v>
      </c>
      <c r="E12" s="45" t="s">
        <v>63</v>
      </c>
      <c r="F12" s="221"/>
      <c r="G12" s="221" t="s">
        <v>559</v>
      </c>
      <c r="H12" s="50" t="s">
        <v>451</v>
      </c>
      <c r="I12" s="82"/>
    </row>
    <row r="13" spans="2:9" x14ac:dyDescent="0.25">
      <c r="B13" s="81"/>
      <c r="C13" s="4" t="s">
        <v>18</v>
      </c>
      <c r="D13" s="41" t="s">
        <v>672</v>
      </c>
      <c r="E13" s="45" t="s">
        <v>98</v>
      </c>
      <c r="F13" s="221"/>
      <c r="G13" s="221" t="s">
        <v>26</v>
      </c>
      <c r="H13" s="50" t="s">
        <v>26</v>
      </c>
      <c r="I13" s="82"/>
    </row>
    <row r="14" spans="2:9" x14ac:dyDescent="0.25">
      <c r="B14" s="81"/>
      <c r="C14" s="4" t="s">
        <v>40</v>
      </c>
      <c r="D14" s="41" t="s">
        <v>100</v>
      </c>
      <c r="E14" s="45" t="s">
        <v>97</v>
      </c>
      <c r="F14" s="221" t="s">
        <v>123</v>
      </c>
      <c r="G14" s="221"/>
      <c r="H14" s="50"/>
      <c r="I14" s="82"/>
    </row>
    <row r="15" spans="2:9" x14ac:dyDescent="0.25">
      <c r="B15" s="81"/>
      <c r="C15" s="4" t="s">
        <v>41</v>
      </c>
      <c r="D15" s="41" t="s">
        <v>675</v>
      </c>
      <c r="E15" s="45" t="s">
        <v>676</v>
      </c>
      <c r="F15" s="221"/>
      <c r="G15" s="221"/>
      <c r="H15" s="50"/>
      <c r="I15" s="82"/>
    </row>
    <row r="16" spans="2:9" x14ac:dyDescent="0.25">
      <c r="B16" s="81"/>
      <c r="C16" s="4" t="s">
        <v>42</v>
      </c>
      <c r="D16" s="41" t="s">
        <v>100</v>
      </c>
      <c r="E16" s="45"/>
      <c r="F16" s="221"/>
      <c r="G16" s="221" t="s">
        <v>26</v>
      </c>
      <c r="H16" s="50" t="s">
        <v>26</v>
      </c>
      <c r="I16" s="82"/>
    </row>
    <row r="17" spans="2:12" x14ac:dyDescent="0.25">
      <c r="B17" s="81"/>
      <c r="C17" s="4" t="s">
        <v>70</v>
      </c>
      <c r="D17" s="41" t="s">
        <v>138</v>
      </c>
      <c r="E17" s="45" t="s">
        <v>124</v>
      </c>
      <c r="F17" s="222"/>
      <c r="G17" s="221" t="s">
        <v>26</v>
      </c>
      <c r="H17" s="50"/>
      <c r="I17" s="82"/>
    </row>
    <row r="18" spans="2:12" x14ac:dyDescent="0.25">
      <c r="B18" s="81"/>
      <c r="C18" s="4" t="s">
        <v>19</v>
      </c>
      <c r="D18" s="41" t="s">
        <v>100</v>
      </c>
      <c r="E18" s="45" t="s">
        <v>99</v>
      </c>
      <c r="F18" s="222"/>
      <c r="G18" s="222"/>
      <c r="H18" s="50"/>
      <c r="I18" s="82"/>
    </row>
    <row r="19" spans="2:12" x14ac:dyDescent="0.25">
      <c r="B19" s="81"/>
      <c r="C19" s="4" t="s">
        <v>88</v>
      </c>
      <c r="D19" s="41" t="s">
        <v>674</v>
      </c>
      <c r="E19" s="45" t="s">
        <v>268</v>
      </c>
      <c r="F19" s="222"/>
      <c r="G19" s="222"/>
      <c r="H19" s="50"/>
      <c r="I19" s="82"/>
    </row>
    <row r="20" spans="2:12" x14ac:dyDescent="0.25">
      <c r="B20" s="81"/>
      <c r="C20" s="4" t="s">
        <v>35</v>
      </c>
      <c r="D20" s="41" t="s">
        <v>138</v>
      </c>
      <c r="E20" s="45" t="s">
        <v>124</v>
      </c>
      <c r="F20" s="221" t="s">
        <v>267</v>
      </c>
      <c r="G20" s="221" t="s">
        <v>26</v>
      </c>
      <c r="H20" s="50"/>
      <c r="I20" s="82"/>
      <c r="L20" s="4" t="s">
        <v>424</v>
      </c>
    </row>
    <row r="21" spans="2:12" x14ac:dyDescent="0.25">
      <c r="B21" s="81"/>
      <c r="C21" s="4" t="s">
        <v>246</v>
      </c>
      <c r="D21" s="41" t="s">
        <v>138</v>
      </c>
      <c r="E21" s="45" t="s">
        <v>124</v>
      </c>
      <c r="F21" s="221"/>
      <c r="G21" s="221"/>
      <c r="H21" s="50"/>
      <c r="I21" s="82"/>
      <c r="L21" s="4" t="s">
        <v>467</v>
      </c>
    </row>
    <row r="22" spans="2:12" x14ac:dyDescent="0.25">
      <c r="B22" s="81"/>
      <c r="C22" s="4" t="s">
        <v>276</v>
      </c>
      <c r="D22" s="41" t="s">
        <v>138</v>
      </c>
      <c r="E22" s="45" t="s">
        <v>124</v>
      </c>
      <c r="F22" s="221"/>
      <c r="G22" s="221"/>
      <c r="H22" s="50"/>
      <c r="I22" s="82"/>
    </row>
    <row r="23" spans="2:12" x14ac:dyDescent="0.25">
      <c r="B23" s="81"/>
      <c r="C23" s="4" t="s">
        <v>348</v>
      </c>
      <c r="D23" s="41" t="s">
        <v>138</v>
      </c>
      <c r="E23" s="45" t="s">
        <v>124</v>
      </c>
      <c r="F23" s="221"/>
      <c r="G23" s="221"/>
      <c r="H23" s="50"/>
      <c r="I23" s="82"/>
    </row>
    <row r="24" spans="2:12" x14ac:dyDescent="0.25">
      <c r="B24" s="81"/>
      <c r="C24" s="4" t="s">
        <v>424</v>
      </c>
      <c r="D24" s="41"/>
      <c r="E24" s="45"/>
      <c r="F24" s="221"/>
      <c r="G24" s="221"/>
      <c r="H24" s="50"/>
      <c r="I24" s="82"/>
    </row>
    <row r="25" spans="2:12" x14ac:dyDescent="0.25">
      <c r="B25" s="81"/>
      <c r="C25" s="5" t="s">
        <v>467</v>
      </c>
      <c r="D25" s="365" t="s">
        <v>673</v>
      </c>
      <c r="E25" s="45" t="s">
        <v>124</v>
      </c>
      <c r="F25" s="366"/>
      <c r="G25" s="366"/>
      <c r="H25" s="367"/>
      <c r="I25" s="82"/>
    </row>
    <row r="26" spans="2:12" s="85" customFormat="1" x14ac:dyDescent="0.25">
      <c r="B26" s="83"/>
      <c r="C26" s="9"/>
      <c r="D26" s="42"/>
      <c r="E26" s="46"/>
      <c r="F26" s="223"/>
      <c r="G26" s="223"/>
      <c r="H26" s="165"/>
      <c r="I26" s="84"/>
    </row>
    <row r="27" spans="2:12" x14ac:dyDescent="0.25">
      <c r="B27" s="81"/>
      <c r="C27" s="5"/>
      <c r="D27" s="22"/>
      <c r="E27" s="47"/>
      <c r="F27" s="22"/>
      <c r="G27" s="22"/>
      <c r="H27" s="166"/>
      <c r="I27" s="82"/>
    </row>
    <row r="28" spans="2:12" x14ac:dyDescent="0.25">
      <c r="B28" s="81"/>
      <c r="C28" s="16" t="s">
        <v>29</v>
      </c>
      <c r="D28" s="20"/>
      <c r="E28" s="48"/>
      <c r="F28" s="20"/>
      <c r="G28" s="20"/>
      <c r="H28" s="167"/>
      <c r="I28" s="82"/>
    </row>
    <row r="29" spans="2:12" x14ac:dyDescent="0.25">
      <c r="B29" s="81"/>
      <c r="C29" s="4" t="s">
        <v>48</v>
      </c>
      <c r="D29" s="20" t="s">
        <v>138</v>
      </c>
      <c r="E29" s="48"/>
      <c r="F29" s="20"/>
      <c r="G29" s="20"/>
      <c r="H29" s="167"/>
      <c r="I29" s="82"/>
    </row>
    <row r="30" spans="2:12" x14ac:dyDescent="0.25">
      <c r="B30" s="81"/>
      <c r="C30" s="4" t="s">
        <v>0</v>
      </c>
      <c r="D30" s="41" t="s">
        <v>672</v>
      </c>
      <c r="E30" s="45" t="s">
        <v>96</v>
      </c>
      <c r="F30" s="41"/>
      <c r="G30" s="221" t="s">
        <v>82</v>
      </c>
      <c r="H30" s="50"/>
      <c r="I30" s="82"/>
    </row>
    <row r="31" spans="2:12" x14ac:dyDescent="0.25">
      <c r="B31" s="81"/>
      <c r="C31" s="4" t="s">
        <v>39</v>
      </c>
      <c r="D31" s="41" t="s">
        <v>138</v>
      </c>
      <c r="E31" s="45"/>
      <c r="F31" s="41"/>
      <c r="G31" s="41"/>
      <c r="H31" s="50"/>
      <c r="I31" s="82"/>
    </row>
    <row r="32" spans="2:12" s="85" customFormat="1" x14ac:dyDescent="0.25">
      <c r="B32" s="83"/>
      <c r="C32" s="9"/>
      <c r="D32" s="21"/>
      <c r="E32" s="49"/>
      <c r="F32" s="21"/>
      <c r="G32" s="21"/>
      <c r="H32" s="168"/>
      <c r="I32" s="84"/>
    </row>
    <row r="33" spans="2:9" x14ac:dyDescent="0.25">
      <c r="B33" s="81"/>
      <c r="C33" s="5"/>
      <c r="D33" s="22"/>
      <c r="E33" s="47"/>
      <c r="F33" s="22"/>
      <c r="G33" s="22"/>
      <c r="H33" s="166"/>
      <c r="I33" s="82"/>
    </row>
    <row r="34" spans="2:9" x14ac:dyDescent="0.25">
      <c r="B34" s="81"/>
      <c r="C34" s="16" t="s">
        <v>30</v>
      </c>
      <c r="D34" s="20"/>
      <c r="E34" s="69"/>
      <c r="F34" s="70"/>
      <c r="G34" s="70"/>
      <c r="H34" s="169"/>
      <c r="I34" s="82"/>
    </row>
    <row r="35" spans="2:9" x14ac:dyDescent="0.25">
      <c r="B35" s="81"/>
      <c r="C35" s="4" t="s">
        <v>118</v>
      </c>
      <c r="D35" s="20" t="s">
        <v>672</v>
      </c>
      <c r="E35" s="48" t="s">
        <v>102</v>
      </c>
      <c r="F35" s="20"/>
      <c r="G35" s="20"/>
      <c r="H35" s="167"/>
      <c r="I35" s="82"/>
    </row>
    <row r="36" spans="2:9" x14ac:dyDescent="0.25">
      <c r="B36" s="81"/>
      <c r="C36" s="4" t="s">
        <v>347</v>
      </c>
      <c r="D36" s="20" t="s">
        <v>138</v>
      </c>
      <c r="E36" s="48"/>
      <c r="F36" s="20"/>
      <c r="G36" s="20"/>
      <c r="H36" s="167"/>
      <c r="I36" s="82"/>
    </row>
    <row r="37" spans="2:9" x14ac:dyDescent="0.25">
      <c r="B37" s="81"/>
      <c r="C37" s="4" t="s">
        <v>1</v>
      </c>
      <c r="D37" s="20" t="s">
        <v>138</v>
      </c>
      <c r="E37" s="48"/>
      <c r="F37" s="20"/>
      <c r="G37" s="20"/>
      <c r="H37" s="167"/>
      <c r="I37" s="82"/>
    </row>
    <row r="38" spans="2:9" x14ac:dyDescent="0.25">
      <c r="B38" s="81"/>
      <c r="C38" s="4" t="s">
        <v>12</v>
      </c>
      <c r="D38" s="20" t="s">
        <v>138</v>
      </c>
      <c r="E38" s="48"/>
      <c r="F38" s="20"/>
      <c r="G38" s="221" t="s">
        <v>26</v>
      </c>
      <c r="H38" s="167"/>
      <c r="I38" s="82"/>
    </row>
    <row r="39" spans="2:9" x14ac:dyDescent="0.25">
      <c r="B39" s="81"/>
      <c r="C39" s="4" t="s">
        <v>164</v>
      </c>
      <c r="D39" s="20" t="s">
        <v>277</v>
      </c>
      <c r="E39" s="48" t="s">
        <v>278</v>
      </c>
      <c r="F39" s="20"/>
      <c r="G39" s="20"/>
      <c r="H39" s="164" t="s">
        <v>139</v>
      </c>
      <c r="I39" s="82"/>
    </row>
    <row r="40" spans="2:9" s="85" customFormat="1" x14ac:dyDescent="0.25">
      <c r="B40" s="83"/>
      <c r="C40" s="9"/>
      <c r="D40" s="21"/>
      <c r="E40" s="49"/>
      <c r="F40" s="21"/>
      <c r="G40" s="21"/>
      <c r="H40" s="21"/>
      <c r="I40" s="84"/>
    </row>
    <row r="41" spans="2:9" ht="15.75" thickBot="1" x14ac:dyDescent="0.3">
      <c r="B41" s="86"/>
      <c r="C41" s="87"/>
      <c r="D41" s="88"/>
      <c r="E41" s="89"/>
      <c r="F41" s="88"/>
      <c r="G41" s="88"/>
      <c r="H41" s="88"/>
      <c r="I41" s="90"/>
    </row>
    <row r="42" spans="2:9" x14ac:dyDescent="0.25">
      <c r="D42" s="91"/>
      <c r="E42" s="92"/>
      <c r="F42" s="91"/>
      <c r="G42" s="91"/>
      <c r="H42" s="91"/>
    </row>
    <row r="43" spans="2:9" x14ac:dyDescent="0.25">
      <c r="C43" s="71" t="s">
        <v>129</v>
      </c>
    </row>
    <row r="44" spans="2:9" x14ac:dyDescent="0.25">
      <c r="C44" s="71" t="s">
        <v>410</v>
      </c>
    </row>
    <row r="45" spans="2:9" x14ac:dyDescent="0.25">
      <c r="C45" s="71" t="s">
        <v>411</v>
      </c>
    </row>
    <row r="46" spans="2:9" x14ac:dyDescent="0.25">
      <c r="B46" s="133"/>
      <c r="C46" s="71" t="s">
        <v>143</v>
      </c>
    </row>
    <row r="47" spans="2:9" x14ac:dyDescent="0.25">
      <c r="B47" s="224">
        <v>1</v>
      </c>
      <c r="C47" s="71" t="s">
        <v>263</v>
      </c>
      <c r="D47" s="72"/>
    </row>
    <row r="48" spans="2:9" x14ac:dyDescent="0.25">
      <c r="B48" s="224">
        <v>2</v>
      </c>
      <c r="C48" s="72" t="s">
        <v>264</v>
      </c>
      <c r="D48" s="72"/>
      <c r="E48" s="26"/>
      <c r="F48" s="26"/>
      <c r="G48" s="26"/>
      <c r="H48" s="26"/>
    </row>
    <row r="49" spans="2:8" x14ac:dyDescent="0.25">
      <c r="B49" s="224">
        <v>3</v>
      </c>
      <c r="C49" s="71" t="s">
        <v>265</v>
      </c>
      <c r="D49" s="72"/>
      <c r="E49" s="26"/>
      <c r="F49" s="26"/>
      <c r="G49" s="26"/>
      <c r="H49" s="26"/>
    </row>
    <row r="50" spans="2:8" x14ac:dyDescent="0.25">
      <c r="B50" s="224">
        <v>4</v>
      </c>
      <c r="C50" s="71" t="s">
        <v>266</v>
      </c>
      <c r="D50" s="72"/>
      <c r="E50" s="26"/>
      <c r="F50" s="26"/>
      <c r="G50" s="26"/>
      <c r="H50" s="26"/>
    </row>
    <row r="51" spans="2:8" x14ac:dyDescent="0.25">
      <c r="B51" s="224">
        <v>5</v>
      </c>
      <c r="C51" s="71" t="s">
        <v>269</v>
      </c>
      <c r="D51" s="72"/>
      <c r="E51" s="26"/>
      <c r="F51" s="26"/>
      <c r="G51" s="26"/>
      <c r="H51" s="26"/>
    </row>
    <row r="52" spans="2:8" x14ac:dyDescent="0.25">
      <c r="B52" s="224"/>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ignoredErrors>
    <ignoredError sqref="F9:F14 F6:F8"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X67"/>
  <sheetViews>
    <sheetView showGridLines="0" zoomScale="80" zoomScaleNormal="80" workbookViewId="0">
      <selection activeCell="C9" sqref="C9"/>
    </sheetView>
  </sheetViews>
  <sheetFormatPr defaultColWidth="9.140625" defaultRowHeight="15" x14ac:dyDescent="0.3"/>
  <cols>
    <col min="1" max="1" width="9.140625" style="225"/>
    <col min="2" max="2" width="12.42578125" style="225" bestFit="1" customWidth="1"/>
    <col min="3" max="3" width="3.7109375" style="410" customWidth="1"/>
    <col min="4" max="19" width="9.140625" style="410"/>
    <col min="20" max="16384" width="9.140625" style="225"/>
  </cols>
  <sheetData>
    <row r="2" spans="2:24" x14ac:dyDescent="0.3">
      <c r="B2" s="316" t="s">
        <v>271</v>
      </c>
      <c r="C2" s="316" t="s">
        <v>272</v>
      </c>
      <c r="D2" s="316"/>
      <c r="E2" s="406"/>
      <c r="F2" s="406"/>
      <c r="G2" s="406"/>
      <c r="H2" s="406"/>
      <c r="I2" s="406"/>
      <c r="J2" s="406"/>
      <c r="K2" s="406"/>
      <c r="L2" s="406"/>
      <c r="M2" s="406"/>
      <c r="N2" s="406"/>
      <c r="O2" s="406"/>
      <c r="P2" s="406"/>
      <c r="Q2" s="406"/>
      <c r="R2" s="406"/>
      <c r="S2" s="406"/>
      <c r="X2" s="393"/>
    </row>
    <row r="3" spans="2:24" x14ac:dyDescent="0.3">
      <c r="X3" s="393"/>
    </row>
    <row r="4" spans="2:24" x14ac:dyDescent="0.3">
      <c r="B4" s="411" t="s">
        <v>681</v>
      </c>
      <c r="C4" s="407"/>
      <c r="D4" s="408"/>
      <c r="E4" s="409"/>
      <c r="F4" s="409"/>
      <c r="G4" s="409"/>
      <c r="H4" s="409"/>
      <c r="I4" s="409"/>
      <c r="J4" s="409"/>
      <c r="K4" s="409"/>
      <c r="L4" s="409"/>
      <c r="M4" s="409"/>
      <c r="N4" s="409"/>
      <c r="O4" s="409"/>
      <c r="P4" s="409"/>
      <c r="Q4" s="409"/>
      <c r="R4" s="409"/>
      <c r="S4" s="409"/>
      <c r="X4" s="393"/>
    </row>
    <row r="5" spans="2:24" x14ac:dyDescent="0.3">
      <c r="C5" s="410" t="s">
        <v>682</v>
      </c>
      <c r="X5" s="393"/>
    </row>
    <row r="6" spans="2:24" x14ac:dyDescent="0.3">
      <c r="C6" s="410" t="s">
        <v>683</v>
      </c>
      <c r="X6" s="393"/>
    </row>
    <row r="7" spans="2:24" x14ac:dyDescent="0.3">
      <c r="C7" s="410" t="s">
        <v>684</v>
      </c>
      <c r="X7" s="393"/>
    </row>
    <row r="8" spans="2:24" x14ac:dyDescent="0.3">
      <c r="C8" s="410" t="s">
        <v>700</v>
      </c>
      <c r="X8" s="393"/>
    </row>
    <row r="9" spans="2:24" x14ac:dyDescent="0.3">
      <c r="B9" s="411" t="s">
        <v>678</v>
      </c>
      <c r="C9" s="407"/>
      <c r="D9" s="408"/>
      <c r="E9" s="409"/>
      <c r="F9" s="409"/>
      <c r="G9" s="409"/>
      <c r="H9" s="409"/>
      <c r="I9" s="409"/>
      <c r="J9" s="409"/>
      <c r="K9" s="409"/>
      <c r="L9" s="409"/>
      <c r="M9" s="409"/>
      <c r="N9" s="409"/>
      <c r="O9" s="409"/>
      <c r="P9" s="409"/>
      <c r="Q9" s="409"/>
      <c r="R9" s="409"/>
      <c r="S9" s="409"/>
      <c r="X9" s="393"/>
    </row>
    <row r="10" spans="2:24" x14ac:dyDescent="0.3">
      <c r="C10" s="410" t="s">
        <v>679</v>
      </c>
      <c r="X10" s="393"/>
    </row>
    <row r="11" spans="2:24" x14ac:dyDescent="0.3">
      <c r="B11" s="411" t="s">
        <v>677</v>
      </c>
      <c r="C11" s="407"/>
      <c r="D11" s="408"/>
      <c r="E11" s="409"/>
      <c r="F11" s="409"/>
      <c r="G11" s="409"/>
      <c r="H11" s="409"/>
      <c r="I11" s="409"/>
      <c r="J11" s="409"/>
      <c r="K11" s="409"/>
      <c r="L11" s="409"/>
      <c r="M11" s="409"/>
      <c r="N11" s="409"/>
      <c r="O11" s="409"/>
      <c r="P11" s="409"/>
      <c r="Q11" s="409"/>
      <c r="R11" s="409"/>
      <c r="S11" s="409"/>
      <c r="X11" s="393"/>
    </row>
    <row r="12" spans="2:24" x14ac:dyDescent="0.3">
      <c r="C12" s="410" t="s">
        <v>679</v>
      </c>
      <c r="X12" s="393"/>
    </row>
    <row r="13" spans="2:24" x14ac:dyDescent="0.3">
      <c r="B13" s="411" t="s">
        <v>637</v>
      </c>
      <c r="C13" s="407"/>
      <c r="D13" s="408"/>
      <c r="E13" s="409"/>
      <c r="F13" s="409"/>
      <c r="G13" s="409"/>
      <c r="H13" s="409"/>
      <c r="I13" s="409"/>
      <c r="J13" s="409"/>
      <c r="K13" s="409"/>
      <c r="L13" s="409"/>
      <c r="M13" s="409"/>
      <c r="N13" s="409"/>
      <c r="O13" s="409"/>
      <c r="P13" s="409"/>
      <c r="Q13" s="409"/>
      <c r="R13" s="409"/>
      <c r="S13" s="409"/>
      <c r="X13" s="393"/>
    </row>
    <row r="14" spans="2:24" x14ac:dyDescent="0.3">
      <c r="C14" s="410" t="s">
        <v>638</v>
      </c>
      <c r="X14" s="393"/>
    </row>
    <row r="15" spans="2:24" x14ac:dyDescent="0.3">
      <c r="C15" s="410" t="s">
        <v>680</v>
      </c>
      <c r="X15" s="393"/>
    </row>
    <row r="16" spans="2:24" x14ac:dyDescent="0.3">
      <c r="B16" s="411" t="s">
        <v>604</v>
      </c>
      <c r="C16" s="407"/>
      <c r="D16" s="408"/>
      <c r="E16" s="409"/>
      <c r="F16" s="409"/>
      <c r="G16" s="409"/>
      <c r="H16" s="409"/>
      <c r="I16" s="409"/>
      <c r="J16" s="409"/>
      <c r="K16" s="409"/>
      <c r="L16" s="409"/>
      <c r="M16" s="409"/>
      <c r="N16" s="409"/>
      <c r="O16" s="409"/>
      <c r="P16" s="409"/>
      <c r="Q16" s="409"/>
      <c r="R16" s="409"/>
      <c r="S16" s="409"/>
      <c r="X16" s="393"/>
    </row>
    <row r="17" spans="2:19" x14ac:dyDescent="0.3">
      <c r="C17" s="410" t="s">
        <v>605</v>
      </c>
    </row>
    <row r="18" spans="2:19" x14ac:dyDescent="0.3">
      <c r="C18" s="410" t="s">
        <v>606</v>
      </c>
    </row>
    <row r="19" spans="2:19" x14ac:dyDescent="0.3">
      <c r="B19" s="411" t="s">
        <v>558</v>
      </c>
      <c r="C19" s="407"/>
      <c r="D19" s="408"/>
      <c r="E19" s="409"/>
      <c r="F19" s="409"/>
      <c r="G19" s="409"/>
      <c r="H19" s="409"/>
      <c r="I19" s="409"/>
      <c r="J19" s="409"/>
      <c r="K19" s="409"/>
      <c r="L19" s="409"/>
      <c r="M19" s="409"/>
      <c r="N19" s="409"/>
      <c r="O19" s="409"/>
      <c r="P19" s="409"/>
      <c r="Q19" s="409"/>
      <c r="R19" s="409"/>
      <c r="S19" s="409"/>
    </row>
    <row r="20" spans="2:19" x14ac:dyDescent="0.3">
      <c r="C20" s="225" t="s">
        <v>562</v>
      </c>
    </row>
    <row r="21" spans="2:19" x14ac:dyDescent="0.3">
      <c r="C21" s="225" t="s">
        <v>561</v>
      </c>
    </row>
    <row r="22" spans="2:19" x14ac:dyDescent="0.3">
      <c r="C22" s="225" t="s">
        <v>560</v>
      </c>
    </row>
    <row r="23" spans="2:19" x14ac:dyDescent="0.3">
      <c r="C23" s="225" t="s">
        <v>603</v>
      </c>
    </row>
    <row r="24" spans="2:19" x14ac:dyDescent="0.3">
      <c r="B24" s="411" t="s">
        <v>499</v>
      </c>
      <c r="C24" s="407"/>
      <c r="D24" s="408"/>
      <c r="E24" s="409"/>
      <c r="F24" s="409"/>
      <c r="G24" s="409"/>
      <c r="H24" s="409"/>
      <c r="I24" s="409"/>
      <c r="J24" s="409"/>
      <c r="K24" s="409"/>
      <c r="L24" s="409"/>
      <c r="M24" s="409"/>
      <c r="N24" s="409"/>
      <c r="O24" s="409"/>
      <c r="P24" s="409"/>
      <c r="Q24" s="409"/>
      <c r="R24" s="409"/>
      <c r="S24" s="409"/>
    </row>
    <row r="25" spans="2:19" x14ac:dyDescent="0.3">
      <c r="B25" s="412"/>
      <c r="C25" s="410" t="s">
        <v>500</v>
      </c>
    </row>
    <row r="26" spans="2:19" x14ac:dyDescent="0.3">
      <c r="B26" s="412"/>
      <c r="C26" s="410" t="s">
        <v>501</v>
      </c>
    </row>
    <row r="27" spans="2:19" x14ac:dyDescent="0.3">
      <c r="B27" s="411" t="s">
        <v>502</v>
      </c>
      <c r="C27" s="407"/>
      <c r="D27" s="408"/>
      <c r="E27" s="409"/>
      <c r="F27" s="409"/>
      <c r="G27" s="409"/>
      <c r="H27" s="409"/>
      <c r="I27" s="409"/>
      <c r="J27" s="409"/>
      <c r="K27" s="409"/>
      <c r="L27" s="409"/>
      <c r="M27" s="409"/>
      <c r="N27" s="409"/>
      <c r="O27" s="409"/>
      <c r="P27" s="409"/>
      <c r="Q27" s="409"/>
      <c r="R27" s="409"/>
      <c r="S27" s="409"/>
    </row>
    <row r="28" spans="2:19" x14ac:dyDescent="0.3">
      <c r="B28" s="412"/>
      <c r="C28" s="410" t="s">
        <v>503</v>
      </c>
    </row>
    <row r="29" spans="2:19" x14ac:dyDescent="0.3">
      <c r="B29" s="411" t="s">
        <v>504</v>
      </c>
      <c r="C29" s="407"/>
      <c r="D29" s="408"/>
      <c r="E29" s="409"/>
      <c r="F29" s="409"/>
      <c r="G29" s="409"/>
      <c r="H29" s="409"/>
      <c r="I29" s="409"/>
      <c r="J29" s="409"/>
      <c r="K29" s="409"/>
      <c r="L29" s="409"/>
      <c r="M29" s="409"/>
      <c r="N29" s="409"/>
      <c r="O29" s="409"/>
      <c r="P29" s="409"/>
      <c r="Q29" s="409"/>
      <c r="R29" s="409"/>
      <c r="S29" s="409"/>
    </row>
    <row r="30" spans="2:19" x14ac:dyDescent="0.3">
      <c r="B30" s="412"/>
      <c r="C30" s="410" t="s">
        <v>505</v>
      </c>
    </row>
    <row r="31" spans="2:19" x14ac:dyDescent="0.3">
      <c r="B31" s="412"/>
      <c r="C31" s="410" t="s">
        <v>506</v>
      </c>
    </row>
    <row r="32" spans="2:19" x14ac:dyDescent="0.3">
      <c r="B32" s="412"/>
      <c r="C32" s="410" t="s">
        <v>507</v>
      </c>
    </row>
    <row r="33" spans="2:19" x14ac:dyDescent="0.3">
      <c r="B33" s="411" t="s">
        <v>508</v>
      </c>
      <c r="C33" s="407"/>
      <c r="D33" s="408"/>
      <c r="E33" s="409"/>
      <c r="F33" s="409"/>
      <c r="G33" s="409"/>
      <c r="H33" s="409"/>
      <c r="I33" s="409"/>
      <c r="J33" s="409"/>
      <c r="K33" s="409"/>
      <c r="L33" s="409"/>
      <c r="M33" s="409"/>
      <c r="N33" s="409"/>
      <c r="O33" s="409"/>
      <c r="P33" s="409"/>
      <c r="Q33" s="409"/>
      <c r="R33" s="409"/>
      <c r="S33" s="409"/>
    </row>
    <row r="34" spans="2:19" x14ac:dyDescent="0.3">
      <c r="B34" s="412"/>
      <c r="C34" s="410" t="s">
        <v>509</v>
      </c>
    </row>
    <row r="35" spans="2:19" x14ac:dyDescent="0.3">
      <c r="B35" s="411" t="s">
        <v>510</v>
      </c>
      <c r="C35" s="407"/>
      <c r="D35" s="408"/>
      <c r="E35" s="409"/>
      <c r="F35" s="409"/>
      <c r="G35" s="409"/>
      <c r="H35" s="409"/>
      <c r="I35" s="409"/>
      <c r="J35" s="409"/>
      <c r="K35" s="409"/>
      <c r="L35" s="409"/>
      <c r="M35" s="409"/>
      <c r="N35" s="409"/>
      <c r="O35" s="409"/>
      <c r="P35" s="409"/>
      <c r="Q35" s="409"/>
      <c r="R35" s="409"/>
      <c r="S35" s="409"/>
    </row>
    <row r="36" spans="2:19" x14ac:dyDescent="0.3">
      <c r="B36" s="412"/>
      <c r="C36" s="410" t="s">
        <v>511</v>
      </c>
    </row>
    <row r="37" spans="2:19" x14ac:dyDescent="0.3">
      <c r="B37" s="412"/>
      <c r="C37" s="410" t="s">
        <v>512</v>
      </c>
    </row>
    <row r="38" spans="2:19" x14ac:dyDescent="0.3">
      <c r="B38" s="412"/>
      <c r="C38" s="410" t="s">
        <v>513</v>
      </c>
    </row>
    <row r="39" spans="2:19" x14ac:dyDescent="0.3">
      <c r="B39" s="411" t="s">
        <v>514</v>
      </c>
      <c r="C39" s="407"/>
      <c r="D39" s="408"/>
      <c r="E39" s="409"/>
      <c r="F39" s="409"/>
      <c r="G39" s="409"/>
      <c r="H39" s="409"/>
      <c r="I39" s="409"/>
      <c r="J39" s="409"/>
      <c r="K39" s="409"/>
      <c r="L39" s="409"/>
      <c r="M39" s="409"/>
      <c r="N39" s="409"/>
      <c r="O39" s="409"/>
      <c r="P39" s="409"/>
      <c r="Q39" s="409"/>
      <c r="R39" s="409"/>
      <c r="S39" s="409"/>
    </row>
    <row r="40" spans="2:19" x14ac:dyDescent="0.3">
      <c r="B40" s="412"/>
      <c r="C40" s="410" t="s">
        <v>515</v>
      </c>
    </row>
    <row r="41" spans="2:19" x14ac:dyDescent="0.3">
      <c r="B41" s="412"/>
      <c r="C41" s="410" t="s">
        <v>516</v>
      </c>
    </row>
    <row r="42" spans="2:19" x14ac:dyDescent="0.3">
      <c r="B42" s="412"/>
      <c r="C42" s="410" t="s">
        <v>517</v>
      </c>
    </row>
    <row r="43" spans="2:19" x14ac:dyDescent="0.3">
      <c r="B43" s="411" t="s">
        <v>518</v>
      </c>
      <c r="C43" s="407"/>
      <c r="D43" s="408"/>
      <c r="E43" s="409"/>
      <c r="F43" s="409"/>
      <c r="G43" s="409"/>
      <c r="H43" s="409"/>
      <c r="I43" s="409"/>
      <c r="J43" s="409"/>
      <c r="K43" s="409"/>
      <c r="L43" s="409"/>
      <c r="M43" s="409"/>
      <c r="N43" s="409"/>
      <c r="O43" s="409"/>
      <c r="P43" s="409"/>
      <c r="Q43" s="409"/>
      <c r="R43" s="409"/>
      <c r="S43" s="409"/>
    </row>
    <row r="44" spans="2:19" x14ac:dyDescent="0.3">
      <c r="B44" s="412"/>
      <c r="C44" s="410" t="s">
        <v>519</v>
      </c>
    </row>
    <row r="45" spans="2:19" x14ac:dyDescent="0.3">
      <c r="B45" s="411" t="s">
        <v>520</v>
      </c>
      <c r="C45" s="407"/>
      <c r="D45" s="408"/>
      <c r="E45" s="409"/>
      <c r="F45" s="409"/>
      <c r="G45" s="409"/>
      <c r="H45" s="409"/>
      <c r="I45" s="409"/>
      <c r="J45" s="409"/>
      <c r="K45" s="409"/>
      <c r="L45" s="409"/>
      <c r="M45" s="409"/>
      <c r="N45" s="409"/>
      <c r="O45" s="409"/>
      <c r="P45" s="409"/>
      <c r="Q45" s="409"/>
      <c r="R45" s="409"/>
      <c r="S45" s="409"/>
    </row>
    <row r="46" spans="2:19" x14ac:dyDescent="0.3">
      <c r="B46" s="412"/>
      <c r="C46" s="410" t="s">
        <v>409</v>
      </c>
    </row>
    <row r="47" spans="2:19" x14ac:dyDescent="0.3">
      <c r="B47" s="411" t="s">
        <v>521</v>
      </c>
      <c r="C47" s="407"/>
      <c r="D47" s="408"/>
      <c r="E47" s="409"/>
      <c r="F47" s="409"/>
      <c r="G47" s="409"/>
      <c r="H47" s="409"/>
      <c r="I47" s="409"/>
      <c r="J47" s="409"/>
      <c r="K47" s="409"/>
      <c r="L47" s="409"/>
      <c r="M47" s="409"/>
      <c r="N47" s="409"/>
      <c r="O47" s="409"/>
      <c r="P47" s="409"/>
      <c r="Q47" s="409"/>
      <c r="R47" s="409"/>
      <c r="S47" s="409"/>
    </row>
    <row r="48" spans="2:19" x14ac:dyDescent="0.3">
      <c r="B48" s="412"/>
      <c r="C48" s="410" t="s">
        <v>365</v>
      </c>
    </row>
    <row r="49" spans="2:19" x14ac:dyDescent="0.3">
      <c r="B49" s="412"/>
      <c r="C49" s="410" t="s">
        <v>366</v>
      </c>
    </row>
    <row r="50" spans="2:19" x14ac:dyDescent="0.3">
      <c r="B50" s="411" t="s">
        <v>522</v>
      </c>
      <c r="C50" s="407"/>
      <c r="D50" s="408"/>
      <c r="E50" s="409"/>
      <c r="F50" s="409"/>
      <c r="G50" s="409"/>
      <c r="H50" s="409"/>
      <c r="I50" s="409"/>
      <c r="J50" s="409"/>
      <c r="K50" s="409"/>
      <c r="L50" s="409"/>
      <c r="M50" s="409"/>
      <c r="N50" s="409"/>
      <c r="O50" s="409"/>
      <c r="P50" s="409"/>
      <c r="Q50" s="409"/>
      <c r="R50" s="409"/>
      <c r="S50" s="409"/>
    </row>
    <row r="51" spans="2:19" x14ac:dyDescent="0.3">
      <c r="B51" s="412"/>
      <c r="C51" s="410" t="s">
        <v>538</v>
      </c>
    </row>
    <row r="52" spans="2:19" x14ac:dyDescent="0.3">
      <c r="B52" s="411" t="s">
        <v>523</v>
      </c>
      <c r="C52" s="407"/>
      <c r="D52" s="408"/>
      <c r="E52" s="409"/>
      <c r="F52" s="409"/>
      <c r="G52" s="409"/>
      <c r="H52" s="409"/>
      <c r="I52" s="409"/>
      <c r="J52" s="409"/>
      <c r="K52" s="409"/>
      <c r="L52" s="409"/>
      <c r="M52" s="409"/>
      <c r="N52" s="409"/>
      <c r="O52" s="409"/>
      <c r="P52" s="409"/>
      <c r="Q52" s="409"/>
      <c r="R52" s="409"/>
      <c r="S52" s="409"/>
    </row>
    <row r="53" spans="2:19" ht="16.5" x14ac:dyDescent="0.3">
      <c r="B53" s="412"/>
      <c r="C53" s="410" t="s">
        <v>539</v>
      </c>
    </row>
    <row r="54" spans="2:19" ht="16.5" x14ac:dyDescent="0.3">
      <c r="B54" s="412"/>
      <c r="C54" s="410" t="s">
        <v>540</v>
      </c>
    </row>
    <row r="55" spans="2:19" x14ac:dyDescent="0.3">
      <c r="B55" s="411" t="s">
        <v>524</v>
      </c>
      <c r="C55" s="407"/>
      <c r="D55" s="408"/>
      <c r="E55" s="409"/>
      <c r="F55" s="409"/>
      <c r="G55" s="409"/>
      <c r="H55" s="409"/>
      <c r="I55" s="409"/>
      <c r="J55" s="409"/>
      <c r="K55" s="409"/>
      <c r="L55" s="409"/>
      <c r="M55" s="409"/>
      <c r="N55" s="409"/>
      <c r="O55" s="409"/>
      <c r="P55" s="409"/>
      <c r="Q55" s="409"/>
      <c r="R55" s="409"/>
      <c r="S55" s="409"/>
    </row>
    <row r="56" spans="2:19" x14ac:dyDescent="0.3">
      <c r="B56" s="412"/>
      <c r="C56" s="410" t="s">
        <v>525</v>
      </c>
    </row>
    <row r="57" spans="2:19" x14ac:dyDescent="0.3">
      <c r="B57" s="412"/>
      <c r="C57" s="410" t="s">
        <v>526</v>
      </c>
    </row>
    <row r="58" spans="2:19" x14ac:dyDescent="0.3">
      <c r="B58" s="411" t="s">
        <v>527</v>
      </c>
      <c r="C58" s="407"/>
      <c r="D58" s="408"/>
      <c r="E58" s="409"/>
      <c r="F58" s="409"/>
      <c r="G58" s="409"/>
      <c r="H58" s="409"/>
      <c r="I58" s="409"/>
      <c r="J58" s="409"/>
      <c r="K58" s="409"/>
      <c r="L58" s="409"/>
      <c r="M58" s="409"/>
      <c r="N58" s="409"/>
      <c r="O58" s="409"/>
      <c r="P58" s="409"/>
      <c r="Q58" s="409"/>
      <c r="R58" s="409"/>
      <c r="S58" s="409"/>
    </row>
    <row r="59" spans="2:19" x14ac:dyDescent="0.3">
      <c r="B59" s="412"/>
      <c r="C59" s="410" t="s">
        <v>528</v>
      </c>
    </row>
    <row r="60" spans="2:19" x14ac:dyDescent="0.3">
      <c r="B60" s="411" t="s">
        <v>529</v>
      </c>
      <c r="C60" s="407"/>
      <c r="D60" s="408"/>
      <c r="E60" s="409"/>
      <c r="F60" s="409"/>
      <c r="G60" s="409"/>
      <c r="H60" s="409"/>
      <c r="I60" s="409"/>
      <c r="J60" s="409"/>
      <c r="K60" s="409"/>
      <c r="L60" s="409"/>
      <c r="M60" s="409"/>
      <c r="N60" s="409"/>
      <c r="O60" s="409"/>
      <c r="P60" s="409"/>
      <c r="Q60" s="409"/>
      <c r="R60" s="409"/>
      <c r="S60" s="409"/>
    </row>
    <row r="61" spans="2:19" x14ac:dyDescent="0.3">
      <c r="B61" s="412"/>
      <c r="C61" s="410" t="s">
        <v>530</v>
      </c>
    </row>
    <row r="62" spans="2:19" x14ac:dyDescent="0.3">
      <c r="B62" s="412"/>
      <c r="C62" s="410" t="s">
        <v>531</v>
      </c>
    </row>
    <row r="63" spans="2:19" x14ac:dyDescent="0.3">
      <c r="B63" s="411" t="s">
        <v>318</v>
      </c>
      <c r="C63" s="407"/>
      <c r="D63" s="409"/>
      <c r="E63" s="409"/>
      <c r="F63" s="409"/>
      <c r="G63" s="409"/>
      <c r="H63" s="409"/>
      <c r="I63" s="409"/>
      <c r="J63" s="409"/>
      <c r="K63" s="409"/>
      <c r="L63" s="409"/>
      <c r="M63" s="409"/>
      <c r="N63" s="409"/>
      <c r="O63" s="409"/>
      <c r="P63" s="409"/>
      <c r="Q63" s="409"/>
      <c r="R63" s="409"/>
      <c r="S63" s="409"/>
    </row>
    <row r="64" spans="2:19" x14ac:dyDescent="0.3">
      <c r="D64" s="410" t="s">
        <v>244</v>
      </c>
    </row>
    <row r="65" spans="4:4" x14ac:dyDescent="0.3">
      <c r="D65" s="410" t="s">
        <v>250</v>
      </c>
    </row>
    <row r="66" spans="4:4" x14ac:dyDescent="0.3">
      <c r="D66" s="410" t="s">
        <v>270</v>
      </c>
    </row>
    <row r="67" spans="4:4" x14ac:dyDescent="0.3">
      <c r="D67" s="410" t="s">
        <v>261</v>
      </c>
    </row>
  </sheetData>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D34-44EB-4DCC-A71D-EE3B8D4F493F}">
  <sheetPr>
    <tabColor rgb="FFFF0000"/>
  </sheetPr>
  <dimension ref="B1:R52"/>
  <sheetViews>
    <sheetView zoomScale="60" zoomScaleNormal="60" workbookViewId="0">
      <selection activeCell="K63" sqref="K63"/>
    </sheetView>
  </sheetViews>
  <sheetFormatPr defaultColWidth="9.140625" defaultRowHeight="15" x14ac:dyDescent="0.25"/>
  <cols>
    <col min="1" max="2" width="5.42578125" style="26" customWidth="1"/>
    <col min="3" max="3" width="45.28515625" style="71"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5"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x14ac:dyDescent="0.25">
      <c r="C1" s="159"/>
    </row>
    <row r="2" spans="2:18" x14ac:dyDescent="0.25">
      <c r="C2" s="525" t="s">
        <v>170</v>
      </c>
      <c r="D2" s="526">
        <v>45382</v>
      </c>
      <c r="E2" s="522"/>
      <c r="F2" s="523" t="s">
        <v>644</v>
      </c>
      <c r="G2" s="523"/>
      <c r="H2" s="523"/>
      <c r="I2" s="523"/>
      <c r="J2" s="523"/>
      <c r="K2" s="523"/>
      <c r="L2" s="523"/>
      <c r="M2" s="523"/>
      <c r="N2" s="523"/>
      <c r="O2" s="523"/>
      <c r="P2" s="523"/>
      <c r="Q2" s="523"/>
      <c r="R2" s="524"/>
    </row>
    <row r="3" spans="2:18" ht="21.75" customHeight="1" thickBot="1" x14ac:dyDescent="0.3">
      <c r="C3" s="159"/>
    </row>
    <row r="4" spans="2:18" x14ac:dyDescent="0.25">
      <c r="B4" s="73"/>
      <c r="C4" s="74"/>
      <c r="D4" s="75"/>
      <c r="E4" s="75"/>
      <c r="F4" s="75"/>
      <c r="G4" s="75"/>
      <c r="H4" s="75"/>
      <c r="I4" s="75"/>
      <c r="J4" s="75"/>
      <c r="K4" s="75"/>
      <c r="L4" s="75"/>
      <c r="M4" s="75"/>
      <c r="N4" s="75"/>
      <c r="O4" s="75"/>
      <c r="P4" s="161"/>
      <c r="Q4" s="75"/>
      <c r="R4" s="247"/>
    </row>
    <row r="5" spans="2:18" x14ac:dyDescent="0.25">
      <c r="B5" s="81"/>
      <c r="R5" s="230"/>
    </row>
    <row r="6" spans="2:18" s="80" customFormat="1" ht="60" customHeight="1" x14ac:dyDescent="0.25">
      <c r="B6" s="78"/>
      <c r="C6" s="3" t="s">
        <v>51</v>
      </c>
      <c r="D6" s="1" t="s">
        <v>25</v>
      </c>
      <c r="E6" s="1" t="s">
        <v>61</v>
      </c>
      <c r="F6" s="1" t="s">
        <v>639</v>
      </c>
      <c r="G6" s="1" t="s">
        <v>338</v>
      </c>
      <c r="H6" s="1" t="s">
        <v>36</v>
      </c>
      <c r="I6" s="1" t="s">
        <v>53</v>
      </c>
      <c r="J6" s="1" t="s">
        <v>32</v>
      </c>
      <c r="K6" s="1" t="s">
        <v>2</v>
      </c>
      <c r="L6" s="1" t="s">
        <v>50</v>
      </c>
      <c r="M6" s="1" t="s">
        <v>33</v>
      </c>
      <c r="N6" s="1" t="s">
        <v>27</v>
      </c>
      <c r="O6" s="1" t="s">
        <v>187</v>
      </c>
      <c r="P6" s="1" t="s">
        <v>34</v>
      </c>
      <c r="Q6" s="1" t="s">
        <v>452</v>
      </c>
      <c r="R6" s="289"/>
    </row>
    <row r="7" spans="2:18" x14ac:dyDescent="0.25">
      <c r="B7" s="81"/>
      <c r="C7" s="5"/>
      <c r="D7" s="8"/>
      <c r="E7" s="8"/>
      <c r="F7" s="8"/>
      <c r="G7" s="8" t="s">
        <v>84</v>
      </c>
      <c r="H7" s="8"/>
      <c r="I7" s="8" t="s">
        <v>53</v>
      </c>
      <c r="J7" s="8" t="s">
        <v>274</v>
      </c>
      <c r="K7" s="8" t="s">
        <v>274</v>
      </c>
      <c r="L7" s="8" t="s">
        <v>274</v>
      </c>
      <c r="M7" s="8" t="s">
        <v>274</v>
      </c>
      <c r="N7" s="8" t="s">
        <v>274</v>
      </c>
      <c r="O7" s="8" t="s">
        <v>274</v>
      </c>
      <c r="P7" s="12" t="s">
        <v>275</v>
      </c>
      <c r="Q7" s="8"/>
      <c r="R7" s="230"/>
    </row>
    <row r="8" spans="2:18" x14ac:dyDescent="0.25">
      <c r="B8" s="81"/>
      <c r="C8" s="521" t="s">
        <v>28</v>
      </c>
      <c r="D8" s="429"/>
      <c r="E8" s="429"/>
      <c r="F8" s="429"/>
      <c r="G8" s="429"/>
      <c r="H8" s="429"/>
      <c r="I8" s="429"/>
      <c r="J8" s="429"/>
      <c r="K8" s="429"/>
      <c r="L8" s="429"/>
      <c r="M8" s="429"/>
      <c r="N8" s="429"/>
      <c r="O8" s="429"/>
      <c r="P8" s="429"/>
      <c r="Q8" s="429"/>
      <c r="R8" s="230"/>
    </row>
    <row r="9" spans="2:18" x14ac:dyDescent="0.25">
      <c r="B9" s="81"/>
      <c r="C9" s="4" t="s">
        <v>47</v>
      </c>
      <c r="D9" s="2" t="s">
        <v>448</v>
      </c>
      <c r="E9" s="2" t="s">
        <v>63</v>
      </c>
      <c r="F9" s="2" t="s">
        <v>8</v>
      </c>
      <c r="G9" s="6">
        <v>2019</v>
      </c>
      <c r="H9" s="2" t="s">
        <v>73</v>
      </c>
      <c r="I9" s="17" t="str">
        <f>IF('[3]S | 01 '!I9-'S | 01 '!I9,'[3]S | 01 '!I9-'S | 01 '!I9,"")</f>
        <v/>
      </c>
      <c r="J9" s="17" t="str">
        <f ca="1">IF('[3]S | 01 '!J9-'S | 01 '!J9,'[3]S | 01 '!J9-'S | 01 '!J9,"")</f>
        <v/>
      </c>
      <c r="K9" s="17" t="str">
        <f ca="1">IF('[3]S | 01 '!K9-'S | 01 '!K9,'[3]S | 01 '!K9-'S | 01 '!K9,"")</f>
        <v/>
      </c>
      <c r="L9" s="17" t="str">
        <f>IF('[3]S | 01 '!L9-'S | 01 '!L9,'[3]S | 01 '!L9-'S | 01 '!L9,"")</f>
        <v/>
      </c>
      <c r="M9" s="17" t="str">
        <f ca="1">IF('[3]S | 01 '!M9-'S | 01 '!M9,'[3]S | 01 '!M9-'S | 01 '!M9,"")</f>
        <v/>
      </c>
      <c r="N9" s="17" t="str">
        <f>IF('[3]S | 01 '!N9-'S | 01 '!N9,'[3]S | 01 '!N9-'S | 01 '!N9,"")</f>
        <v/>
      </c>
      <c r="O9" s="17" t="str">
        <f ca="1">IF('[3]S | 01 '!O9-'S | 01 '!O9,'[3]S | 01 '!O9-'S | 01 '!O9,"")</f>
        <v/>
      </c>
      <c r="P9" s="10" t="str">
        <f ca="1">IF('[3]S | 01 '!P9-'S | 01 '!P9,'[3]S | 01 '!P9-'S | 01 '!P9,"")</f>
        <v/>
      </c>
      <c r="Q9" s="105" t="e">
        <f>IF('[3]S | 01 '!R9-'S | 01 '!Q9,'[3]S | 01 '!R9-'S | 01 '!Q9,"")</f>
        <v>#VALUE!</v>
      </c>
      <c r="R9" s="230"/>
    </row>
    <row r="10" spans="2:18" x14ac:dyDescent="0.25">
      <c r="B10" s="81"/>
      <c r="C10" s="4" t="s">
        <v>0</v>
      </c>
      <c r="D10" s="2" t="s">
        <v>448</v>
      </c>
      <c r="E10" s="2" t="s">
        <v>63</v>
      </c>
      <c r="F10" s="2" t="s">
        <v>8</v>
      </c>
      <c r="G10" s="6">
        <v>2019</v>
      </c>
      <c r="H10" s="2" t="s">
        <v>68</v>
      </c>
      <c r="I10" s="17" t="str">
        <f>IF('[3]S | 01 '!I10-'S | 01 '!I10,'[3]S | 01 '!I10-'S | 01 '!I10,"")</f>
        <v/>
      </c>
      <c r="J10" s="17" t="str">
        <f ca="1">IF('[3]S | 01 '!J10-'S | 01 '!J10,'[3]S | 01 '!J10-'S | 01 '!J10,"")</f>
        <v/>
      </c>
      <c r="K10" s="17" t="str">
        <f ca="1">IF('[3]S | 01 '!K10-'S | 01 '!K10,'[3]S | 01 '!K10-'S | 01 '!K10,"")</f>
        <v/>
      </c>
      <c r="L10" s="17" t="str">
        <f>IF('[3]S | 01 '!L10-'S | 01 '!L10,'[3]S | 01 '!L10-'S | 01 '!L10,"")</f>
        <v/>
      </c>
      <c r="M10" s="17" t="str">
        <f ca="1">IF('[3]S | 01 '!M10-'S | 01 '!M10,'[3]S | 01 '!M10-'S | 01 '!M10,"")</f>
        <v/>
      </c>
      <c r="N10" s="17" t="str">
        <f>IF('[3]S | 01 '!N10-'S | 01 '!N10,'[3]S | 01 '!N10-'S | 01 '!N10,"")</f>
        <v/>
      </c>
      <c r="O10" s="17" t="str">
        <f ca="1">IF('[3]S | 01 '!O10-'S | 01 '!O10,'[3]S | 01 '!O10-'S | 01 '!O10,"")</f>
        <v/>
      </c>
      <c r="P10" s="10" t="str">
        <f ca="1">IF('[3]S | 01 '!P10-'S | 01 '!P10,'[3]S | 01 '!P10-'S | 01 '!P10,"")</f>
        <v/>
      </c>
      <c r="Q10" s="105" t="e">
        <f>IF('[3]S | 01 '!R10-'S | 01 '!Q10,'[3]S | 01 '!R10-'S | 01 '!Q10,"")</f>
        <v>#VALUE!</v>
      </c>
      <c r="R10" s="230"/>
    </row>
    <row r="11" spans="2:18" x14ac:dyDescent="0.25">
      <c r="B11" s="81"/>
      <c r="C11" s="4" t="s">
        <v>38</v>
      </c>
      <c r="D11" s="2" t="s">
        <v>78</v>
      </c>
      <c r="E11" s="2" t="s">
        <v>62</v>
      </c>
      <c r="F11" s="2" t="s">
        <v>8</v>
      </c>
      <c r="G11" s="6">
        <v>2019</v>
      </c>
      <c r="H11" s="2" t="s">
        <v>75</v>
      </c>
      <c r="I11" s="17" t="str">
        <f>IF('[3]S | 01 '!I11-'S | 01 '!I11,'[3]S | 01 '!I11-'S | 01 '!I11,"")</f>
        <v/>
      </c>
      <c r="J11" s="17" t="str">
        <f ca="1">IF('[3]S | 01 '!J11-'S | 01 '!J11,'[3]S | 01 '!J11-'S | 01 '!J11,"")</f>
        <v/>
      </c>
      <c r="K11" s="17" t="str">
        <f ca="1">IF('[3]S | 01 '!K11-'S | 01 '!K11,'[3]S | 01 '!K11-'S | 01 '!K11,"")</f>
        <v/>
      </c>
      <c r="L11" s="17" t="str">
        <f>IF('[3]S | 01 '!L11-'S | 01 '!L11,'[3]S | 01 '!L11-'S | 01 '!L11,"")</f>
        <v/>
      </c>
      <c r="M11" s="17" t="str">
        <f ca="1">IF('[3]S | 01 '!M11-'S | 01 '!M11,'[3]S | 01 '!M11-'S | 01 '!M11,"")</f>
        <v/>
      </c>
      <c r="N11" s="17">
        <f>IF('[3]S | 01 '!N11-'S | 01 '!N11,'[3]S | 01 '!N11-'S | 01 '!N11,"")</f>
        <v>25.781269502600004</v>
      </c>
      <c r="O11" s="17">
        <f ca="1">IF('[3]S | 01 '!O11-'S | 01 '!O11,'[3]S | 01 '!O11-'S | 01 '!O11,"")</f>
        <v>25.781269502600004</v>
      </c>
      <c r="P11" s="10">
        <f ca="1">IF('[3]S | 01 '!P11-'S | 01 '!P11,'[3]S | 01 '!P11-'S | 01 '!P11,"")</f>
        <v>2.5781269502600006</v>
      </c>
      <c r="Q11" s="105" t="e">
        <f>IF('[3]S | 01 '!R11-'S | 01 '!Q11,'[3]S | 01 '!R11-'S | 01 '!Q11,"")</f>
        <v>#VALUE!</v>
      </c>
      <c r="R11" s="230"/>
    </row>
    <row r="12" spans="2:18" x14ac:dyDescent="0.25">
      <c r="B12" s="81"/>
      <c r="C12" s="4" t="s">
        <v>39</v>
      </c>
      <c r="D12" s="2" t="s">
        <v>79</v>
      </c>
      <c r="E12" s="2" t="s">
        <v>62</v>
      </c>
      <c r="F12" s="2" t="s">
        <v>8</v>
      </c>
      <c r="G12" s="6">
        <v>2020</v>
      </c>
      <c r="H12" s="2" t="s">
        <v>44</v>
      </c>
      <c r="I12" s="17" t="e">
        <f>IF('[3]S | 01 '!I12-'S | 01 '!I12,'[3]S | 01 '!I12-'S | 01 '!I12,"")</f>
        <v>#VALUE!</v>
      </c>
      <c r="J12" s="17" t="str">
        <f ca="1">IF('[3]S | 01 '!J12-'S | 01 '!J12,'[3]S | 01 '!J12-'S | 01 '!J12,"")</f>
        <v/>
      </c>
      <c r="K12" s="17" t="str">
        <f ca="1">IF('[3]S | 01 '!K12-'S | 01 '!K12,'[3]S | 01 '!K12-'S | 01 '!K12,"")</f>
        <v/>
      </c>
      <c r="L12" s="17" t="str">
        <f>IF('[3]S | 01 '!L12-'S | 01 '!L12,'[3]S | 01 '!L12-'S | 01 '!L12,"")</f>
        <v/>
      </c>
      <c r="M12" s="17" t="str">
        <f ca="1">IF('[3]S | 01 '!M12-'S | 01 '!M12,'[3]S | 01 '!M12-'S | 01 '!M12,"")</f>
        <v/>
      </c>
      <c r="N12" s="17" t="str">
        <f>IF('[3]S | 01 '!N12-'S | 01 '!N12,'[3]S | 01 '!N12-'S | 01 '!N12,"")</f>
        <v/>
      </c>
      <c r="O12" s="17" t="str">
        <f ca="1">IF('[3]S | 01 '!O12-'S | 01 '!O12,'[3]S | 01 '!O12-'S | 01 '!O12,"")</f>
        <v/>
      </c>
      <c r="P12" s="10" t="str">
        <f ca="1">IF('[3]S | 01 '!P12-'S | 01 '!P12,'[3]S | 01 '!P12-'S | 01 '!P12,"")</f>
        <v/>
      </c>
      <c r="Q12" s="105" t="str">
        <f>IF('[3]S | 01 '!R12-'S | 01 '!Q12,'[3]S | 01 '!R12-'S | 01 '!Q12,"")</f>
        <v/>
      </c>
      <c r="R12" s="230"/>
    </row>
    <row r="13" spans="2:18" x14ac:dyDescent="0.25">
      <c r="B13" s="81"/>
      <c r="C13" s="4" t="s">
        <v>37</v>
      </c>
      <c r="D13" s="2" t="s">
        <v>78</v>
      </c>
      <c r="E13" s="2" t="s">
        <v>64</v>
      </c>
      <c r="F13" s="2" t="s">
        <v>8</v>
      </c>
      <c r="G13" s="6">
        <v>2020</v>
      </c>
      <c r="H13" s="2" t="s">
        <v>67</v>
      </c>
      <c r="I13" s="17" t="str">
        <f>IF('[3]S | 01 '!I13-'S | 01 '!I13,'[3]S | 01 '!I13-'S | 01 '!I13,"")</f>
        <v/>
      </c>
      <c r="J13" s="17" t="str">
        <f ca="1">IF('[3]S | 01 '!J13-'S | 01 '!J13,'[3]S | 01 '!J13-'S | 01 '!J13,"")</f>
        <v/>
      </c>
      <c r="K13" s="17" t="str">
        <f ca="1">IF('[3]S | 01 '!K13-'S | 01 '!K13,'[3]S | 01 '!K13-'S | 01 '!K13,"")</f>
        <v/>
      </c>
      <c r="L13" s="17" t="str">
        <f>IF('[3]S | 01 '!L13-'S | 01 '!L13,'[3]S | 01 '!L13-'S | 01 '!L13,"")</f>
        <v/>
      </c>
      <c r="M13" s="17" t="str">
        <f ca="1">IF('[3]S | 01 '!M13-'S | 01 '!M13,'[3]S | 01 '!M13-'S | 01 '!M13,"")</f>
        <v/>
      </c>
      <c r="N13" s="17" t="str">
        <f>IF('[3]S | 01 '!N13-'S | 01 '!N13,'[3]S | 01 '!N13-'S | 01 '!N13,"")</f>
        <v/>
      </c>
      <c r="O13" s="17" t="str">
        <f ca="1">IF('[3]S | 01 '!O13-'S | 01 '!O13,'[3]S | 01 '!O13-'S | 01 '!O13,"")</f>
        <v/>
      </c>
      <c r="P13" s="10" t="str">
        <f ca="1">IF('[3]S | 01 '!P13-'S | 01 '!P13,'[3]S | 01 '!P13-'S | 01 '!P13,"")</f>
        <v/>
      </c>
      <c r="Q13" s="105" t="str">
        <f>IF('[3]S | 01 '!R13-'S | 01 '!Q13,'[3]S | 01 '!R13-'S | 01 '!Q13,"")</f>
        <v/>
      </c>
      <c r="R13" s="230"/>
    </row>
    <row r="14" spans="2:18" x14ac:dyDescent="0.25">
      <c r="B14" s="81"/>
      <c r="C14" s="581" t="s">
        <v>87</v>
      </c>
      <c r="D14" s="582" t="s">
        <v>78</v>
      </c>
      <c r="E14" s="582" t="s">
        <v>64</v>
      </c>
      <c r="F14" s="582" t="s">
        <v>8</v>
      </c>
      <c r="G14" s="583">
        <v>2020</v>
      </c>
      <c r="H14" s="582" t="s">
        <v>45</v>
      </c>
      <c r="I14" s="584" t="str">
        <f>IF('[3]S | 01 '!I14-'S | 01 '!I14,'[3]S | 01 '!I14-'S | 01 '!I14,"")</f>
        <v/>
      </c>
      <c r="J14" s="584" t="str">
        <f ca="1">IF('[3]S | 01 '!J14-'S | 01 '!J14,'[3]S | 01 '!J14-'S | 01 '!J14,"")</f>
        <v/>
      </c>
      <c r="K14" s="584" t="str">
        <f ca="1">IF('[3]S | 01 '!K14-'S | 01 '!K14,'[3]S | 01 '!K14-'S | 01 '!K14,"")</f>
        <v/>
      </c>
      <c r="L14" s="584" t="str">
        <f>IF('[3]S | 01 '!L14-'S | 01 '!L14,'[3]S | 01 '!L14-'S | 01 '!L14,"")</f>
        <v/>
      </c>
      <c r="M14" s="584" t="str">
        <f ca="1">IF('[3]S | 01 '!M14-'S | 01 '!M14,'[3]S | 01 '!M14-'S | 01 '!M14,"")</f>
        <v/>
      </c>
      <c r="N14" s="584">
        <f>IF('[3]S | 01 '!N14-'S | 01 '!N14,'[3]S | 01 '!N14-'S | 01 '!N14,"")</f>
        <v>1.3401975406290063</v>
      </c>
      <c r="O14" s="584">
        <f ca="1">IF('[3]S | 01 '!O14-'S | 01 '!O14,'[3]S | 01 '!O14-'S | 01 '!O14,"")</f>
        <v>1.3401975406290063</v>
      </c>
      <c r="P14" s="585">
        <f ca="1">IF('[3]S | 01 '!P14-'S | 01 '!P14,'[3]S | 01 '!P14-'S | 01 '!P14,"")</f>
        <v>9.4733518105773462E-3</v>
      </c>
      <c r="Q14" s="105" t="str">
        <f>IF('[3]S | 01 '!R14-'S | 01 '!Q14,'[3]S | 01 '!R14-'S | 01 '!Q14,"")</f>
        <v/>
      </c>
      <c r="R14" s="230"/>
    </row>
    <row r="15" spans="2:18" x14ac:dyDescent="0.25">
      <c r="B15" s="81"/>
      <c r="C15" s="4" t="s">
        <v>9</v>
      </c>
      <c r="D15" s="2" t="s">
        <v>78</v>
      </c>
      <c r="E15" s="2" t="s">
        <v>63</v>
      </c>
      <c r="F15" s="2" t="s">
        <v>8</v>
      </c>
      <c r="G15" s="6">
        <v>2020</v>
      </c>
      <c r="H15" s="2" t="s">
        <v>72</v>
      </c>
      <c r="I15" s="17" t="str">
        <f>IF('[3]S | 01 '!I15-'S | 01 '!I15,'[3]S | 01 '!I15-'S | 01 '!I15,"")</f>
        <v/>
      </c>
      <c r="J15" s="17" t="str">
        <f ca="1">IF('[3]S | 01 '!J15-'S | 01 '!J15,'[3]S | 01 '!J15-'S | 01 '!J15,"")</f>
        <v/>
      </c>
      <c r="K15" s="17" t="str">
        <f ca="1">IF('[3]S | 01 '!K15-'S | 01 '!K15,'[3]S | 01 '!K15-'S | 01 '!K15,"")</f>
        <v/>
      </c>
      <c r="L15" s="17" t="str">
        <f>IF('[3]S | 01 '!L15-'S | 01 '!L15,'[3]S | 01 '!L15-'S | 01 '!L15,"")</f>
        <v/>
      </c>
      <c r="M15" s="17" t="str">
        <f ca="1">IF('[3]S | 01 '!M15-'S | 01 '!M15,'[3]S | 01 '!M15-'S | 01 '!M15,"")</f>
        <v/>
      </c>
      <c r="N15" s="17" t="str">
        <f>IF('[3]S | 01 '!N15-'S | 01 '!N15,'[3]S | 01 '!N15-'S | 01 '!N15,"")</f>
        <v/>
      </c>
      <c r="O15" s="17" t="str">
        <f ca="1">IF('[3]S | 01 '!O15-'S | 01 '!O15,'[3]S | 01 '!O15-'S | 01 '!O15,"")</f>
        <v/>
      </c>
      <c r="P15" s="10" t="str">
        <f ca="1">IF('[3]S | 01 '!P15-'S | 01 '!P15,'[3]S | 01 '!P15-'S | 01 '!P15,"")</f>
        <v/>
      </c>
      <c r="Q15" s="105" t="str">
        <f>IF('[3]S | 01 '!R15-'S | 01 '!Q15,'[3]S | 01 '!R15-'S | 01 '!Q15,"")</f>
        <v/>
      </c>
      <c r="R15" s="230"/>
    </row>
    <row r="16" spans="2:18" x14ac:dyDescent="0.25">
      <c r="B16" s="81"/>
      <c r="C16" s="4" t="s">
        <v>18</v>
      </c>
      <c r="D16" s="2" t="s">
        <v>79</v>
      </c>
      <c r="E16" s="2" t="s">
        <v>62</v>
      </c>
      <c r="F16" s="2" t="s">
        <v>279</v>
      </c>
      <c r="G16" s="6">
        <v>2021</v>
      </c>
      <c r="H16" s="2" t="s">
        <v>49</v>
      </c>
      <c r="I16" s="17" t="str">
        <f>IF('[3]S | 01 '!I16-'S | 01 '!I16,'[3]S | 01 '!I16-'S | 01 '!I16,"")</f>
        <v/>
      </c>
      <c r="J16" s="17" t="str">
        <f ca="1">IF('[3]S | 01 '!J16-'S | 01 '!J16,'[3]S | 01 '!J16-'S | 01 '!J16,"")</f>
        <v/>
      </c>
      <c r="K16" s="17" t="str">
        <f ca="1">IF('[3]S | 01 '!K16-'S | 01 '!K16,'[3]S | 01 '!K16-'S | 01 '!K16,"")</f>
        <v/>
      </c>
      <c r="L16" s="17" t="str">
        <f>IF('[3]S | 01 '!L16-'S | 01 '!L16,'[3]S | 01 '!L16-'S | 01 '!L16,"")</f>
        <v/>
      </c>
      <c r="M16" s="17" t="str">
        <f ca="1">IF('[3]S | 01 '!M16-'S | 01 '!M16,'[3]S | 01 '!M16-'S | 01 '!M16,"")</f>
        <v/>
      </c>
      <c r="N16" s="17" t="str">
        <f>IF('[3]S | 01 '!N16-'S | 01 '!N16,'[3]S | 01 '!N16-'S | 01 '!N16,"")</f>
        <v/>
      </c>
      <c r="O16" s="17" t="str">
        <f ca="1">IF('[3]S | 01 '!O16-'S | 01 '!O16,'[3]S | 01 '!O16-'S | 01 '!O16,"")</f>
        <v/>
      </c>
      <c r="P16" s="10" t="str">
        <f ca="1">IF('[3]S | 01 '!P16-'S | 01 '!P16,'[3]S | 01 '!P16-'S | 01 '!P16,"")</f>
        <v/>
      </c>
      <c r="Q16" s="105" t="str">
        <f>IF('[3]S | 01 '!R16-'S | 01 '!Q16,'[3]S | 01 '!R16-'S | 01 '!Q16,"")</f>
        <v/>
      </c>
      <c r="R16" s="230"/>
    </row>
    <row r="17" spans="2:18" x14ac:dyDescent="0.25">
      <c r="B17" s="81"/>
      <c r="C17" s="4" t="s">
        <v>40</v>
      </c>
      <c r="D17" s="2" t="s">
        <v>78</v>
      </c>
      <c r="E17" s="2" t="s">
        <v>66</v>
      </c>
      <c r="F17" s="2" t="s">
        <v>8</v>
      </c>
      <c r="G17" s="6">
        <v>2021</v>
      </c>
      <c r="H17" s="2" t="s">
        <v>69</v>
      </c>
      <c r="I17" s="17" t="str">
        <f>IF('[3]S | 01 '!I17-'S | 01 '!I17,'[3]S | 01 '!I17-'S | 01 '!I17,"")</f>
        <v/>
      </c>
      <c r="J17" s="17" t="str">
        <f ca="1">IF('[3]S | 01 '!J17-'S | 01 '!J17,'[3]S | 01 '!J17-'S | 01 '!J17,"")</f>
        <v/>
      </c>
      <c r="K17" s="17" t="str">
        <f ca="1">IF('[3]S | 01 '!K17-'S | 01 '!K17,'[3]S | 01 '!K17-'S | 01 '!K17,"")</f>
        <v/>
      </c>
      <c r="L17" s="17" t="str">
        <f>IF('[3]S | 01 '!L17-'S | 01 '!L17,'[3]S | 01 '!L17-'S | 01 '!L17,"")</f>
        <v/>
      </c>
      <c r="M17" s="17" t="str">
        <f ca="1">IF('[3]S | 01 '!M17-'S | 01 '!M17,'[3]S | 01 '!M17-'S | 01 '!M17,"")</f>
        <v/>
      </c>
      <c r="N17" s="17">
        <f>IF('[3]S | 01 '!N17-'S | 01 '!N17,'[3]S | 01 '!N17-'S | 01 '!N17,"")</f>
        <v>18.864500099999994</v>
      </c>
      <c r="O17" s="17">
        <f ca="1">IF('[3]S | 01 '!O17-'S | 01 '!O17,'[3]S | 01 '!O17-'S | 01 '!O17,"")</f>
        <v>18.864500099999994</v>
      </c>
      <c r="P17" s="10">
        <f ca="1">IF('[3]S | 01 '!P17-'S | 01 '!P17,'[3]S | 01 '!P17-'S | 01 '!P17,"")</f>
        <v>0.47161269869088251</v>
      </c>
      <c r="Q17" s="105" t="str">
        <f>IF('[3]S | 01 '!R17-'S | 01 '!Q17,'[3]S | 01 '!R17-'S | 01 '!Q17,"")</f>
        <v/>
      </c>
      <c r="R17" s="230"/>
    </row>
    <row r="18" spans="2:18" x14ac:dyDescent="0.25">
      <c r="B18" s="81"/>
      <c r="C18" s="4" t="s">
        <v>41</v>
      </c>
      <c r="D18" s="2" t="s">
        <v>78</v>
      </c>
      <c r="E18" s="2" t="s">
        <v>62</v>
      </c>
      <c r="F18" s="2" t="s">
        <v>8</v>
      </c>
      <c r="G18" s="6">
        <v>2021</v>
      </c>
      <c r="H18" s="2" t="s">
        <v>74</v>
      </c>
      <c r="I18" s="17" t="str">
        <f>IF('[3]S | 01 '!I18-'S | 01 '!I18,'[3]S | 01 '!I18-'S | 01 '!I18,"")</f>
        <v/>
      </c>
      <c r="J18" s="17" t="str">
        <f ca="1">IF('[3]S | 01 '!J18-'S | 01 '!J18,'[3]S | 01 '!J18-'S | 01 '!J18,"")</f>
        <v/>
      </c>
      <c r="K18" s="17" t="str">
        <f ca="1">IF('[3]S | 01 '!K18-'S | 01 '!K18,'[3]S | 01 '!K18-'S | 01 '!K18,"")</f>
        <v/>
      </c>
      <c r="L18" s="17" t="str">
        <f>IF('[3]S | 01 '!L18-'S | 01 '!L18,'[3]S | 01 '!L18-'S | 01 '!L18,"")</f>
        <v/>
      </c>
      <c r="M18" s="17" t="str">
        <f ca="1">IF('[3]S | 01 '!M18-'S | 01 '!M18,'[3]S | 01 '!M18-'S | 01 '!M18,"")</f>
        <v/>
      </c>
      <c r="N18" s="17" t="str">
        <f>IF('[3]S | 01 '!N18-'S | 01 '!N18,'[3]S | 01 '!N18-'S | 01 '!N18,"")</f>
        <v/>
      </c>
      <c r="O18" s="17" t="str">
        <f ca="1">IF('[3]S | 01 '!O18-'S | 01 '!O18,'[3]S | 01 '!O18-'S | 01 '!O18,"")</f>
        <v/>
      </c>
      <c r="P18" s="10" t="str">
        <f ca="1">IF('[3]S | 01 '!P18-'S | 01 '!P18,'[3]S | 01 '!P18-'S | 01 '!P18,"")</f>
        <v/>
      </c>
      <c r="Q18" s="105" t="str">
        <f>IF('[3]S | 01 '!R18-'S | 01 '!Q18,'[3]S | 01 '!R18-'S | 01 '!Q18,"")</f>
        <v/>
      </c>
      <c r="R18" s="230"/>
    </row>
    <row r="19" spans="2:18" x14ac:dyDescent="0.25">
      <c r="B19" s="81"/>
      <c r="C19" s="4" t="s">
        <v>42</v>
      </c>
      <c r="D19" s="2" t="s">
        <v>79</v>
      </c>
      <c r="E19" s="2" t="s">
        <v>66</v>
      </c>
      <c r="F19" s="2" t="s">
        <v>8</v>
      </c>
      <c r="G19" s="6">
        <v>2021</v>
      </c>
      <c r="H19" s="2" t="s">
        <v>76</v>
      </c>
      <c r="I19" s="17" t="str">
        <f>IF('[3]S | 01 '!I19-'S | 01 '!I19,'[3]S | 01 '!I19-'S | 01 '!I19,"")</f>
        <v/>
      </c>
      <c r="J19" s="17" t="str">
        <f ca="1">IF('[3]S | 01 '!J19-'S | 01 '!J19,'[3]S | 01 '!J19-'S | 01 '!J19,"")</f>
        <v/>
      </c>
      <c r="K19" s="17" t="str">
        <f ca="1">IF('[3]S | 01 '!K19-'S | 01 '!K19,'[3]S | 01 '!K19-'S | 01 '!K19,"")</f>
        <v/>
      </c>
      <c r="L19" s="17" t="str">
        <f>IF('[3]S | 01 '!L19-'S | 01 '!L19,'[3]S | 01 '!L19-'S | 01 '!L19,"")</f>
        <v/>
      </c>
      <c r="M19" s="17" t="str">
        <f ca="1">IF('[3]S | 01 '!M19-'S | 01 '!M19,'[3]S | 01 '!M19-'S | 01 '!M19,"")</f>
        <v/>
      </c>
      <c r="N19" s="17" t="str">
        <f>IF('[3]S | 01 '!N19-'S | 01 '!N19,'[3]S | 01 '!N19-'S | 01 '!N19,"")</f>
        <v/>
      </c>
      <c r="O19" s="17" t="str">
        <f ca="1">IF('[3]S | 01 '!O19-'S | 01 '!O19,'[3]S | 01 '!O19-'S | 01 '!O19,"")</f>
        <v/>
      </c>
      <c r="P19" s="10" t="str">
        <f ca="1">IF('[3]S | 01 '!P19-'S | 01 '!P19,'[3]S | 01 '!P19-'S | 01 '!P19,"")</f>
        <v/>
      </c>
      <c r="Q19" s="105" t="str">
        <f>IF('[3]S | 01 '!R19-'S | 01 '!Q19,'[3]S | 01 '!R19-'S | 01 '!Q19,"")</f>
        <v/>
      </c>
      <c r="R19" s="230"/>
    </row>
    <row r="20" spans="2:18" x14ac:dyDescent="0.25">
      <c r="B20" s="81"/>
      <c r="C20" s="4" t="s">
        <v>70</v>
      </c>
      <c r="D20" s="2" t="s">
        <v>79</v>
      </c>
      <c r="E20" s="2" t="s">
        <v>63</v>
      </c>
      <c r="F20" s="2" t="s">
        <v>640</v>
      </c>
      <c r="G20" s="6">
        <v>2022</v>
      </c>
      <c r="H20" s="2" t="s">
        <v>77</v>
      </c>
      <c r="I20" s="17" t="str">
        <f>IF('[3]S | 01 '!I20-'S | 01 '!I20,'[3]S | 01 '!I20-'S | 01 '!I20,"")</f>
        <v/>
      </c>
      <c r="J20" s="17" t="str">
        <f ca="1">IF('[3]S | 01 '!J20-'S | 01 '!J20,'[3]S | 01 '!J20-'S | 01 '!J20,"")</f>
        <v/>
      </c>
      <c r="K20" s="17" t="str">
        <f ca="1">IF('[3]S | 01 '!K20-'S | 01 '!K20,'[3]S | 01 '!K20-'S | 01 '!K20,"")</f>
        <v/>
      </c>
      <c r="L20" s="17" t="str">
        <f>IF('[3]S | 01 '!L20-'S | 01 '!L20,'[3]S | 01 '!L20-'S | 01 '!L20,"")</f>
        <v/>
      </c>
      <c r="M20" s="17" t="str">
        <f ca="1">IF('[3]S | 01 '!M20-'S | 01 '!M20,'[3]S | 01 '!M20-'S | 01 '!M20,"")</f>
        <v/>
      </c>
      <c r="N20" s="17" t="str">
        <f>IF('[3]S | 01 '!N20-'S | 01 '!N20,'[3]S | 01 '!N20-'S | 01 '!N20,"")</f>
        <v/>
      </c>
      <c r="O20" s="17" t="str">
        <f ca="1">IF('[3]S | 01 '!O20-'S | 01 '!O20,'[3]S | 01 '!O20-'S | 01 '!O20,"")</f>
        <v/>
      </c>
      <c r="P20" s="10" t="str">
        <f ca="1">IF('[3]S | 01 '!P20-'S | 01 '!P20,'[3]S | 01 '!P20-'S | 01 '!P20,"")</f>
        <v/>
      </c>
      <c r="Q20" s="105" t="str">
        <f>IF('[3]S | 01 '!R20-'S | 01 '!Q20,'[3]S | 01 '!R20-'S | 01 '!Q20,"")</f>
        <v/>
      </c>
      <c r="R20" s="230"/>
    </row>
    <row r="21" spans="2:18" x14ac:dyDescent="0.25">
      <c r="B21" s="81"/>
      <c r="C21" s="4" t="s">
        <v>19</v>
      </c>
      <c r="D21" s="2" t="s">
        <v>78</v>
      </c>
      <c r="E21" s="2" t="s">
        <v>65</v>
      </c>
      <c r="F21" s="2" t="s">
        <v>11</v>
      </c>
      <c r="G21" s="6">
        <v>2022</v>
      </c>
      <c r="H21" s="2" t="s">
        <v>77</v>
      </c>
      <c r="I21" s="17" t="str">
        <f>IF('[3]S | 01 '!I21-'S | 01 '!I21,'[3]S | 01 '!I21-'S | 01 '!I21,"")</f>
        <v/>
      </c>
      <c r="J21" s="17" t="str">
        <f ca="1">IF('[3]S | 01 '!J21-'S | 01 '!J21,'[3]S | 01 '!J21-'S | 01 '!J21,"")</f>
        <v/>
      </c>
      <c r="K21" s="17" t="str">
        <f ca="1">IF('[3]S | 01 '!K21-'S | 01 '!K21,'[3]S | 01 '!K21-'S | 01 '!K21,"")</f>
        <v/>
      </c>
      <c r="L21" s="17" t="str">
        <f>IF('[3]S | 01 '!L21-'S | 01 '!L21,'[3]S | 01 '!L21-'S | 01 '!L21,"")</f>
        <v/>
      </c>
      <c r="M21" s="17" t="str">
        <f ca="1">IF('[3]S | 01 '!M21-'S | 01 '!M21,'[3]S | 01 '!M21-'S | 01 '!M21,"")</f>
        <v/>
      </c>
      <c r="N21" s="17" t="str">
        <f>IF('[3]S | 01 '!N21-'S | 01 '!N21,'[3]S | 01 '!N21-'S | 01 '!N21,"")</f>
        <v/>
      </c>
      <c r="O21" s="17" t="str">
        <f ca="1">IF('[3]S | 01 '!O21-'S | 01 '!O21,'[3]S | 01 '!O21-'S | 01 '!O21,"")</f>
        <v/>
      </c>
      <c r="P21" s="10" t="str">
        <f ca="1">IF('[3]S | 01 '!P21-'S | 01 '!P21,'[3]S | 01 '!P21-'S | 01 '!P21,"")</f>
        <v/>
      </c>
      <c r="Q21" s="105" t="e">
        <f>IF('[3]S | 01 '!R21-'S | 01 '!Q21,'[3]S | 01 '!R21-'S | 01 '!Q21,"")</f>
        <v>#VALUE!</v>
      </c>
      <c r="R21" s="230"/>
    </row>
    <row r="22" spans="2:18" x14ac:dyDescent="0.25">
      <c r="B22" s="81"/>
      <c r="C22" s="581" t="s">
        <v>88</v>
      </c>
      <c r="D22" s="582" t="s">
        <v>78</v>
      </c>
      <c r="E22" s="582" t="s">
        <v>64</v>
      </c>
      <c r="F22" s="582" t="s">
        <v>11</v>
      </c>
      <c r="G22" s="583">
        <v>2022</v>
      </c>
      <c r="H22" s="582" t="s">
        <v>45</v>
      </c>
      <c r="I22" s="584" t="str">
        <f>IF('[3]S | 01 '!I22-'S | 01 '!I22,'[3]S | 01 '!I22-'S | 01 '!I22,"")</f>
        <v/>
      </c>
      <c r="J22" s="584" t="str">
        <f ca="1">IF('[3]S | 01 '!J22-'S | 01 '!J22,'[3]S | 01 '!J22-'S | 01 '!J22,"")</f>
        <v/>
      </c>
      <c r="K22" s="584" t="str">
        <f ca="1">IF('[3]S | 01 '!K22-'S | 01 '!K22,'[3]S | 01 '!K22-'S | 01 '!K22,"")</f>
        <v/>
      </c>
      <c r="L22" s="584" t="str">
        <f ca="1">IF('[3]S | 01 '!L22-'S | 01 '!L22,'[3]S | 01 '!L22-'S | 01 '!L22,"")</f>
        <v/>
      </c>
      <c r="M22" s="584" t="str">
        <f ca="1">IF('[3]S | 01 '!M22-'S | 01 '!M22,'[3]S | 01 '!M22-'S | 01 '!M22,"")</f>
        <v/>
      </c>
      <c r="N22" s="584">
        <f>IF('[3]S | 01 '!N22-'S | 01 '!N22,'[3]S | 01 '!N22-'S | 01 '!N22,"")</f>
        <v>2.6588876799999994</v>
      </c>
      <c r="O22" s="584">
        <f ca="1">IF('[3]S | 01 '!O22-'S | 01 '!O22,'[3]S | 01 '!O22-'S | 01 '!O22,"")</f>
        <v>2.6588876799999994</v>
      </c>
      <c r="P22" s="585">
        <f ca="1">IF('[3]S | 01 '!P22-'S | 01 '!P22,'[3]S | 01 '!P22-'S | 01 '!P22,"")</f>
        <v>0.10838777803821656</v>
      </c>
      <c r="Q22" s="105" t="e">
        <f>IF('[3]S | 01 '!R22-'S | 01 '!Q22,'[3]S | 01 '!R22-'S | 01 '!Q22,"")</f>
        <v>#VALUE!</v>
      </c>
      <c r="R22" s="230"/>
    </row>
    <row r="23" spans="2:18" x14ac:dyDescent="0.25">
      <c r="B23" s="81"/>
      <c r="C23" s="4" t="s">
        <v>35</v>
      </c>
      <c r="D23" s="2" t="s">
        <v>79</v>
      </c>
      <c r="E23" s="2" t="s">
        <v>63</v>
      </c>
      <c r="F23" s="2" t="s">
        <v>641</v>
      </c>
      <c r="G23" s="6">
        <v>2022</v>
      </c>
      <c r="H23" s="2" t="s">
        <v>77</v>
      </c>
      <c r="I23" s="17" t="str">
        <f>IF('[3]S | 01 '!I23-'S | 01 '!I23,'[3]S | 01 '!I23-'S | 01 '!I23,"")</f>
        <v/>
      </c>
      <c r="J23" s="17" t="str">
        <f ca="1">IF('[3]S | 01 '!J23-'S | 01 '!J23,'[3]S | 01 '!J23-'S | 01 '!J23,"")</f>
        <v/>
      </c>
      <c r="K23" s="17" t="str">
        <f ca="1">IF('[3]S | 01 '!K23-'S | 01 '!K23,'[3]S | 01 '!K23-'S | 01 '!K23,"")</f>
        <v/>
      </c>
      <c r="L23" s="17" t="str">
        <f ca="1">IF('[3]S | 01 '!L23-'S | 01 '!L23,'[3]S | 01 '!L23-'S | 01 '!L23,"")</f>
        <v/>
      </c>
      <c r="M23" s="17" t="str">
        <f ca="1">IF('[3]S | 01 '!M23-'S | 01 '!M23,'[3]S | 01 '!M23-'S | 01 '!M23,"")</f>
        <v/>
      </c>
      <c r="N23" s="17" t="str">
        <f>IF('[3]S | 01 '!N23-'S | 01 '!N23,'[3]S | 01 '!N23-'S | 01 '!N23,"")</f>
        <v/>
      </c>
      <c r="O23" s="17" t="str">
        <f ca="1">IF('[3]S | 01 '!O23-'S | 01 '!O23,'[3]S | 01 '!O23-'S | 01 '!O23,"")</f>
        <v/>
      </c>
      <c r="P23" s="268" t="str">
        <f ca="1">IF('[3]S | 01 '!P23-'S | 01 '!P23,'[3]S | 01 '!P23-'S | 01 '!P23,"")</f>
        <v/>
      </c>
      <c r="Q23" s="105" t="str">
        <f>IF('[3]S | 01 '!R23-'S | 01 '!Q23,'[3]S | 01 '!R23-'S | 01 '!Q23,"")</f>
        <v/>
      </c>
      <c r="R23" s="230"/>
    </row>
    <row r="24" spans="2:18" x14ac:dyDescent="0.25">
      <c r="B24" s="81"/>
      <c r="C24" s="4" t="s">
        <v>246</v>
      </c>
      <c r="D24" s="2" t="s">
        <v>78</v>
      </c>
      <c r="E24" s="2" t="s">
        <v>64</v>
      </c>
      <c r="F24" s="2" t="s">
        <v>8</v>
      </c>
      <c r="G24" s="6">
        <v>2022</v>
      </c>
      <c r="H24" s="2" t="s">
        <v>44</v>
      </c>
      <c r="I24" s="17" t="e">
        <f>IF('[3]S | 01 '!I24-'S | 01 '!I24,'[3]S | 01 '!I24-'S | 01 '!I24,"")</f>
        <v>#VALUE!</v>
      </c>
      <c r="J24" s="17" t="str">
        <f>IF('[3]S | 01 '!J24-'S | 01 '!J24,'[3]S | 01 '!J24-'S | 01 '!J24,"")</f>
        <v/>
      </c>
      <c r="K24" s="17" t="str">
        <f ca="1">IF('[3]S | 01 '!K24-'S | 01 '!K24,'[3]S | 01 '!K24-'S | 01 '!K24,"")</f>
        <v/>
      </c>
      <c r="L24" s="17" t="str">
        <f ca="1">IF('[3]S | 01 '!L24-'S | 01 '!L24,'[3]S | 01 '!L24-'S | 01 '!L24,"")</f>
        <v/>
      </c>
      <c r="M24" s="17" t="str">
        <f>IF('[3]S | 01 '!M24-'S | 01 '!M24,'[3]S | 01 '!M24-'S | 01 '!M24,"")</f>
        <v/>
      </c>
      <c r="N24" s="17" t="str">
        <f>IF('[3]S | 01 '!N24-'S | 01 '!N24,'[3]S | 01 '!N24-'S | 01 '!N24,"")</f>
        <v/>
      </c>
      <c r="O24" s="17" t="str">
        <f ca="1">IF('[3]S | 01 '!O24-'S | 01 '!O24,'[3]S | 01 '!O24-'S | 01 '!O24,"")</f>
        <v/>
      </c>
      <c r="P24" s="10" t="str">
        <f ca="1">IF('[3]S | 01 '!P24-'S | 01 '!P24,'[3]S | 01 '!P24-'S | 01 '!P24,"")</f>
        <v/>
      </c>
      <c r="Q24" s="105" t="str">
        <f>IF('[3]S | 01 '!R24-'S | 01 '!Q24,'[3]S | 01 '!R24-'S | 01 '!Q24,"")</f>
        <v/>
      </c>
      <c r="R24" s="230"/>
    </row>
    <row r="25" spans="2:18" x14ac:dyDescent="0.25">
      <c r="B25" s="81"/>
      <c r="C25" s="4" t="s">
        <v>276</v>
      </c>
      <c r="D25" s="2" t="s">
        <v>78</v>
      </c>
      <c r="E25" s="2" t="s">
        <v>65</v>
      </c>
      <c r="F25" s="2" t="s">
        <v>642</v>
      </c>
      <c r="G25" s="6">
        <v>2022</v>
      </c>
      <c r="H25" s="2" t="s">
        <v>68</v>
      </c>
      <c r="I25" s="17" t="str">
        <f>IF('[3]S | 01 '!I25-'S | 01 '!I25,'[3]S | 01 '!I25-'S | 01 '!I25,"")</f>
        <v/>
      </c>
      <c r="J25" s="17" t="str">
        <f ca="1">IF('[3]S | 01 '!J25-'S | 01 '!J25,'[3]S | 01 '!J25-'S | 01 '!J25,"")</f>
        <v/>
      </c>
      <c r="K25" s="17" t="str">
        <f ca="1">IF('[3]S | 01 '!K25-'S | 01 '!K25,'[3]S | 01 '!K25-'S | 01 '!K25,"")</f>
        <v/>
      </c>
      <c r="L25" s="17" t="str">
        <f ca="1">IF('[3]S | 01 '!L25-'S | 01 '!L25,'[3]S | 01 '!L25-'S | 01 '!L25,"")</f>
        <v/>
      </c>
      <c r="M25" s="17" t="str">
        <f>IF('[3]S | 01 '!M25-'S | 01 '!M25,'[3]S | 01 '!M25-'S | 01 '!M25,"")</f>
        <v/>
      </c>
      <c r="N25" s="17" t="str">
        <f>IF('[3]S | 01 '!N25-'S | 01 '!N25,'[3]S | 01 '!N25-'S | 01 '!N25,"")</f>
        <v/>
      </c>
      <c r="O25" s="17" t="str">
        <f ca="1">IF('[3]S | 01 '!O25-'S | 01 '!O25,'[3]S | 01 '!O25-'S | 01 '!O25,"")</f>
        <v/>
      </c>
      <c r="P25" s="10" t="str">
        <f ca="1">IF('[3]S | 01 '!P25-'S | 01 '!P25,'[3]S | 01 '!P25-'S | 01 '!P25,"")</f>
        <v/>
      </c>
      <c r="Q25" s="105" t="str">
        <f>IF('[3]S | 01 '!R25-'S | 01 '!Q25,'[3]S | 01 '!R25-'S | 01 '!Q25,"")</f>
        <v/>
      </c>
      <c r="R25" s="230"/>
    </row>
    <row r="26" spans="2:18" x14ac:dyDescent="0.25">
      <c r="B26" s="81"/>
      <c r="C26" s="4" t="s">
        <v>348</v>
      </c>
      <c r="D26" s="2" t="s">
        <v>78</v>
      </c>
      <c r="E26" s="2" t="s">
        <v>64</v>
      </c>
      <c r="F26" s="2" t="s">
        <v>8</v>
      </c>
      <c r="G26" s="6">
        <v>2023</v>
      </c>
      <c r="H26" s="2" t="s">
        <v>67</v>
      </c>
      <c r="I26" s="17" t="str">
        <f>IF('[3]S | 01 '!I26-'S | 01 '!I26,'[3]S | 01 '!I26-'S | 01 '!I26,"")</f>
        <v/>
      </c>
      <c r="J26" s="17" t="str">
        <f ca="1">IF('[3]S | 01 '!J26-'S | 01 '!J26,'[3]S | 01 '!J26-'S | 01 '!J26,"")</f>
        <v/>
      </c>
      <c r="K26" s="17" t="str">
        <f ca="1">IF('[3]S | 01 '!K26-'S | 01 '!K26,'[3]S | 01 '!K26-'S | 01 '!K26,"")</f>
        <v/>
      </c>
      <c r="L26" s="17" t="str">
        <f ca="1">IF('[3]S | 01 '!L26-'S | 01 '!L26,'[3]S | 01 '!L26-'S | 01 '!L26,"")</f>
        <v/>
      </c>
      <c r="M26" s="17" t="str">
        <f>IF('[3]S | 01 '!M26-'S | 01 '!M26,'[3]S | 01 '!M26-'S | 01 '!M26,"")</f>
        <v/>
      </c>
      <c r="N26" s="17" t="str">
        <f ca="1">IF('[3]S | 01 '!N26-'S | 01 '!N26,'[3]S | 01 '!N26-'S | 01 '!N26,"")</f>
        <v/>
      </c>
      <c r="O26" s="17" t="str">
        <f ca="1">IF('[3]S | 01 '!O26-'S | 01 '!O26,'[3]S | 01 '!O26-'S | 01 '!O26,"")</f>
        <v/>
      </c>
      <c r="P26" s="10" t="str">
        <f ca="1">IF('[3]S | 01 '!P26-'S | 01 '!P26,'[3]S | 01 '!P26-'S | 01 '!P26,"")</f>
        <v/>
      </c>
      <c r="Q26" s="105" t="str">
        <f>IF('[3]S | 01 '!R26-'S | 01 '!Q26,'[3]S | 01 '!R26-'S | 01 '!Q26,"")</f>
        <v/>
      </c>
      <c r="R26" s="230"/>
    </row>
    <row r="27" spans="2:18" x14ac:dyDescent="0.25">
      <c r="B27" s="81"/>
      <c r="C27" s="4" t="s">
        <v>413</v>
      </c>
      <c r="D27" s="2" t="s">
        <v>78</v>
      </c>
      <c r="E27" s="2" t="s">
        <v>64</v>
      </c>
      <c r="F27" s="2" t="s">
        <v>8</v>
      </c>
      <c r="G27" s="6">
        <v>2023</v>
      </c>
      <c r="H27" s="2" t="s">
        <v>416</v>
      </c>
      <c r="I27" s="17" t="str">
        <f>IF('[3]S | 01 '!I27-'S | 01 '!I27,'[3]S | 01 '!I27-'S | 01 '!I27,"")</f>
        <v/>
      </c>
      <c r="J27" s="17" t="str">
        <f ca="1">IF('[3]S | 01 '!J27-'S | 01 '!J27,'[3]S | 01 '!J27-'S | 01 '!J27,"")</f>
        <v/>
      </c>
      <c r="K27" s="17" t="str">
        <f ca="1">IF('[3]S | 01 '!K27-'S | 01 '!K27,'[3]S | 01 '!K27-'S | 01 '!K27,"")</f>
        <v/>
      </c>
      <c r="L27" s="17" t="str">
        <f ca="1">IF('[3]S | 01 '!L27-'S | 01 '!L27,'[3]S | 01 '!L27-'S | 01 '!L27,"")</f>
        <v/>
      </c>
      <c r="M27" s="17" t="str">
        <f>IF('[3]S | 01 '!M27-'S | 01 '!M27,'[3]S | 01 '!M27-'S | 01 '!M27,"")</f>
        <v/>
      </c>
      <c r="N27" s="17" t="str">
        <f>IF('[3]S | 01 '!N27-'S | 01 '!N27,'[3]S | 01 '!N27-'S | 01 '!N27,"")</f>
        <v/>
      </c>
      <c r="O27" s="17" t="str">
        <f ca="1">IF('[3]S | 01 '!O27-'S | 01 '!O27,'[3]S | 01 '!O27-'S | 01 '!O27,"")</f>
        <v/>
      </c>
      <c r="P27" s="10" t="e">
        <f>IF('[3]S | 01 '!P27-'S | 01 '!P27,'[3]S | 01 '!P27-'S | 01 '!P27,"")</f>
        <v>#VALUE!</v>
      </c>
      <c r="Q27" s="105" t="e">
        <f>IF('[3]S | 01 '!R27-'S | 01 '!Q27,'[3]S | 01 '!R27-'S | 01 '!Q27,"")</f>
        <v>#VALUE!</v>
      </c>
      <c r="R27" s="230"/>
    </row>
    <row r="28" spans="2:18" x14ac:dyDescent="0.25">
      <c r="B28" s="81"/>
      <c r="C28" s="4" t="s">
        <v>424</v>
      </c>
      <c r="D28" s="2" t="s">
        <v>78</v>
      </c>
      <c r="E28" s="2" t="s">
        <v>62</v>
      </c>
      <c r="F28" s="2" t="s">
        <v>8</v>
      </c>
      <c r="G28" s="6">
        <v>2023</v>
      </c>
      <c r="H28" s="2" t="s">
        <v>68</v>
      </c>
      <c r="I28" s="17" t="str">
        <f>IF('[3]S | 01 '!I28-'S | 01 '!I28,'[3]S | 01 '!I28-'S | 01 '!I28,"")</f>
        <v/>
      </c>
      <c r="J28" s="17" t="str">
        <f ca="1">IF('[3]S | 01 '!J28-'S | 01 '!J28,'[3]S | 01 '!J28-'S | 01 '!J28,"")</f>
        <v/>
      </c>
      <c r="K28" s="17" t="str">
        <f ca="1">IF('[3]S | 01 '!K28-'S | 01 '!K28,'[3]S | 01 '!K28-'S | 01 '!K28,"")</f>
        <v/>
      </c>
      <c r="L28" s="17" t="str">
        <f ca="1">IF('[3]S | 01 '!L28-'S | 01 '!L28,'[3]S | 01 '!L28-'S | 01 '!L28,"")</f>
        <v/>
      </c>
      <c r="M28" s="17" t="str">
        <f>IF('[3]S | 01 '!M28-'S | 01 '!M28,'[3]S | 01 '!M28-'S | 01 '!M28,"")</f>
        <v/>
      </c>
      <c r="N28" s="17" t="str">
        <f ca="1">IF('[3]S | 01 '!N28-'S | 01 '!N28,'[3]S | 01 '!N28-'S | 01 '!N28,"")</f>
        <v/>
      </c>
      <c r="O28" s="17" t="str">
        <f ca="1">IF('[3]S | 01 '!O28-'S | 01 '!O28,'[3]S | 01 '!O28-'S | 01 '!O28,"")</f>
        <v/>
      </c>
      <c r="P28" s="10" t="e">
        <f ca="1">IF('[3]S | 01 '!P28-'S | 01 '!P28,'[3]S | 01 '!P28-'S | 01 '!P28,"")</f>
        <v>#VALUE!</v>
      </c>
      <c r="Q28" s="105" t="e">
        <f>IF('[3]S | 01 '!R28-'S | 01 '!Q28,'[3]S | 01 '!R28-'S | 01 '!Q28,"")</f>
        <v>#VALUE!</v>
      </c>
      <c r="R28" s="230"/>
    </row>
    <row r="29" spans="2:18" x14ac:dyDescent="0.25">
      <c r="B29" s="81"/>
      <c r="C29" s="4" t="s">
        <v>467</v>
      </c>
      <c r="D29" s="2" t="s">
        <v>78</v>
      </c>
      <c r="E29" s="2" t="s">
        <v>468</v>
      </c>
      <c r="F29" s="2" t="s">
        <v>643</v>
      </c>
      <c r="G29" s="6">
        <v>2024</v>
      </c>
      <c r="H29" s="2" t="s">
        <v>470</v>
      </c>
      <c r="I29" s="17" t="str">
        <f>IF('[3]S | 01 '!I29-'S | 01 '!I29,'[3]S | 01 '!I29-'S | 01 '!I29,"")</f>
        <v/>
      </c>
      <c r="J29" s="17" t="str">
        <f ca="1">IF('[3]S | 01 '!J29-'S | 01 '!J29,'[3]S | 01 '!J29-'S | 01 '!J29,"")</f>
        <v/>
      </c>
      <c r="K29" s="17" t="str">
        <f ca="1">IF('[3]S | 01 '!K29-'S | 01 '!K29,'[3]S | 01 '!K29-'S | 01 '!K29,"")</f>
        <v/>
      </c>
      <c r="L29" s="17" t="str">
        <f ca="1">IF('[3]S | 01 '!L29-'S | 01 '!L29,'[3]S | 01 '!L29-'S | 01 '!L29,"")</f>
        <v/>
      </c>
      <c r="M29" s="17" t="str">
        <f>IF('[3]S | 01 '!M29-'S | 01 '!M29,'[3]S | 01 '!M29-'S | 01 '!M29,"")</f>
        <v/>
      </c>
      <c r="N29" s="17" t="str">
        <f ca="1">IF('[3]S | 01 '!N29-'S | 01 '!N29,'[3]S | 01 '!N29-'S | 01 '!N29,"")</f>
        <v/>
      </c>
      <c r="O29" s="17" t="str">
        <f ca="1">IF('[3]S | 01 '!O29-'S | 01 '!O29,'[3]S | 01 '!O29-'S | 01 '!O29,"")</f>
        <v/>
      </c>
      <c r="P29" s="10" t="e">
        <f ca="1">IF('[3]S | 01 '!P29-'S | 01 '!P29,'[3]S | 01 '!P29-'S | 01 '!P29,"")</f>
        <v>#VALUE!</v>
      </c>
      <c r="Q29" s="105" t="e">
        <f>IF('[3]S | 01 '!R29-'S | 01 '!Q29,'[3]S | 01 '!R29-'S | 01 '!Q29,"")</f>
        <v>#VALUE!</v>
      </c>
      <c r="R29" s="230"/>
    </row>
    <row r="30" spans="2:18" x14ac:dyDescent="0.25">
      <c r="B30" s="81"/>
      <c r="C30" s="4" t="s">
        <v>607</v>
      </c>
      <c r="D30" s="2" t="s">
        <v>78</v>
      </c>
      <c r="E30" s="2" t="s">
        <v>64</v>
      </c>
      <c r="F30" s="2" t="s">
        <v>608</v>
      </c>
      <c r="G30" s="6">
        <v>2024</v>
      </c>
      <c r="H30" s="2" t="s">
        <v>44</v>
      </c>
      <c r="I30" s="17" t="e">
        <f>IF('[3]S | 01 '!I30-'S | 01 '!I30,'[3]S | 01 '!I30-'S | 01 '!I30,"")</f>
        <v>#VALUE!</v>
      </c>
      <c r="J30" s="17" t="str">
        <f ca="1">IF('[3]S | 01 '!J30-'S | 01 '!J30,'[3]S | 01 '!J30-'S | 01 '!J30,"")</f>
        <v/>
      </c>
      <c r="K30" s="17" t="str">
        <f ca="1">IF('[3]S | 01 '!K30-'S | 01 '!K30,'[3]S | 01 '!K30-'S | 01 '!K30,"")</f>
        <v/>
      </c>
      <c r="L30" s="17" t="str">
        <f ca="1">IF('[3]S | 01 '!L30-'S | 01 '!L30,'[3]S | 01 '!L30-'S | 01 '!L30,"")</f>
        <v/>
      </c>
      <c r="M30" s="17" t="str">
        <f>IF('[3]S | 01 '!M30-'S | 01 '!M30,'[3]S | 01 '!M30-'S | 01 '!M30,"")</f>
        <v/>
      </c>
      <c r="N30" s="17" t="str">
        <f>IF('[3]S | 01 '!N30-'S | 01 '!N30,'[3]S | 01 '!N30-'S | 01 '!N30,"")</f>
        <v/>
      </c>
      <c r="O30" s="17" t="str">
        <f ca="1">IF('[3]S | 01 '!O30-'S | 01 '!O30,'[3]S | 01 '!O30-'S | 01 '!O30,"")</f>
        <v/>
      </c>
      <c r="P30" s="10" t="e">
        <f ca="1">IF('[3]S | 01 '!P30-'S | 01 '!P30,'[3]S | 01 '!P30-'S | 01 '!P30,"")</f>
        <v>#VALUE!</v>
      </c>
      <c r="Q30" s="105" t="str">
        <f>IF('[3]S | 01 '!R30-'S | 01 '!Q30,'[3]S | 01 '!R30-'S | 01 '!Q30,"")</f>
        <v/>
      </c>
      <c r="R30" s="230"/>
    </row>
    <row r="31" spans="2:18" x14ac:dyDescent="0.25">
      <c r="B31" s="81"/>
      <c r="C31" s="5"/>
      <c r="D31" s="7"/>
      <c r="E31" s="7"/>
      <c r="F31" s="7"/>
      <c r="G31" s="14"/>
      <c r="H31" s="7"/>
      <c r="I31" s="207" t="str">
        <f>IF('[3]S | 01 '!I31-'S | 01 '!I32,'[3]S | 01 '!I31-'S | 01 '!I32,"")</f>
        <v/>
      </c>
      <c r="J31" s="24" t="str">
        <f>IF('[3]S | 01 '!J31-'S | 01 '!J32,'[3]S | 01 '!J31-'S | 01 '!J32,"")</f>
        <v/>
      </c>
      <c r="K31" s="7" t="str">
        <f>IF('[3]S | 01 '!K31-'S | 01 '!K32,'[3]S | 01 '!K31-'S | 01 '!K32,"")</f>
        <v/>
      </c>
      <c r="L31" s="24" t="str">
        <f>IF('[3]S | 01 '!L31-'S | 01 '!L32,'[3]S | 01 '!L31-'S | 01 '!L32,"")</f>
        <v/>
      </c>
      <c r="M31" s="24" t="str">
        <f>IF('[3]S | 01 '!M31-'S | 01 '!M32,'[3]S | 01 '!M31-'S | 01 '!M32,"")</f>
        <v/>
      </c>
      <c r="N31" s="24" t="str">
        <f>IF('[3]S | 01 '!N31-'S | 01 '!N32,'[3]S | 01 '!N31-'S | 01 '!N32,"")</f>
        <v/>
      </c>
      <c r="O31" s="24" t="str">
        <f>IF('[3]S | 01 '!O31-'S | 01 '!O32,'[3]S | 01 '!O31-'S | 01 '!O32,"")</f>
        <v/>
      </c>
      <c r="P31" s="15" t="str">
        <f>IF('[3]S | 01 '!P31-'S | 01 '!P32,'[3]S | 01 '!P31-'S | 01 '!P32,"")</f>
        <v/>
      </c>
      <c r="Q31" s="220" t="str">
        <f>IF('[3]S | 01 '!R31-'S | 01 '!Q32,'[3]S | 01 '!R31-'S | 01 '!Q32,"")</f>
        <v/>
      </c>
      <c r="R31" s="230"/>
    </row>
    <row r="32" spans="2:18" s="85" customFormat="1" x14ac:dyDescent="0.25">
      <c r="B32" s="83"/>
      <c r="C32" s="98"/>
      <c r="D32" s="98"/>
      <c r="E32" s="98"/>
      <c r="F32" s="98"/>
      <c r="G32" s="98"/>
      <c r="H32" s="98"/>
      <c r="I32" s="99" t="str">
        <f>IF('[3]S | 01 '!I32-'S | 01 '!I33,'[3]S | 01 '!I32-'S | 01 '!I33,"")</f>
        <v/>
      </c>
      <c r="J32" s="100">
        <f ca="1">IF('[3]S | 01 '!J32-'S | 01 '!J33,'[3]S | 01 '!J32-'S | 01 '!J33,"")</f>
        <v>-10</v>
      </c>
      <c r="K32" s="100">
        <f ca="1">IF('[3]S | 01 '!K32-'S | 01 '!K33,'[3]S | 01 '!K32-'S | 01 '!K33,"")</f>
        <v>-10</v>
      </c>
      <c r="L32" s="100" t="str">
        <f ca="1">IF('[3]S | 01 '!L32-'S | 01 '!L33,'[3]S | 01 '!L32-'S | 01 '!L33,"")</f>
        <v/>
      </c>
      <c r="M32" s="100" t="str">
        <f ca="1">IF('[3]S | 01 '!M32-'S | 01 '!M33,'[3]S | 01 '!M32-'S | 01 '!M33,"")</f>
        <v/>
      </c>
      <c r="N32" s="98">
        <f ca="1">IF('[3]S | 01 '!N32-'S | 01 '!N33,'[3]S | 01 '!N32-'S | 01 '!N33,"")</f>
        <v>38.644854823229025</v>
      </c>
      <c r="O32" s="100">
        <f ca="1">IF('[3]S | 01 '!O32-'S | 01 '!O33,'[3]S | 01 '!O32-'S | 01 '!O33,"")</f>
        <v>48.644854823229025</v>
      </c>
      <c r="P32" s="101">
        <f ca="1">IF('[3]S | 01 '!P32-'S | 01 '!P33,'[3]S | 01 '!P32-'S | 01 '!P33,"")</f>
        <v>2.2431913603159992E-2</v>
      </c>
      <c r="Q32" s="103" t="str">
        <f>IF('[3]S | 01 '!R32-'S | 01 '!Q33,'[3]S | 01 '!R32-'S | 01 '!Q33,"")</f>
        <v/>
      </c>
      <c r="R32" s="290"/>
    </row>
    <row r="33" spans="2:18" x14ac:dyDescent="0.25">
      <c r="B33" s="81"/>
      <c r="C33" s="5"/>
      <c r="D33" s="8"/>
      <c r="E33" s="8"/>
      <c r="F33" s="8"/>
      <c r="G33" s="8"/>
      <c r="H33" s="8"/>
      <c r="I33" s="22" t="str">
        <f>IF('[3]S | 01 '!I33-'S | 01 '!I34,'[3]S | 01 '!I33-'S | 01 '!I34,"")</f>
        <v/>
      </c>
      <c r="J33" s="19" t="str">
        <f>IF('[3]S | 01 '!J33-'S | 01 '!J34,'[3]S | 01 '!J33-'S | 01 '!J34,"")</f>
        <v/>
      </c>
      <c r="K33" s="19" t="str">
        <f>IF('[3]S | 01 '!K33-'S | 01 '!K34,'[3]S | 01 '!K33-'S | 01 '!K34,"")</f>
        <v/>
      </c>
      <c r="L33" s="19" t="str">
        <f>IF('[3]S | 01 '!L33-'S | 01 '!L34,'[3]S | 01 '!L33-'S | 01 '!L34,"")</f>
        <v/>
      </c>
      <c r="M33" s="19" t="str">
        <f>IF('[3]S | 01 '!M33-'S | 01 '!M34,'[3]S | 01 '!M33-'S | 01 '!M34,"")</f>
        <v/>
      </c>
      <c r="N33" s="19" t="str">
        <f>IF('[3]S | 01 '!N33-'S | 01 '!N34,'[3]S | 01 '!N33-'S | 01 '!N34,"")</f>
        <v/>
      </c>
      <c r="O33" s="19" t="str">
        <f>IF('[3]S | 01 '!O33-'S | 01 '!O34,'[3]S | 01 '!O33-'S | 01 '!O34,"")</f>
        <v/>
      </c>
      <c r="P33" s="12" t="str">
        <f>IF('[3]S | 01 '!P33-'S | 01 '!P34,'[3]S | 01 '!P33-'S | 01 '!P34,"")</f>
        <v/>
      </c>
      <c r="Q33" s="104" t="str">
        <f>IF('[3]S | 01 '!R33-'S | 01 '!Q34,'[3]S | 01 '!R33-'S | 01 '!Q34,"")</f>
        <v/>
      </c>
      <c r="R33" s="230"/>
    </row>
    <row r="34" spans="2:18" x14ac:dyDescent="0.25">
      <c r="B34" s="81"/>
      <c r="C34" s="521" t="s">
        <v>29</v>
      </c>
      <c r="D34" s="429"/>
      <c r="E34" s="429"/>
      <c r="F34" s="429"/>
      <c r="G34" s="430"/>
      <c r="H34" s="429"/>
      <c r="I34" s="431" t="str">
        <f>IF('[3]S | 01 '!I34-'S | 01 '!I35,'[3]S | 01 '!I34-'S | 01 '!I35,"")</f>
        <v/>
      </c>
      <c r="J34" s="432" t="str">
        <f>IF('[3]S | 01 '!J34-'S | 01 '!J35,'[3]S | 01 '!J34-'S | 01 '!J35,"")</f>
        <v/>
      </c>
      <c r="K34" s="432" t="str">
        <f>IF('[3]S | 01 '!K34-'S | 01 '!K35,'[3]S | 01 '!K34-'S | 01 '!K35,"")</f>
        <v/>
      </c>
      <c r="L34" s="432" t="str">
        <f>IF('[3]S | 01 '!L34-'S | 01 '!L35,'[3]S | 01 '!L34-'S | 01 '!L35,"")</f>
        <v/>
      </c>
      <c r="M34" s="432" t="str">
        <f>IF('[3]S | 01 '!M34-'S | 01 '!M35,'[3]S | 01 '!M34-'S | 01 '!M35,"")</f>
        <v/>
      </c>
      <c r="N34" s="432" t="str">
        <f>IF('[3]S | 01 '!N34-'S | 01 '!N35,'[3]S | 01 '!N34-'S | 01 '!N35,"")</f>
        <v/>
      </c>
      <c r="O34" s="432" t="str">
        <f>IF('[3]S | 01 '!O34-'S | 01 '!O35,'[3]S | 01 '!O34-'S | 01 '!O35,"")</f>
        <v/>
      </c>
      <c r="P34" s="433" t="str">
        <f>IF('[3]S | 01 '!P34-'S | 01 '!P35,'[3]S | 01 '!P34-'S | 01 '!P35,"")</f>
        <v/>
      </c>
      <c r="Q34" s="429" t="str">
        <f>IF('[3]S | 01 '!R34-'S | 01 '!Q35,'[3]S | 01 '!R34-'S | 01 '!Q35,"")</f>
        <v/>
      </c>
      <c r="R34" s="230"/>
    </row>
    <row r="35" spans="2:18" x14ac:dyDescent="0.25">
      <c r="B35" s="81"/>
      <c r="C35" s="4" t="s">
        <v>48</v>
      </c>
      <c r="D35" s="2" t="s">
        <v>448</v>
      </c>
      <c r="E35" s="2" t="s">
        <v>306</v>
      </c>
      <c r="F35" s="2" t="s">
        <v>8</v>
      </c>
      <c r="G35" s="6">
        <v>2019</v>
      </c>
      <c r="H35" s="2" t="s">
        <v>126</v>
      </c>
      <c r="I35" s="17" t="e">
        <f>IF('[3]S | 01 '!I35-'S | 01 '!I36,'[3]S | 01 '!I35-'S | 01 '!I36,"")</f>
        <v>#VALUE!</v>
      </c>
      <c r="J35" s="17" t="str">
        <f>IF('[3]S | 01 '!J35-'S | 01 '!J36,'[3]S | 01 '!J35-'S | 01 '!J36,"")</f>
        <v/>
      </c>
      <c r="K35" s="17" t="str">
        <f>IF('[3]S | 01 '!K35-'S | 01 '!K36,'[3]S | 01 '!K35-'S | 01 '!K36,"")</f>
        <v/>
      </c>
      <c r="L35" s="17" t="str">
        <f>IF('[3]S | 01 '!L35-'S | 01 '!L36,'[3]S | 01 '!L35-'S | 01 '!L36,"")</f>
        <v/>
      </c>
      <c r="M35" s="17" t="str">
        <f>IF('[3]S | 01 '!M35-'S | 01 '!M36,'[3]S | 01 '!M35-'S | 01 '!M36,"")</f>
        <v/>
      </c>
      <c r="N35" s="17" t="str">
        <f>IF('[3]S | 01 '!N35-'S | 01 '!N36,'[3]S | 01 '!N35-'S | 01 '!N36,"")</f>
        <v/>
      </c>
      <c r="O35" s="17" t="str">
        <f>IF('[3]S | 01 '!O35-'S | 01 '!O36,'[3]S | 01 '!O35-'S | 01 '!O36,"")</f>
        <v/>
      </c>
      <c r="P35" s="10" t="str">
        <f>IF('[3]S | 01 '!P35-'S | 01 '!P36,'[3]S | 01 '!P35-'S | 01 '!P36,"")</f>
        <v/>
      </c>
      <c r="Q35" s="102" t="e">
        <f>IF('[3]S | 01 '!R35-'S | 01 '!Q36,'[3]S | 01 '!R35-'S | 01 '!Q36,"")</f>
        <v>#VALUE!</v>
      </c>
      <c r="R35" s="230"/>
    </row>
    <row r="36" spans="2:18" x14ac:dyDescent="0.25">
      <c r="B36" s="81"/>
      <c r="C36" s="4" t="s">
        <v>248</v>
      </c>
      <c r="D36" s="2" t="s">
        <v>448</v>
      </c>
      <c r="E36" s="2" t="s">
        <v>63</v>
      </c>
      <c r="F36" s="2" t="s">
        <v>8</v>
      </c>
      <c r="G36" s="6">
        <v>2021</v>
      </c>
      <c r="H36" s="2" t="s">
        <v>128</v>
      </c>
      <c r="I36" s="17" t="e">
        <f>IF('[3]S | 01 '!I36-'S | 01 '!I37,'[3]S | 01 '!I36-'S | 01 '!I37,"")</f>
        <v>#VALUE!</v>
      </c>
      <c r="J36" s="17" t="str">
        <f>IF('[3]S | 01 '!J36-'S | 01 '!J37,'[3]S | 01 '!J36-'S | 01 '!J37,"")</f>
        <v/>
      </c>
      <c r="K36" s="17" t="str">
        <f>IF('[3]S | 01 '!K36-'S | 01 '!K37,'[3]S | 01 '!K36-'S | 01 '!K37,"")</f>
        <v/>
      </c>
      <c r="L36" s="17" t="str">
        <f>IF('[3]S | 01 '!L36-'S | 01 '!L37,'[3]S | 01 '!L36-'S | 01 '!L37,"")</f>
        <v/>
      </c>
      <c r="M36" s="17" t="str">
        <f>IF('[3]S | 01 '!M36-'S | 01 '!M37,'[3]S | 01 '!M36-'S | 01 '!M37,"")</f>
        <v/>
      </c>
      <c r="N36" s="17" t="str">
        <f>IF('[3]S | 01 '!N36-'S | 01 '!N37,'[3]S | 01 '!N36-'S | 01 '!N37,"")</f>
        <v/>
      </c>
      <c r="O36" s="17" t="str">
        <f>IF('[3]S | 01 '!O36-'S | 01 '!O37,'[3]S | 01 '!O36-'S | 01 '!O37,"")</f>
        <v/>
      </c>
      <c r="P36" s="10" t="str">
        <f>IF('[3]S | 01 '!P36-'S | 01 '!P37,'[3]S | 01 '!P36-'S | 01 '!P37,"")</f>
        <v/>
      </c>
      <c r="Q36" s="102" t="e">
        <f>IF('[3]S | 01 '!R36-'S | 01 '!Q37,'[3]S | 01 '!R36-'S | 01 '!Q37,"")</f>
        <v>#VALUE!</v>
      </c>
      <c r="R36" s="230"/>
    </row>
    <row r="37" spans="2:18" x14ac:dyDescent="0.25">
      <c r="B37" s="81"/>
      <c r="C37" s="4" t="s">
        <v>240</v>
      </c>
      <c r="D37" s="2" t="s">
        <v>79</v>
      </c>
      <c r="E37" s="2" t="s">
        <v>62</v>
      </c>
      <c r="F37" s="2" t="s">
        <v>8</v>
      </c>
      <c r="G37" s="6">
        <v>2021</v>
      </c>
      <c r="H37" s="2" t="s">
        <v>128</v>
      </c>
      <c r="I37" s="17" t="e">
        <f>IF('[3]S | 01 '!I37-'S | 01 '!I38,'[3]S | 01 '!I37-'S | 01 '!I38,"")</f>
        <v>#VALUE!</v>
      </c>
      <c r="J37" s="17" t="str">
        <f>IF('[3]S | 01 '!J37-'S | 01 '!J38,'[3]S | 01 '!J37-'S | 01 '!J38,"")</f>
        <v/>
      </c>
      <c r="K37" s="17" t="str">
        <f>IF('[3]S | 01 '!K37-'S | 01 '!K38,'[3]S | 01 '!K37-'S | 01 '!K38,"")</f>
        <v/>
      </c>
      <c r="L37" s="17" t="str">
        <f>IF('[3]S | 01 '!L37-'S | 01 '!L38,'[3]S | 01 '!L37-'S | 01 '!L38,"")</f>
        <v/>
      </c>
      <c r="M37" s="17" t="str">
        <f>IF('[3]S | 01 '!M37-'S | 01 '!M38,'[3]S | 01 '!M37-'S | 01 '!M38,"")</f>
        <v/>
      </c>
      <c r="N37" s="17" t="str">
        <f>IF('[3]S | 01 '!N37-'S | 01 '!N38,'[3]S | 01 '!N37-'S | 01 '!N38,"")</f>
        <v/>
      </c>
      <c r="O37" s="17" t="str">
        <f>IF('[3]S | 01 '!O37-'S | 01 '!O38,'[3]S | 01 '!O37-'S | 01 '!O38,"")</f>
        <v/>
      </c>
      <c r="P37" s="10" t="str">
        <f>IF('[3]S | 01 '!P37-'S | 01 '!P38,'[3]S | 01 '!P37-'S | 01 '!P38,"")</f>
        <v/>
      </c>
      <c r="Q37" s="102" t="str">
        <f>IF('[3]S | 01 '!R37-'S | 01 '!Q38,'[3]S | 01 '!R37-'S | 01 '!Q38,"")</f>
        <v/>
      </c>
      <c r="R37" s="230"/>
    </row>
    <row r="38" spans="2:18" s="85" customFormat="1" x14ac:dyDescent="0.25">
      <c r="B38" s="83"/>
      <c r="C38" s="98"/>
      <c r="D38" s="98"/>
      <c r="E38" s="98"/>
      <c r="F38" s="98"/>
      <c r="G38" s="98"/>
      <c r="H38" s="98"/>
      <c r="I38" s="106" t="str">
        <f>IF('[3]S | 01 '!I38-'S | 01 '!I39,'[3]S | 01 '!I38-'S | 01 '!I39,"")</f>
        <v/>
      </c>
      <c r="J38" s="100" t="str">
        <f>IF('[3]S | 01 '!J38-'S | 01 '!J39,'[3]S | 01 '!J38-'S | 01 '!J39,"")</f>
        <v/>
      </c>
      <c r="K38" s="100" t="str">
        <f>IF('[3]S | 01 '!K38-'S | 01 '!K39,'[3]S | 01 '!K38-'S | 01 '!K39,"")</f>
        <v/>
      </c>
      <c r="L38" s="100" t="str">
        <f>IF('[3]S | 01 '!L38-'S | 01 '!L39,'[3]S | 01 '!L38-'S | 01 '!L39,"")</f>
        <v/>
      </c>
      <c r="M38" s="100" t="str">
        <f>IF('[3]S | 01 '!M38-'S | 01 '!M39,'[3]S | 01 '!M38-'S | 01 '!M39,"")</f>
        <v/>
      </c>
      <c r="N38" s="100" t="str">
        <f>IF('[3]S | 01 '!N38-'S | 01 '!N39,'[3]S | 01 '!N38-'S | 01 '!N39,"")</f>
        <v/>
      </c>
      <c r="O38" s="100" t="str">
        <f>IF('[3]S | 01 '!O38-'S | 01 '!O39,'[3]S | 01 '!O38-'S | 01 '!O39,"")</f>
        <v/>
      </c>
      <c r="P38" s="101" t="str">
        <f>IF('[3]S | 01 '!P38-'S | 01 '!P39,'[3]S | 01 '!P38-'S | 01 '!P39,"")</f>
        <v/>
      </c>
      <c r="Q38" s="103" t="str">
        <f>IF('[3]S | 01 '!R38-'S | 01 '!Q39,'[3]S | 01 '!R38-'S | 01 '!Q39,"")</f>
        <v/>
      </c>
      <c r="R38" s="290"/>
    </row>
    <row r="39" spans="2:18" x14ac:dyDescent="0.25">
      <c r="B39" s="81"/>
      <c r="C39" s="5"/>
      <c r="D39" s="8"/>
      <c r="E39" s="8"/>
      <c r="F39" s="8"/>
      <c r="G39" s="8"/>
      <c r="H39" s="8"/>
      <c r="I39" s="107" t="str">
        <f>IF('[3]S | 01 '!I39-'S | 01 '!I40,'[3]S | 01 '!I39-'S | 01 '!I40,"")</f>
        <v/>
      </c>
      <c r="J39" s="19" t="str">
        <f>IF('[3]S | 01 '!J39-'S | 01 '!J40,'[3]S | 01 '!J39-'S | 01 '!J40,"")</f>
        <v/>
      </c>
      <c r="K39" s="19" t="str">
        <f>IF('[3]S | 01 '!K39-'S | 01 '!K40,'[3]S | 01 '!K39-'S | 01 '!K40,"")</f>
        <v/>
      </c>
      <c r="L39" s="19" t="str">
        <f>IF('[3]S | 01 '!L39-'S | 01 '!L40,'[3]S | 01 '!L39-'S | 01 '!L40,"")</f>
        <v/>
      </c>
      <c r="M39" s="19" t="str">
        <f>IF('[3]S | 01 '!M39-'S | 01 '!M40,'[3]S | 01 '!M39-'S | 01 '!M40,"")</f>
        <v/>
      </c>
      <c r="N39" s="19" t="str">
        <f>IF('[3]S | 01 '!N39-'S | 01 '!N40,'[3]S | 01 '!N39-'S | 01 '!N40,"")</f>
        <v/>
      </c>
      <c r="O39" s="19" t="str">
        <f>IF('[3]S | 01 '!O39-'S | 01 '!O40,'[3]S | 01 '!O39-'S | 01 '!O40,"")</f>
        <v/>
      </c>
      <c r="P39" s="12" t="str">
        <f>IF('[3]S | 01 '!P39-'S | 01 '!P40,'[3]S | 01 '!P39-'S | 01 '!P40,"")</f>
        <v/>
      </c>
      <c r="Q39" s="8" t="str">
        <f>IF('[3]S | 01 '!R39-'S | 01 '!Q40,'[3]S | 01 '!R39-'S | 01 '!Q40,"")</f>
        <v/>
      </c>
      <c r="R39" s="230"/>
    </row>
    <row r="40" spans="2:18" x14ac:dyDescent="0.25">
      <c r="B40" s="81"/>
      <c r="C40" s="521" t="s">
        <v>30</v>
      </c>
      <c r="D40" s="429"/>
      <c r="E40" s="429"/>
      <c r="F40" s="429"/>
      <c r="G40" s="430"/>
      <c r="H40" s="429"/>
      <c r="I40" s="431" t="str">
        <f>IF('[3]S | 01 '!I40-'S | 01 '!I41,'[3]S | 01 '!I40-'S | 01 '!I41,"")</f>
        <v/>
      </c>
      <c r="J40" s="432" t="str">
        <f>IF('[3]S | 01 '!J40-'S | 01 '!J41,'[3]S | 01 '!J40-'S | 01 '!J41,"")</f>
        <v/>
      </c>
      <c r="K40" s="432" t="str">
        <f>IF('[3]S | 01 '!K40-'S | 01 '!K41,'[3]S | 01 '!K40-'S | 01 '!K41,"")</f>
        <v/>
      </c>
      <c r="L40" s="432" t="str">
        <f>IF('[3]S | 01 '!L40-'S | 01 '!L41,'[3]S | 01 '!L40-'S | 01 '!L41,"")</f>
        <v/>
      </c>
      <c r="M40" s="432" t="str">
        <f>IF('[3]S | 01 '!M40-'S | 01 '!M41,'[3]S | 01 '!M40-'S | 01 '!M41,"")</f>
        <v/>
      </c>
      <c r="N40" s="432" t="str">
        <f>IF('[3]S | 01 '!N40-'S | 01 '!N41,'[3]S | 01 '!N40-'S | 01 '!N41,"")</f>
        <v/>
      </c>
      <c r="O40" s="432" t="str">
        <f>IF('[3]S | 01 '!O40-'S | 01 '!O41,'[3]S | 01 '!O40-'S | 01 '!O41,"")</f>
        <v/>
      </c>
      <c r="P40" s="433" t="str">
        <f>IF('[3]S | 01 '!P40-'S | 01 '!P41,'[3]S | 01 '!P40-'S | 01 '!P41,"")</f>
        <v/>
      </c>
      <c r="Q40" s="429" t="str">
        <f>IF('[3]S | 01 '!R40-'S | 01 '!Q41,'[3]S | 01 '!R40-'S | 01 '!Q41,"")</f>
        <v/>
      </c>
      <c r="R40" s="230"/>
    </row>
    <row r="41" spans="2:18" x14ac:dyDescent="0.25">
      <c r="B41" s="81"/>
      <c r="C41" s="4" t="s">
        <v>118</v>
      </c>
      <c r="D41" s="2" t="s">
        <v>78</v>
      </c>
      <c r="E41" s="2" t="s">
        <v>62</v>
      </c>
      <c r="F41" s="2" t="s">
        <v>615</v>
      </c>
      <c r="G41" s="6">
        <v>2020</v>
      </c>
      <c r="H41" s="2" t="s">
        <v>54</v>
      </c>
      <c r="I41" s="17" t="e">
        <f>IF('[3]S | 01 '!I41-'S | 01 '!I42,'[3]S | 01 '!I41-'S | 01 '!I42,"")</f>
        <v>#VALUE!</v>
      </c>
      <c r="J41" s="17">
        <f>IF('[3]S | 01 '!J41-'S | 01 '!J42,'[3]S | 01 '!J41-'S | 01 '!J42,"")</f>
        <v>0.98477412739820736</v>
      </c>
      <c r="K41" s="17">
        <f ca="1">IF('[3]S | 01 '!K41-'S | 01 '!K42,'[3]S | 01 '!K41-'S | 01 '!K42,"")</f>
        <v>-1.7173903566779991</v>
      </c>
      <c r="L41" s="17">
        <f>IF('[3]S | 01 '!L41-'S | 01 '!L42,'[3]S | 01 '!L41-'S | 01 '!L42,"")</f>
        <v>-0.22896252276519924</v>
      </c>
      <c r="M41" s="17">
        <f>IF('[3]S | 01 '!M41-'S | 01 '!M42,'[3]S | 01 '!M41-'S | 01 '!M42,"")</f>
        <v>-0.46369472675700019</v>
      </c>
      <c r="N41" s="17">
        <f>IF('[3]S | 01 '!N41-'S | 01 '!N42,'[3]S | 01 '!N41-'S | 01 '!N42,"")</f>
        <v>-3.1449922892335991</v>
      </c>
      <c r="O41" s="17">
        <f ca="1">IF('[3]S | 01 '!O41-'S | 01 '!O42,'[3]S | 01 '!O41-'S | 01 '!O42,"")</f>
        <v>-1.8912966593126015</v>
      </c>
      <c r="P41" s="10">
        <f ca="1">IF('[3]S | 01 '!P41-'S | 01 '!P42,'[3]S | 01 '!P41-'S | 01 '!P42,"")</f>
        <v>-8.1722430772953603E-2</v>
      </c>
      <c r="Q41" s="2" t="str">
        <f>IF('[3]S | 01 '!R41-'S | 01 '!Q42,'[3]S | 01 '!R41-'S | 01 '!Q42,"")</f>
        <v/>
      </c>
      <c r="R41" s="230"/>
    </row>
    <row r="42" spans="2:18" x14ac:dyDescent="0.25">
      <c r="B42" s="81"/>
      <c r="C42" s="4" t="s">
        <v>347</v>
      </c>
      <c r="D42" s="2" t="s">
        <v>78</v>
      </c>
      <c r="E42" s="2" t="s">
        <v>62</v>
      </c>
      <c r="F42" s="2" t="s">
        <v>615</v>
      </c>
      <c r="G42" s="6">
        <v>2023</v>
      </c>
      <c r="H42" s="2" t="s">
        <v>54</v>
      </c>
      <c r="I42" s="17" t="e">
        <f>IF('[3]S | 01 '!I42-'S | 01 '!I43,'[3]S | 01 '!I42-'S | 01 '!I43,"")</f>
        <v>#VALUE!</v>
      </c>
      <c r="J42" s="17" t="str">
        <f>IF('[3]S | 01 '!J42-'S | 01 '!J43,'[3]S | 01 '!J42-'S | 01 '!J43,"")</f>
        <v/>
      </c>
      <c r="K42" s="17" t="str">
        <f>IF('[3]S | 01 '!K42-'S | 01 '!K43,'[3]S | 01 '!K42-'S | 01 '!K43,"")</f>
        <v/>
      </c>
      <c r="L42" s="17" t="str">
        <f>IF('[3]S | 01 '!L42-'S | 01 '!L43,'[3]S | 01 '!L42-'S | 01 '!L43,"")</f>
        <v/>
      </c>
      <c r="M42" s="17" t="str">
        <f>IF('[3]S | 01 '!M42-'S | 01 '!M43,'[3]S | 01 '!M42-'S | 01 '!M43,"")</f>
        <v/>
      </c>
      <c r="N42" s="17">
        <f ca="1">IF('[3]S | 01 '!N42-'S | 01 '!N43,'[3]S | 01 '!N42-'S | 01 '!N43,"")</f>
        <v>-0.20305943545962535</v>
      </c>
      <c r="O42" s="17">
        <f ca="1">IF('[3]S | 01 '!O42-'S | 01 '!O43,'[3]S | 01 '!O42-'S | 01 '!O43,"")</f>
        <v>-0.20305943545962535</v>
      </c>
      <c r="P42" s="10">
        <f ca="1">IF('[3]S | 01 '!P42-'S | 01 '!P43,'[3]S | 01 '!P42-'S | 01 '!P43,"")</f>
        <v>-7.5043704408991996E-2</v>
      </c>
      <c r="Q42" s="94" t="str">
        <f>IF('[3]S | 01 '!R42-'S | 01 '!Q43,'[3]S | 01 '!R42-'S | 01 '!Q43,"")</f>
        <v/>
      </c>
      <c r="R42" s="230"/>
    </row>
    <row r="43" spans="2:18" x14ac:dyDescent="0.25">
      <c r="B43" s="81"/>
      <c r="C43" s="4" t="s">
        <v>1</v>
      </c>
      <c r="D43" s="2" t="s">
        <v>78</v>
      </c>
      <c r="E43" s="2" t="s">
        <v>63</v>
      </c>
      <c r="F43" s="2" t="s">
        <v>615</v>
      </c>
      <c r="G43" s="6">
        <v>2020</v>
      </c>
      <c r="H43" s="2" t="s">
        <v>54</v>
      </c>
      <c r="I43" s="17" t="e">
        <f>IF('[3]S | 01 '!I43-'S | 01 '!I44,'[3]S | 01 '!I43-'S | 01 '!I44,"")</f>
        <v>#VALUE!</v>
      </c>
      <c r="J43" s="17">
        <f ca="1">IF('[3]S | 01 '!J43-'S | 01 '!J44,'[3]S | 01 '!J43-'S | 01 '!J44,"")</f>
        <v>-0.29599699999999984</v>
      </c>
      <c r="K43" s="17">
        <f ca="1">IF('[3]S | 01 '!K43-'S | 01 '!K44,'[3]S | 01 '!K43-'S | 01 '!K44,"")</f>
        <v>-5.5696999999995001E-2</v>
      </c>
      <c r="L43" s="17">
        <f>IF('[3]S | 01 '!L43-'S | 01 '!L44,'[3]S | 01 '!L43-'S | 01 '!L44,"")</f>
        <v>-0.2403000000000054</v>
      </c>
      <c r="M43" s="17" t="str">
        <f>IF('[3]S | 01 '!M43-'S | 01 '!M44,'[3]S | 01 '!M43-'S | 01 '!M44,"")</f>
        <v/>
      </c>
      <c r="N43" s="17" t="str">
        <f>IF('[3]S | 01 '!N43-'S | 01 '!N44,'[3]S | 01 '!N43-'S | 01 '!N44,"")</f>
        <v/>
      </c>
      <c r="O43" s="17">
        <f ca="1">IF('[3]S | 01 '!O43-'S | 01 '!O44,'[3]S | 01 '!O43-'S | 01 '!O44,"")</f>
        <v>5.5696999999995001E-2</v>
      </c>
      <c r="P43" s="10">
        <f ca="1">IF('[3]S | 01 '!P43-'S | 01 '!P44,'[3]S | 01 '!P43-'S | 01 '!P44,"")</f>
        <v>6.6346067224032357E-4</v>
      </c>
      <c r="Q43" s="2" t="str">
        <f>IF('[3]S | 01 '!R43-'S | 01 '!Q44,'[3]S | 01 '!R43-'S | 01 '!Q44,"")</f>
        <v/>
      </c>
      <c r="R43" s="230"/>
    </row>
    <row r="44" spans="2:18" x14ac:dyDescent="0.25">
      <c r="B44" s="81"/>
      <c r="C44" s="4" t="s">
        <v>12</v>
      </c>
      <c r="D44" s="2" t="s">
        <v>79</v>
      </c>
      <c r="E44" s="2" t="s">
        <v>63</v>
      </c>
      <c r="F44" s="2" t="s">
        <v>615</v>
      </c>
      <c r="G44" s="6">
        <v>2020</v>
      </c>
      <c r="H44" s="2" t="s">
        <v>54</v>
      </c>
      <c r="I44" s="17" t="e">
        <f>IF('[3]S | 01 '!I44-'S | 01 '!I45,'[3]S | 01 '!I44-'S | 01 '!I45,"")</f>
        <v>#VALUE!</v>
      </c>
      <c r="J44" s="17" t="str">
        <f>IF('[3]S | 01 '!J44-'S | 01 '!J45,'[3]S | 01 '!J44-'S | 01 '!J45,"")</f>
        <v/>
      </c>
      <c r="K44" s="17" t="str">
        <f ca="1">IF('[3]S | 01 '!K44-'S | 01 '!K45,'[3]S | 01 '!K44-'S | 01 '!K45,"")</f>
        <v/>
      </c>
      <c r="L44" s="17" t="str">
        <f>IF('[3]S | 01 '!L44-'S | 01 '!L45,'[3]S | 01 '!L44-'S | 01 '!L45,"")</f>
        <v/>
      </c>
      <c r="M44" s="17" t="str">
        <f>IF('[3]S | 01 '!M44-'S | 01 '!M45,'[3]S | 01 '!M44-'S | 01 '!M45,"")</f>
        <v/>
      </c>
      <c r="N44" s="17" t="str">
        <f>IF('[3]S | 01 '!N44-'S | 01 '!N45,'[3]S | 01 '!N44-'S | 01 '!N45,"")</f>
        <v/>
      </c>
      <c r="O44" s="17" t="str">
        <f ca="1">IF('[3]S | 01 '!O44-'S | 01 '!O45,'[3]S | 01 '!O44-'S | 01 '!O45,"")</f>
        <v/>
      </c>
      <c r="P44" s="10" t="str">
        <f ca="1">IF('[3]S | 01 '!P44-'S | 01 '!P45,'[3]S | 01 '!P44-'S | 01 '!P45,"")</f>
        <v/>
      </c>
      <c r="Q44" s="94" t="str">
        <f>IF('[3]S | 01 '!R44-'S | 01 '!Q45,'[3]S | 01 '!R44-'S | 01 '!Q45,"")</f>
        <v/>
      </c>
      <c r="R44" s="230"/>
    </row>
    <row r="45" spans="2:18" x14ac:dyDescent="0.25">
      <c r="B45" s="81"/>
      <c r="C45" s="4" t="s">
        <v>164</v>
      </c>
      <c r="D45" s="2" t="s">
        <v>78</v>
      </c>
      <c r="E45" s="2" t="s">
        <v>64</v>
      </c>
      <c r="F45" s="2" t="s">
        <v>615</v>
      </c>
      <c r="G45" s="6">
        <v>2021</v>
      </c>
      <c r="H45" s="2" t="s">
        <v>54</v>
      </c>
      <c r="I45" s="17" t="str">
        <f>IF('[3]S | 01 '!I45-'S | 01 '!I46,'[3]S | 01 '!I45-'S | 01 '!I46,"")</f>
        <v/>
      </c>
      <c r="J45" s="17" t="str">
        <f>IF('[3]S | 01 '!J45-'S | 01 '!J46,'[3]S | 01 '!J45-'S | 01 '!J46,"")</f>
        <v/>
      </c>
      <c r="K45" s="17" t="str">
        <f ca="1">IF('[3]S | 01 '!K45-'S | 01 '!K46,'[3]S | 01 '!K45-'S | 01 '!K46,"")</f>
        <v/>
      </c>
      <c r="L45" s="17" t="str">
        <f ca="1">IF('[3]S | 01 '!L45-'S | 01 '!L46,'[3]S | 01 '!L45-'S | 01 '!L46,"")</f>
        <v/>
      </c>
      <c r="M45" s="17" t="str">
        <f>IF('[3]S | 01 '!M45-'S | 01 '!M46,'[3]S | 01 '!M45-'S | 01 '!M46,"")</f>
        <v/>
      </c>
      <c r="N45" s="17">
        <f>IF('[3]S | 01 '!N45-'S | 01 '!N46,'[3]S | 01 '!N45-'S | 01 '!N46,"")</f>
        <v>1.435213000000001</v>
      </c>
      <c r="O45" s="17">
        <f ca="1">IF('[3]S | 01 '!O45-'S | 01 '!O46,'[3]S | 01 '!O45-'S | 01 '!O46,"")</f>
        <v>1.435213000000001</v>
      </c>
      <c r="P45" s="10">
        <f ca="1">IF('[3]S | 01 '!P45-'S | 01 '!P46,'[3]S | 01 '!P45-'S | 01 '!P46,"")</f>
        <v>0.10240448943151648</v>
      </c>
      <c r="Q45" s="2" t="e">
        <f>IF('[3]S | 01 '!R45-'S | 01 '!Q46,'[3]S | 01 '!R45-'S | 01 '!Q46,"")</f>
        <v>#VALUE!</v>
      </c>
      <c r="R45" s="230"/>
    </row>
    <row r="46" spans="2:18" s="85" customFormat="1" x14ac:dyDescent="0.25">
      <c r="B46" s="83"/>
      <c r="C46" s="9"/>
      <c r="D46" s="9"/>
      <c r="E46" s="9"/>
      <c r="F46" s="9"/>
      <c r="G46" s="9"/>
      <c r="H46" s="9"/>
      <c r="I46" s="108" t="str">
        <f>IF('[3]S | 01 '!I46-'S | 01 '!I47,'[3]S | 01 '!I46-'S | 01 '!I47,"")</f>
        <v/>
      </c>
      <c r="J46" s="18">
        <f ca="1">IF('[3]S | 01 '!J46-'S | 01 '!J47,'[3]S | 01 '!J46-'S | 01 '!J47,"")</f>
        <v>0.68877712739822528</v>
      </c>
      <c r="K46" s="18">
        <f ca="1">IF('[3]S | 01 '!K46-'S | 01 '!K47,'[3]S | 01 '!K46-'S | 01 '!K47,"")</f>
        <v>-1.7730873566779906</v>
      </c>
      <c r="L46" s="18">
        <f ca="1">IF('[3]S | 01 '!L46-'S | 01 '!L47,'[3]S | 01 '!L46-'S | 01 '!L47,"")</f>
        <v>-0.46926252276520408</v>
      </c>
      <c r="M46" s="18">
        <f>IF('[3]S | 01 '!M46-'S | 01 '!M47,'[3]S | 01 '!M46-'S | 01 '!M47,"")</f>
        <v>-0.46369472675699797</v>
      </c>
      <c r="N46" s="9">
        <f ca="1">IF('[3]S | 01 '!N46-'S | 01 '!N47,'[3]S | 01 '!N46-'S | 01 '!N47,"")</f>
        <v>-1.9128387246932306</v>
      </c>
      <c r="O46" s="18">
        <f ca="1">IF('[3]S | 01 '!O46-'S | 01 '!O47,'[3]S | 01 '!O46-'S | 01 '!O47,"")</f>
        <v>-0.60344609477223798</v>
      </c>
      <c r="P46" s="11">
        <f ca="1">IF('[3]S | 01 '!P46-'S | 01 '!P47,'[3]S | 01 '!P46-'S | 01 '!P47,"")</f>
        <v>-3.9837775260527231E-3</v>
      </c>
      <c r="Q46" s="9" t="str">
        <f>IF('[3]S | 01 '!R46-'S | 01 '!Q47,'[3]S | 01 '!R46-'S | 01 '!Q47,"")</f>
        <v/>
      </c>
      <c r="R46" s="290"/>
    </row>
    <row r="47" spans="2:18" s="85" customFormat="1" x14ac:dyDescent="0.25">
      <c r="B47" s="83"/>
      <c r="C47" s="181"/>
      <c r="D47" s="181"/>
      <c r="E47" s="181"/>
      <c r="F47" s="181"/>
      <c r="G47" s="181"/>
      <c r="H47" s="181"/>
      <c r="I47" s="107" t="str">
        <f>IF('[3]S | 01 '!I47-'S | 01 '!I48,'[3]S | 01 '!I47-'S | 01 '!I48,"")</f>
        <v/>
      </c>
      <c r="J47" s="182" t="str">
        <f>IF('[3]S | 01 '!J47-'S | 01 '!J48,'[3]S | 01 '!J47-'S | 01 '!J48,"")</f>
        <v/>
      </c>
      <c r="K47" s="182" t="str">
        <f>IF('[3]S | 01 '!K47-'S | 01 '!K48,'[3]S | 01 '!K47-'S | 01 '!K48,"")</f>
        <v/>
      </c>
      <c r="L47" s="182" t="str">
        <f>IF('[3]S | 01 '!L47-'S | 01 '!L48,'[3]S | 01 '!L47-'S | 01 '!L48,"")</f>
        <v/>
      </c>
      <c r="M47" s="182" t="str">
        <f>IF('[3]S | 01 '!M47-'S | 01 '!M48,'[3]S | 01 '!M47-'S | 01 '!M48,"")</f>
        <v/>
      </c>
      <c r="N47" s="182" t="str">
        <f>IF('[3]S | 01 '!N47-'S | 01 '!N48,'[3]S | 01 '!N47-'S | 01 '!N48,"")</f>
        <v/>
      </c>
      <c r="O47" s="182" t="str">
        <f>IF('[3]S | 01 '!O47-'S | 01 '!O48,'[3]S | 01 '!O47-'S | 01 '!O48,"")</f>
        <v/>
      </c>
      <c r="P47" s="183" t="str">
        <f>IF('[3]S | 01 '!P47-'S | 01 '!P48,'[3]S | 01 '!P47-'S | 01 '!P48,"")</f>
        <v/>
      </c>
      <c r="Q47" s="181" t="str">
        <f>IF('[3]S | 01 '!R47-'S | 01 '!Q48,'[3]S | 01 '!R47-'S | 01 '!Q48,"")</f>
        <v/>
      </c>
      <c r="R47" s="290"/>
    </row>
    <row r="48" spans="2:18" s="85" customFormat="1" x14ac:dyDescent="0.25">
      <c r="B48" s="83"/>
      <c r="C48" s="184" t="s">
        <v>56</v>
      </c>
      <c r="D48" s="177"/>
      <c r="E48" s="177"/>
      <c r="F48" s="177"/>
      <c r="G48" s="177"/>
      <c r="H48" s="177"/>
      <c r="I48" s="178" t="str">
        <f>IF('[3]S | 01 '!I48-'S | 01 '!I49,'[3]S | 01 '!I48-'S | 01 '!I49,"")</f>
        <v/>
      </c>
      <c r="J48" s="179">
        <f ca="1">IF('[3]S | 01 '!J48-'S | 01 '!J49,'[3]S | 01 '!J48-'S | 01 '!J49,"")</f>
        <v>-9.3112228726017747</v>
      </c>
      <c r="K48" s="179">
        <f ca="1">IF('[3]S | 01 '!K48-'S | 01 '!K49,'[3]S | 01 '!K48-'S | 01 '!K49,"")</f>
        <v>-11.773087356677934</v>
      </c>
      <c r="L48" s="179">
        <f ca="1">IF('[3]S | 01 '!L48-'S | 01 '!L49,'[3]S | 01 '!L48-'S | 01 '!L49,"")</f>
        <v>-0.46926252276520231</v>
      </c>
      <c r="M48" s="179">
        <f ca="1">IF('[3]S | 01 '!M48-'S | 01 '!M49,'[3]S | 01 '!M48-'S | 01 '!M49,"")</f>
        <v>-0.46369472675701218</v>
      </c>
      <c r="N48" s="179">
        <f ca="1">IF('[3]S | 01 '!N48-'S | 01 '!N49,'[3]S | 01 '!N48-'S | 01 '!N49,"")</f>
        <v>36.732016098535837</v>
      </c>
      <c r="O48" s="179">
        <f ca="1">IF('[3]S | 01 '!O48-'S | 01 '!O49,'[3]S | 01 '!O48-'S | 01 '!O49,"")</f>
        <v>48.041408728456645</v>
      </c>
      <c r="P48" s="180">
        <f ca="1">IF('[3]S | 01 '!P48-'S | 01 '!P49,'[3]S | 01 '!P48-'S | 01 '!P49,"")</f>
        <v>2.065468056935138E-2</v>
      </c>
      <c r="Q48" s="177" t="str">
        <f>IF('[3]S | 01 '!R48-'S | 01 '!Q49,'[3]S | 01 '!R48-'S | 01 '!Q49,"")</f>
        <v/>
      </c>
      <c r="R48" s="290"/>
    </row>
    <row r="49" spans="2:18" s="218" customFormat="1" ht="15.75" thickBot="1" x14ac:dyDescent="0.3">
      <c r="B49" s="211"/>
      <c r="C49" s="212"/>
      <c r="D49" s="213"/>
      <c r="E49" s="213"/>
      <c r="F49" s="213"/>
      <c r="G49" s="213"/>
      <c r="H49" s="213"/>
      <c r="I49" s="214" t="str">
        <f>IF('[3]S | 01 '!I49-'S | 01 '!I50,'[3]S | 01 '!I49-'S | 01 '!I50,"")</f>
        <v/>
      </c>
      <c r="J49" s="215" t="str">
        <f>IF('[3]S | 01 '!J49-'S | 01 '!J50,'[3]S | 01 '!J49-'S | 01 '!J50,"")</f>
        <v/>
      </c>
      <c r="K49" s="215">
        <f>IF('[3]S | 01 '!K49-'S | 01 '!K50,'[3]S | 01 '!K49-'S | 01 '!K50,"")</f>
        <v>1</v>
      </c>
      <c r="L49" s="215" t="str">
        <f>IF('[3]S | 01 '!L49-'S | 01 '!L50,'[3]S | 01 '!L49-'S | 01 '!L50,"")</f>
        <v/>
      </c>
      <c r="M49" s="215">
        <f>IF('[3]S | 01 '!M49-'S | 01 '!M50,'[3]S | 01 '!M49-'S | 01 '!M50,"")</f>
        <v>1</v>
      </c>
      <c r="N49" s="215">
        <f>IF('[3]S | 01 '!N49-'S | 01 '!N50,'[3]S | 01 '!N49-'S | 01 '!N50,"")</f>
        <v>1</v>
      </c>
      <c r="O49" s="215" t="str">
        <f>IF('[3]S | 01 '!O49-'S | 01 '!O50,'[3]S | 01 '!O49-'S | 01 '!O50,"")</f>
        <v/>
      </c>
      <c r="P49" s="216" t="str">
        <f>IF('[3]S | 01 '!P49-'S | 01 '!P50,'[3]S | 01 '!P49-'S | 01 '!P50,"")</f>
        <v/>
      </c>
      <c r="Q49" s="213" t="str">
        <f>IF('[3]S | 01 '!R49-'S | 01 '!Q50,'[3]S | 01 '!R49-'S | 01 '!Q50,"")</f>
        <v/>
      </c>
      <c r="R49" s="291"/>
    </row>
    <row r="50" spans="2:18" x14ac:dyDescent="0.25">
      <c r="I50" s="91"/>
    </row>
    <row r="51" spans="2:18" x14ac:dyDescent="0.25">
      <c r="C51" s="27"/>
    </row>
    <row r="52" spans="2:18" x14ac:dyDescent="0.25">
      <c r="F52" s="7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2"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157" t="s">
        <v>189</v>
      </c>
      <c r="D2" s="158"/>
      <c r="E2" s="158"/>
      <c r="F2" s="158"/>
      <c r="G2" s="162"/>
      <c r="H2" s="162"/>
      <c r="I2" s="162"/>
      <c r="J2" s="162"/>
      <c r="K2" s="27"/>
      <c r="L2" s="95"/>
      <c r="M2" s="27"/>
    </row>
    <row r="5" spans="2:20" x14ac:dyDescent="0.2">
      <c r="C5" s="38" t="s">
        <v>5</v>
      </c>
      <c r="D5" s="40" t="s">
        <v>153</v>
      </c>
      <c r="E5" s="39" t="s">
        <v>6</v>
      </c>
      <c r="F5" s="39" t="s">
        <v>172</v>
      </c>
      <c r="G5" s="39" t="s">
        <v>93</v>
      </c>
      <c r="H5" s="39" t="s">
        <v>162</v>
      </c>
      <c r="J5" s="142" t="s">
        <v>93</v>
      </c>
      <c r="K5" s="143" t="s">
        <v>152</v>
      </c>
      <c r="L5" s="143" t="s">
        <v>43</v>
      </c>
      <c r="M5" s="143" t="s">
        <v>52</v>
      </c>
      <c r="N5" s="143" t="s">
        <v>56</v>
      </c>
      <c r="P5" s="142" t="s">
        <v>162</v>
      </c>
      <c r="Q5" s="143" t="s">
        <v>152</v>
      </c>
      <c r="R5" s="143" t="s">
        <v>43</v>
      </c>
      <c r="S5" s="143" t="s">
        <v>52</v>
      </c>
      <c r="T5" s="143" t="s">
        <v>56</v>
      </c>
    </row>
    <row r="6" spans="2:20" x14ac:dyDescent="0.2">
      <c r="B6" s="274" t="s">
        <v>152</v>
      </c>
      <c r="C6" s="226" t="str">
        <f>'CF (Equity, Debt)'!C4</f>
        <v>Jollychic Holding Limited</v>
      </c>
      <c r="D6" s="33" t="s">
        <v>152</v>
      </c>
      <c r="E6" s="30">
        <f>'CF (Equity, Debt)'!D4</f>
        <v>43470</v>
      </c>
      <c r="F6" s="30" t="str">
        <f>"Q"&amp;ROUNDUP(MONTH(E6)/3,0)&amp;" "&amp;YEAR(E6)</f>
        <v>Q1 2019</v>
      </c>
      <c r="G6" s="36">
        <f>'CF (Equity, Debt)'!E4</f>
        <v>-30</v>
      </c>
      <c r="H6" s="36">
        <f>'CF (Equity, Debt)'!F4</f>
        <v>0</v>
      </c>
      <c r="K6" s="32"/>
      <c r="L6" s="32"/>
      <c r="M6" s="32"/>
      <c r="N6" s="32"/>
      <c r="Q6" s="32"/>
      <c r="R6" s="32"/>
      <c r="S6" s="32"/>
    </row>
    <row r="7" spans="2:20" x14ac:dyDescent="0.2">
      <c r="C7" s="226" t="str">
        <f>'CF (Equity, Debt)'!C5</f>
        <v>Jollychic Holding Limited</v>
      </c>
      <c r="D7" s="33" t="s">
        <v>152</v>
      </c>
      <c r="E7" s="30">
        <f>'CF (Equity, Debt)'!D5</f>
        <v>43724</v>
      </c>
      <c r="F7" s="30" t="str">
        <f t="shared" ref="F7:F34" si="0">"Q"&amp;ROUNDUP(MONTH(E7)/3,0)&amp;" "&amp;YEAR(E7)</f>
        <v>Q3 2019</v>
      </c>
      <c r="G7" s="36">
        <f>'CF (Equity, Debt)'!E5</f>
        <v>-20</v>
      </c>
      <c r="H7" s="36">
        <f>'CF (Equity, Debt)'!F5</f>
        <v>0</v>
      </c>
      <c r="J7" s="29" t="s">
        <v>171</v>
      </c>
      <c r="K7" s="137">
        <f t="shared" ref="K7:K21" si="1">-SUMIFS($G$5:$G$125,$D$5:$D$125,$K$5,$F$5:$F$125,J7)</f>
        <v>30</v>
      </c>
      <c r="L7" s="137">
        <f t="shared" ref="L7:L21" si="2">-SUMIFS($G$5:$G$125,$D$5:$D$125,$L$5,$F$5:$F$125,J7)</f>
        <v>0</v>
      </c>
      <c r="M7" s="137">
        <f t="shared" ref="M7:M21" si="3">-SUMIFS($G$5:$G$125,$D$5:$D$125,"Fund",$F$5:$F$125,J7)</f>
        <v>0</v>
      </c>
      <c r="N7" s="137">
        <f t="shared" ref="N7:N26" ca="1" si="4">-SUMIF($F$5:$H$125,$J7,$G$5:$G$125)</f>
        <v>30</v>
      </c>
      <c r="P7" s="29" t="s">
        <v>171</v>
      </c>
      <c r="Q7" s="137">
        <f t="shared" ref="Q7:Q21" si="5">SUMIFS($H$5:$H$125,$D$5:$D$125,$Q$5,$F$5:$F$125,J7)</f>
        <v>0</v>
      </c>
      <c r="R7" s="137">
        <f t="shared" ref="R7:R21" si="6">SUMIFS($H$5:$H$125,$D$5:$D$125,$R$5,$F$5:$F$125,J7)</f>
        <v>0</v>
      </c>
      <c r="S7" s="137">
        <f t="shared" ref="S7:S21" si="7">SUMIFS($H$5:$H$125,$D$5:$D$125,$S$5,$F$5:$F$125,J7)</f>
        <v>0</v>
      </c>
      <c r="T7" s="137">
        <f t="shared" ref="T7:T26" ca="1" si="8">SUMIF($F$5:$H$125,$J7,$H$5:$H$125)</f>
        <v>0</v>
      </c>
    </row>
    <row r="8" spans="2:20" x14ac:dyDescent="0.2">
      <c r="C8" s="226" t="str">
        <f>'CF (Equity, Debt)'!C6</f>
        <v>Jollychic Holding Limited</v>
      </c>
      <c r="D8" s="33" t="s">
        <v>152</v>
      </c>
      <c r="E8" s="30">
        <f>'CF (Equity, Debt)'!D6</f>
        <v>43724</v>
      </c>
      <c r="F8" s="30" t="str">
        <f t="shared" si="0"/>
        <v>Q3 2019</v>
      </c>
      <c r="G8" s="36">
        <f>'CF (Equity, Debt)'!E6</f>
        <v>-15</v>
      </c>
      <c r="H8" s="36">
        <f>'CF (Equity, Debt)'!F6</f>
        <v>0</v>
      </c>
      <c r="J8" s="29" t="s">
        <v>173</v>
      </c>
      <c r="K8" s="137">
        <f t="shared" si="1"/>
        <v>12.99999809</v>
      </c>
      <c r="L8" s="137">
        <f t="shared" si="2"/>
        <v>8</v>
      </c>
      <c r="M8" s="137">
        <f t="shared" si="3"/>
        <v>0</v>
      </c>
      <c r="N8" s="137">
        <f t="shared" ca="1" si="4"/>
        <v>20.999998089999998</v>
      </c>
      <c r="P8" s="29" t="s">
        <v>173</v>
      </c>
      <c r="Q8" s="137">
        <f t="shared" si="5"/>
        <v>0</v>
      </c>
      <c r="R8" s="137">
        <f t="shared" si="6"/>
        <v>0</v>
      </c>
      <c r="S8" s="137">
        <f t="shared" si="7"/>
        <v>0</v>
      </c>
      <c r="T8" s="137">
        <f t="shared" ca="1" si="8"/>
        <v>0</v>
      </c>
    </row>
    <row r="9" spans="2:20" x14ac:dyDescent="0.2">
      <c r="C9" s="227" t="str">
        <f>'CF (Equity, Debt)'!C7</f>
        <v>Mena Mobile Inc</v>
      </c>
      <c r="D9" s="34" t="s">
        <v>152</v>
      </c>
      <c r="E9" s="31">
        <f>'CF (Equity, Debt)'!D7</f>
        <v>43563</v>
      </c>
      <c r="F9" s="31" t="str">
        <f t="shared" si="0"/>
        <v>Q2 2019</v>
      </c>
      <c r="G9" s="37">
        <f>'CF (Equity, Debt)'!E7</f>
        <v>-8</v>
      </c>
      <c r="H9" s="37">
        <f>'CF (Equity, Debt)'!F7</f>
        <v>0</v>
      </c>
      <c r="J9" s="29" t="s">
        <v>174</v>
      </c>
      <c r="K9" s="137">
        <f t="shared" si="1"/>
        <v>35</v>
      </c>
      <c r="L9" s="137">
        <f t="shared" si="2"/>
        <v>0</v>
      </c>
      <c r="M9" s="137">
        <f t="shared" si="3"/>
        <v>3</v>
      </c>
      <c r="N9" s="137">
        <f t="shared" ca="1" si="4"/>
        <v>38</v>
      </c>
      <c r="P9" s="29" t="s">
        <v>174</v>
      </c>
      <c r="Q9" s="137">
        <f t="shared" si="5"/>
        <v>0</v>
      </c>
      <c r="R9" s="137">
        <f t="shared" si="6"/>
        <v>0</v>
      </c>
      <c r="S9" s="137">
        <f t="shared" si="7"/>
        <v>0</v>
      </c>
      <c r="T9" s="137">
        <f t="shared" ca="1" si="8"/>
        <v>0</v>
      </c>
    </row>
    <row r="10" spans="2:20" x14ac:dyDescent="0.2">
      <c r="C10" s="226" t="str">
        <f>'CF (Equity, Debt)'!C8</f>
        <v>Flyr Inc</v>
      </c>
      <c r="D10" s="33" t="s">
        <v>152</v>
      </c>
      <c r="E10" s="30">
        <f>'CF (Equity, Debt)'!D8</f>
        <v>43570</v>
      </c>
      <c r="F10" s="30" t="str">
        <f t="shared" si="0"/>
        <v>Q2 2019</v>
      </c>
      <c r="G10" s="36">
        <f>'CF (Equity, Debt)'!E8</f>
        <v>-4.9999980900000001</v>
      </c>
      <c r="H10" s="36">
        <f>'CF (Equity, Debt)'!F8</f>
        <v>0</v>
      </c>
      <c r="J10" s="29" t="s">
        <v>175</v>
      </c>
      <c r="K10" s="137">
        <f t="shared" si="1"/>
        <v>0</v>
      </c>
      <c r="L10" s="137">
        <f t="shared" si="2"/>
        <v>0</v>
      </c>
      <c r="M10" s="137">
        <f t="shared" si="3"/>
        <v>0</v>
      </c>
      <c r="N10" s="137">
        <f t="shared" ca="1" si="4"/>
        <v>0</v>
      </c>
      <c r="P10" s="29" t="s">
        <v>175</v>
      </c>
      <c r="Q10" s="137">
        <f t="shared" si="5"/>
        <v>0</v>
      </c>
      <c r="R10" s="137">
        <f t="shared" si="6"/>
        <v>0</v>
      </c>
      <c r="S10" s="137">
        <f t="shared" si="7"/>
        <v>0</v>
      </c>
      <c r="T10" s="137">
        <f t="shared" ca="1" si="8"/>
        <v>0</v>
      </c>
    </row>
    <row r="11" spans="2:20" x14ac:dyDescent="0.2">
      <c r="C11" s="226" t="str">
        <f>'CF (Equity, Debt)'!C9</f>
        <v>Flyr Inc</v>
      </c>
      <c r="D11" s="33" t="s">
        <v>152</v>
      </c>
      <c r="E11" s="30">
        <f>'CF (Equity, Debt)'!D9</f>
        <v>43915</v>
      </c>
      <c r="F11" s="30" t="str">
        <f t="shared" si="0"/>
        <v>Q1 2020</v>
      </c>
      <c r="G11" s="36">
        <f>'CF (Equity, Debt)'!E9</f>
        <v>-5.0000019099999999</v>
      </c>
      <c r="H11" s="36">
        <f>'CF (Equity, Debt)'!F9</f>
        <v>0</v>
      </c>
      <c r="J11" s="29" t="s">
        <v>176</v>
      </c>
      <c r="K11" s="137">
        <f t="shared" si="1"/>
        <v>75.609443209619357</v>
      </c>
      <c r="L11" s="137">
        <f t="shared" si="2"/>
        <v>0</v>
      </c>
      <c r="M11" s="137">
        <f t="shared" si="3"/>
        <v>9.5097500000000004</v>
      </c>
      <c r="N11" s="137">
        <f t="shared" ca="1" si="4"/>
        <v>85.119193209619354</v>
      </c>
      <c r="P11" s="29" t="s">
        <v>176</v>
      </c>
      <c r="Q11" s="137">
        <f t="shared" si="5"/>
        <v>0</v>
      </c>
      <c r="R11" s="137">
        <f t="shared" si="6"/>
        <v>0</v>
      </c>
      <c r="S11" s="137">
        <f t="shared" si="7"/>
        <v>0</v>
      </c>
      <c r="T11" s="137">
        <f t="shared" ca="1" si="8"/>
        <v>0</v>
      </c>
    </row>
    <row r="12" spans="2:20" x14ac:dyDescent="0.2">
      <c r="C12" s="227" t="str">
        <f>'CF (Equity, Debt)'!C10</f>
        <v xml:space="preserve">Esyasoft Holding </v>
      </c>
      <c r="D12" s="34" t="s">
        <v>152</v>
      </c>
      <c r="E12" s="31">
        <f>'CF (Equity, Debt)'!D10</f>
        <v>43870</v>
      </c>
      <c r="F12" s="31" t="str">
        <f t="shared" si="0"/>
        <v>Q1 2020</v>
      </c>
      <c r="G12" s="37">
        <f>'CF (Equity, Debt)'!E10</f>
        <v>-2.5</v>
      </c>
      <c r="H12" s="37">
        <f>'CF (Equity, Debt)'!F10</f>
        <v>0</v>
      </c>
      <c r="J12" s="29" t="s">
        <v>177</v>
      </c>
      <c r="K12" s="137">
        <f t="shared" si="1"/>
        <v>142.12003795060357</v>
      </c>
      <c r="L12" s="137">
        <f t="shared" si="2"/>
        <v>0</v>
      </c>
      <c r="M12" s="137">
        <f t="shared" si="3"/>
        <v>45.784999999999997</v>
      </c>
      <c r="N12" s="137">
        <f t="shared" ca="1" si="4"/>
        <v>187.90503795060357</v>
      </c>
      <c r="P12" s="29" t="s">
        <v>177</v>
      </c>
      <c r="Q12" s="137">
        <f t="shared" si="5"/>
        <v>0</v>
      </c>
      <c r="R12" s="137">
        <f t="shared" si="6"/>
        <v>0</v>
      </c>
      <c r="S12" s="137">
        <f t="shared" si="7"/>
        <v>0</v>
      </c>
      <c r="T12" s="137">
        <f t="shared" ca="1" si="8"/>
        <v>0</v>
      </c>
    </row>
    <row r="13" spans="2:20" x14ac:dyDescent="0.2">
      <c r="C13" s="226" t="str">
        <f>'CF (Equity, Debt)'!C11</f>
        <v>Beyond Limits</v>
      </c>
      <c r="D13" s="33" t="s">
        <v>152</v>
      </c>
      <c r="E13" s="30">
        <f>'CF (Equity, Debt)'!D11</f>
        <v>43879</v>
      </c>
      <c r="F13" s="30" t="str">
        <f t="shared" si="0"/>
        <v>Q1 2020</v>
      </c>
      <c r="G13" s="36">
        <f>'CF (Equity, Debt)'!E11</f>
        <v>-20</v>
      </c>
      <c r="H13" s="36">
        <f>'CF (Equity, Debt)'!F11</f>
        <v>0</v>
      </c>
      <c r="J13" s="29" t="s">
        <v>178</v>
      </c>
      <c r="K13" s="137">
        <f t="shared" si="1"/>
        <v>10</v>
      </c>
      <c r="L13" s="137">
        <f t="shared" si="2"/>
        <v>0</v>
      </c>
      <c r="M13" s="137">
        <f t="shared" si="3"/>
        <v>23.623435349941179</v>
      </c>
      <c r="N13" s="137">
        <f t="shared" ca="1" si="4"/>
        <v>33.623435349941175</v>
      </c>
      <c r="P13" s="29" t="s">
        <v>178</v>
      </c>
      <c r="Q13" s="137">
        <f t="shared" si="5"/>
        <v>0</v>
      </c>
      <c r="R13" s="137">
        <f t="shared" si="6"/>
        <v>0</v>
      </c>
      <c r="S13" s="137">
        <f t="shared" si="7"/>
        <v>0</v>
      </c>
      <c r="T13" s="137">
        <f t="shared" ca="1" si="8"/>
        <v>0</v>
      </c>
    </row>
    <row r="14" spans="2:20" x14ac:dyDescent="0.2">
      <c r="C14" s="226" t="str">
        <f>'CF (Equity, Debt)'!C12</f>
        <v>Beyond Limits</v>
      </c>
      <c r="D14" s="33" t="s">
        <v>152</v>
      </c>
      <c r="E14" s="30">
        <f>'CF (Equity, Debt)'!D12</f>
        <v>43921</v>
      </c>
      <c r="F14" s="30" t="str">
        <f t="shared" si="0"/>
        <v>Q1 2020</v>
      </c>
      <c r="G14" s="36">
        <f>'CF (Equity, Debt)'!E12</f>
        <v>-30</v>
      </c>
      <c r="H14" s="36">
        <f>'CF (Equity, Debt)'!F12</f>
        <v>0</v>
      </c>
      <c r="J14" s="29" t="s">
        <v>179</v>
      </c>
      <c r="K14" s="137">
        <f t="shared" si="1"/>
        <v>60</v>
      </c>
      <c r="L14" s="137">
        <f t="shared" si="2"/>
        <v>0</v>
      </c>
      <c r="M14" s="137">
        <f t="shared" si="3"/>
        <v>9.4822930000000021</v>
      </c>
      <c r="N14" s="137">
        <f t="shared" ca="1" si="4"/>
        <v>69.482292999999999</v>
      </c>
      <c r="P14" s="29" t="s">
        <v>179</v>
      </c>
      <c r="Q14" s="137">
        <f t="shared" si="5"/>
        <v>0</v>
      </c>
      <c r="R14" s="137">
        <f t="shared" si="6"/>
        <v>0</v>
      </c>
      <c r="S14" s="137">
        <f t="shared" si="7"/>
        <v>0.58290199999999992</v>
      </c>
      <c r="T14" s="137">
        <f t="shared" ca="1" si="8"/>
        <v>0.58290199999999992</v>
      </c>
    </row>
    <row r="15" spans="2:20" x14ac:dyDescent="0.2">
      <c r="C15" s="226" t="str">
        <f>'CF (Equity, Debt)'!C13</f>
        <v>Beyond Limits</v>
      </c>
      <c r="D15" s="33" t="s">
        <v>152</v>
      </c>
      <c r="E15" s="30">
        <f>'CF (Equity, Debt)'!D13</f>
        <v>43989</v>
      </c>
      <c r="F15" s="30" t="str">
        <f t="shared" si="0"/>
        <v>Q2 2020</v>
      </c>
      <c r="G15" s="36">
        <f>'CF (Equity, Debt)'!E13</f>
        <v>-30</v>
      </c>
      <c r="H15" s="36">
        <f>'CF (Equity, Debt)'!F13</f>
        <v>0</v>
      </c>
      <c r="J15" s="29" t="s">
        <v>180</v>
      </c>
      <c r="K15" s="137">
        <f t="shared" si="1"/>
        <v>0</v>
      </c>
      <c r="L15" s="137">
        <f t="shared" si="2"/>
        <v>0</v>
      </c>
      <c r="M15" s="137">
        <f t="shared" si="3"/>
        <v>1.0845116099999996</v>
      </c>
      <c r="N15" s="137">
        <f t="shared" ca="1" si="4"/>
        <v>1.0845116099999996</v>
      </c>
      <c r="P15" s="29" t="s">
        <v>180</v>
      </c>
      <c r="Q15" s="137">
        <f t="shared" si="5"/>
        <v>0</v>
      </c>
      <c r="R15" s="137">
        <f t="shared" si="6"/>
        <v>0</v>
      </c>
      <c r="S15" s="137">
        <f t="shared" si="7"/>
        <v>7.6348349999999995E-2</v>
      </c>
      <c r="T15" s="137">
        <f t="shared" ca="1" si="8"/>
        <v>7.6348349999999995E-2</v>
      </c>
    </row>
    <row r="16" spans="2:20" x14ac:dyDescent="0.2">
      <c r="C16" s="226" t="str">
        <f>'CF (Equity, Debt)'!C14</f>
        <v>Beyond Limits</v>
      </c>
      <c r="D16" s="33" t="s">
        <v>152</v>
      </c>
      <c r="E16" s="30">
        <f>'CF (Equity, Debt)'!D14</f>
        <v>44103</v>
      </c>
      <c r="F16" s="30" t="str">
        <f t="shared" si="0"/>
        <v>Q3 2020</v>
      </c>
      <c r="G16" s="36">
        <f>'CF (Equity, Debt)'!E14</f>
        <v>-10</v>
      </c>
      <c r="H16" s="36">
        <f>'CF (Equity, Debt)'!F14</f>
        <v>0</v>
      </c>
      <c r="J16" s="29" t="s">
        <v>181</v>
      </c>
      <c r="K16" s="137">
        <f t="shared" si="1"/>
        <v>31.240780424143558</v>
      </c>
      <c r="L16" s="137">
        <f t="shared" si="2"/>
        <v>2.3539819999999998</v>
      </c>
      <c r="M16" s="137">
        <f t="shared" si="3"/>
        <v>6.1810318199999994</v>
      </c>
      <c r="N16" s="137">
        <f t="shared" ca="1" si="4"/>
        <v>39.775794244143562</v>
      </c>
      <c r="P16" s="29" t="s">
        <v>181</v>
      </c>
      <c r="Q16" s="137">
        <f t="shared" si="5"/>
        <v>0</v>
      </c>
      <c r="R16" s="137">
        <f t="shared" si="6"/>
        <v>0</v>
      </c>
      <c r="S16" s="137">
        <f t="shared" si="7"/>
        <v>0</v>
      </c>
      <c r="T16" s="137">
        <f t="shared" ca="1" si="8"/>
        <v>0</v>
      </c>
    </row>
    <row r="17" spans="3:20" x14ac:dyDescent="0.2">
      <c r="C17" s="227" t="str">
        <f>'CF (Equity, Debt)'!C15</f>
        <v>ONT plc</v>
      </c>
      <c r="D17" s="34" t="s">
        <v>152</v>
      </c>
      <c r="E17" s="31">
        <f>'CF (Equity, Debt)'!D15</f>
        <v>43968</v>
      </c>
      <c r="F17" s="31" t="str">
        <f t="shared" si="0"/>
        <v>Q2 2020</v>
      </c>
      <c r="G17" s="37">
        <f>'CF (Equity, Debt)'!E15</f>
        <v>-50</v>
      </c>
      <c r="H17" s="37">
        <f>'CF (Equity, Debt)'!F15</f>
        <v>0</v>
      </c>
      <c r="J17" s="29" t="s">
        <v>182</v>
      </c>
      <c r="K17" s="137">
        <f t="shared" si="1"/>
        <v>0</v>
      </c>
      <c r="L17" s="137">
        <f t="shared" si="2"/>
        <v>0.41176499999999999</v>
      </c>
      <c r="M17" s="137">
        <f t="shared" si="3"/>
        <v>0.98965473139999993</v>
      </c>
      <c r="N17" s="137">
        <f t="shared" ca="1" si="4"/>
        <v>1.4014197313999999</v>
      </c>
      <c r="P17" s="29" t="s">
        <v>182</v>
      </c>
      <c r="Q17" s="137">
        <f t="shared" si="5"/>
        <v>0</v>
      </c>
      <c r="R17" s="137">
        <f t="shared" si="6"/>
        <v>0</v>
      </c>
      <c r="S17" s="137">
        <f t="shared" si="7"/>
        <v>0.44505899999999998</v>
      </c>
      <c r="T17" s="137">
        <f t="shared" ca="1" si="8"/>
        <v>0.44505899999999998</v>
      </c>
    </row>
    <row r="18" spans="3:20" x14ac:dyDescent="0.2">
      <c r="C18" s="227" t="str">
        <f>'CF (Equity, Debt)'!C16</f>
        <v>ONT plc</v>
      </c>
      <c r="D18" s="34" t="s">
        <v>152</v>
      </c>
      <c r="E18" s="31">
        <f>'CF (Equity, Debt)'!D16</f>
        <v>44006</v>
      </c>
      <c r="F18" s="31" t="str">
        <f t="shared" si="0"/>
        <v>Q2 2020</v>
      </c>
      <c r="G18" s="37">
        <f>'CF (Equity, Debt)'!E16</f>
        <v>-27.268350856443721</v>
      </c>
      <c r="H18" s="37">
        <f>'CF (Equity, Debt)'!F16</f>
        <v>0</v>
      </c>
      <c r="J18" s="29" t="s">
        <v>183</v>
      </c>
      <c r="K18" s="137">
        <f t="shared" si="1"/>
        <v>48.023703558477429</v>
      </c>
      <c r="L18" s="137">
        <f t="shared" si="2"/>
        <v>0</v>
      </c>
      <c r="M18" s="137">
        <f t="shared" si="3"/>
        <v>11.90173089</v>
      </c>
      <c r="N18" s="137">
        <f t="shared" ca="1" si="4"/>
        <v>59.925434448477432</v>
      </c>
      <c r="P18" s="29" t="s">
        <v>183</v>
      </c>
      <c r="Q18" s="137">
        <f t="shared" si="5"/>
        <v>0</v>
      </c>
      <c r="R18" s="137">
        <f t="shared" si="6"/>
        <v>0</v>
      </c>
      <c r="S18" s="137">
        <f t="shared" si="7"/>
        <v>0.13969399999999998</v>
      </c>
      <c r="T18" s="137">
        <f t="shared" ca="1" si="8"/>
        <v>0.13969399999999998</v>
      </c>
    </row>
    <row r="19" spans="3:20" x14ac:dyDescent="0.2">
      <c r="C19" s="227" t="str">
        <f>'CF (Equity, Debt)'!C17</f>
        <v>ONT plc</v>
      </c>
      <c r="D19" s="34" t="s">
        <v>152</v>
      </c>
      <c r="E19" s="31">
        <f>'CF (Equity, Debt)'!D17</f>
        <v>43837</v>
      </c>
      <c r="F19" s="31" t="str">
        <f t="shared" si="0"/>
        <v>Q1 2020</v>
      </c>
      <c r="G19" s="37">
        <f>'CF (Equity, Debt)'!E17</f>
        <v>-18.109441299619355</v>
      </c>
      <c r="H19" s="37">
        <f>'CF (Equity, Debt)'!F17</f>
        <v>0</v>
      </c>
      <c r="J19" s="29" t="s">
        <v>184</v>
      </c>
      <c r="K19" s="137">
        <f t="shared" si="1"/>
        <v>693.50095620000002</v>
      </c>
      <c r="L19" s="137">
        <f t="shared" si="2"/>
        <v>0</v>
      </c>
      <c r="M19" s="137">
        <f t="shared" si="3"/>
        <v>3.6664358494</v>
      </c>
      <c r="N19" s="137">
        <f t="shared" ca="1" si="4"/>
        <v>697.16739204940006</v>
      </c>
      <c r="P19" s="29" t="s">
        <v>184</v>
      </c>
      <c r="Q19" s="137">
        <f t="shared" si="5"/>
        <v>0</v>
      </c>
      <c r="R19" s="137">
        <f t="shared" si="6"/>
        <v>0</v>
      </c>
      <c r="S19" s="137">
        <f t="shared" si="7"/>
        <v>0</v>
      </c>
      <c r="T19" s="137">
        <f t="shared" ca="1" si="8"/>
        <v>0</v>
      </c>
    </row>
    <row r="20" spans="3:20" x14ac:dyDescent="0.2">
      <c r="C20" s="227" t="str">
        <f>'CF (Equity, Debt)'!C18</f>
        <v>ONT plc</v>
      </c>
      <c r="D20" s="34" t="s">
        <v>152</v>
      </c>
      <c r="E20" s="31">
        <f>'CF (Equity, Debt)'!D18</f>
        <v>43990</v>
      </c>
      <c r="F20" s="31" t="str">
        <f t="shared" si="0"/>
        <v>Q2 2020</v>
      </c>
      <c r="G20" s="37">
        <f>'CF (Equity, Debt)'!E18</f>
        <v>-34.851687094159864</v>
      </c>
      <c r="H20" s="37">
        <f>'CF (Equity, Debt)'!F18</f>
        <v>0</v>
      </c>
      <c r="J20" s="29" t="s">
        <v>185</v>
      </c>
      <c r="K20" s="137">
        <f t="shared" si="1"/>
        <v>112.5</v>
      </c>
      <c r="L20" s="137">
        <f t="shared" si="2"/>
        <v>0</v>
      </c>
      <c r="M20" s="137">
        <f t="shared" si="3"/>
        <v>19.740976</v>
      </c>
      <c r="N20" s="137">
        <f t="shared" ca="1" si="4"/>
        <v>132.24097599999999</v>
      </c>
      <c r="P20" s="29" t="s">
        <v>185</v>
      </c>
      <c r="Q20" s="137">
        <f t="shared" si="5"/>
        <v>5</v>
      </c>
      <c r="R20" s="137">
        <f t="shared" si="6"/>
        <v>0</v>
      </c>
      <c r="S20" s="137">
        <f t="shared" si="7"/>
        <v>0.22778599999999999</v>
      </c>
      <c r="T20" s="137">
        <f t="shared" ca="1" si="8"/>
        <v>5.227786</v>
      </c>
    </row>
    <row r="21" spans="3:20" x14ac:dyDescent="0.2">
      <c r="C21" s="227" t="str">
        <f>'CF (Equity, Debt)'!C19</f>
        <v>ONT plc</v>
      </c>
      <c r="D21" s="34" t="s">
        <v>152</v>
      </c>
      <c r="E21" s="31">
        <f>'CF (Equity, Debt)'!D19</f>
        <v>44315</v>
      </c>
      <c r="F21" s="31" t="str">
        <f t="shared" si="0"/>
        <v>Q2 2021</v>
      </c>
      <c r="G21" s="37">
        <f>'CF (Equity, Debt)'!E19</f>
        <v>-11.240780424143557</v>
      </c>
      <c r="H21" s="37">
        <f>'CF (Equity, Debt)'!F19</f>
        <v>0</v>
      </c>
      <c r="J21" s="29" t="s">
        <v>186</v>
      </c>
      <c r="K21" s="137">
        <f t="shared" si="1"/>
        <v>600</v>
      </c>
      <c r="L21" s="137">
        <f t="shared" si="2"/>
        <v>0</v>
      </c>
      <c r="M21" s="137">
        <f t="shared" si="3"/>
        <v>3.2202683433999999</v>
      </c>
      <c r="N21" s="137">
        <f t="shared" ca="1" si="4"/>
        <v>603.22026834339999</v>
      </c>
      <c r="P21" s="29" t="s">
        <v>186</v>
      </c>
      <c r="Q21" s="137">
        <f t="shared" si="5"/>
        <v>0</v>
      </c>
      <c r="R21" s="137">
        <f t="shared" si="6"/>
        <v>0</v>
      </c>
      <c r="S21" s="137">
        <f t="shared" si="7"/>
        <v>0</v>
      </c>
      <c r="T21" s="137">
        <f t="shared" ca="1" si="8"/>
        <v>0</v>
      </c>
    </row>
    <row r="22" spans="3:20" x14ac:dyDescent="0.2">
      <c r="C22" s="226" t="str">
        <f>'CF (Equity, Debt)'!C20</f>
        <v>Heygears</v>
      </c>
      <c r="D22" s="33" t="s">
        <v>152</v>
      </c>
      <c r="E22" s="30">
        <f>'CF (Equity, Debt)'!D20</f>
        <v>44166</v>
      </c>
      <c r="F22" s="30" t="str">
        <f t="shared" si="0"/>
        <v>Q4 2020</v>
      </c>
      <c r="G22" s="36">
        <f>'CF (Equity, Debt)'!E20</f>
        <v>-60</v>
      </c>
      <c r="H22" s="36">
        <f>'CF (Equity, Debt)'!F20</f>
        <v>0</v>
      </c>
      <c r="J22" s="29" t="s">
        <v>249</v>
      </c>
      <c r="K22" s="137">
        <f t="shared" ref="K22" si="9">-SUMIFS($G$5:$G$125,$D$5:$D$125,$K$5,$F$5:$F$125,J22)</f>
        <v>219.75</v>
      </c>
      <c r="L22" s="137">
        <f t="shared" ref="L22" si="10">-SUMIFS($G$5:$G$125,$D$5:$D$125,$L$5,$F$5:$F$125,J22)</f>
        <v>0</v>
      </c>
      <c r="M22" s="137">
        <f t="shared" ref="M22" si="11">-SUMIFS($G$5:$G$125,$D$5:$D$125,"Fund",$F$5:$F$125,J22)</f>
        <v>3.3882749999999997</v>
      </c>
      <c r="N22" s="137">
        <f t="shared" ca="1" si="4"/>
        <v>223.13827499999999</v>
      </c>
      <c r="P22" s="29" t="s">
        <v>249</v>
      </c>
      <c r="Q22" s="137">
        <f t="shared" ref="Q22" si="12">SUMIFS($H$5:$H$125,$D$5:$D$125,$Q$5,$F$5:$F$125,J22)</f>
        <v>0</v>
      </c>
      <c r="R22" s="137">
        <f t="shared" ref="R22" si="13">SUMIFS($H$5:$H$125,$D$5:$D$125,$R$5,$F$5:$F$125,J22)</f>
        <v>0.47078465000000003</v>
      </c>
      <c r="S22" s="137">
        <f t="shared" ref="S22" si="14">SUMIFS($H$5:$H$125,$D$5:$D$125,$S$5,$F$5:$F$125,J22)</f>
        <v>0</v>
      </c>
      <c r="T22" s="137">
        <f t="shared" ca="1" si="8"/>
        <v>0.47078465000000003</v>
      </c>
    </row>
    <row r="23" spans="3:20" x14ac:dyDescent="0.2">
      <c r="C23" s="227" t="str">
        <f>'CF (Equity, Debt)'!C21</f>
        <v>Jysan Technologies</v>
      </c>
      <c r="D23" s="34" t="s">
        <v>152</v>
      </c>
      <c r="E23" s="31">
        <f>'CF (Equity, Debt)'!D21</f>
        <v>44363</v>
      </c>
      <c r="F23" s="31" t="str">
        <f t="shared" si="0"/>
        <v>Q2 2021</v>
      </c>
      <c r="G23" s="37">
        <f>'CF (Equity, Debt)'!E21</f>
        <v>-20</v>
      </c>
      <c r="H23" s="37">
        <f>'CF (Equity, Debt)'!F21</f>
        <v>0</v>
      </c>
      <c r="J23" s="29" t="s">
        <v>323</v>
      </c>
      <c r="K23" s="137">
        <f t="shared" ref="K23" si="15">-SUMIFS($G$5:$G$125,$D$5:$D$125,$K$5,$F$5:$F$125,J23)</f>
        <v>12.03125</v>
      </c>
      <c r="L23" s="137">
        <f t="shared" ref="L23" si="16">-SUMIFS($G$5:$G$125,$D$5:$D$125,$L$5,$F$5:$F$125,J23)</f>
        <v>0</v>
      </c>
      <c r="M23" s="137">
        <f t="shared" ref="M23" si="17">-SUMIFS($G$5:$G$125,$D$5:$D$125,"Fund",$F$5:$F$125,J23)</f>
        <v>-7.9223880896699992</v>
      </c>
      <c r="N23" s="137">
        <f t="shared" ca="1" si="4"/>
        <v>4.1088619103300008</v>
      </c>
      <c r="P23" s="29" t="s">
        <v>323</v>
      </c>
      <c r="Q23" s="137">
        <f t="shared" ref="Q23" si="18">SUMIFS($H$5:$H$125,$D$5:$D$125,$Q$5,$F$5:$F$125,J23)</f>
        <v>0</v>
      </c>
      <c r="R23" s="137">
        <f t="shared" ref="R23" si="19">SUMIFS($H$5:$H$125,$D$5:$D$125,$R$5,$F$5:$F$125,J23)</f>
        <v>0</v>
      </c>
      <c r="S23" s="137">
        <f t="shared" ref="S23" si="20">SUMIFS($H$5:$H$125,$D$5:$D$125,$S$5,$F$5:$F$125,J23)</f>
        <v>2.9557743514081998</v>
      </c>
      <c r="T23" s="137">
        <f t="shared" ca="1" si="8"/>
        <v>2.9557743514081998</v>
      </c>
    </row>
    <row r="24" spans="3:20" x14ac:dyDescent="0.2">
      <c r="C24" s="226" t="str">
        <f>'CF (Equity, Debt)'!C22</f>
        <v>Cerebras Systems Inc</v>
      </c>
      <c r="D24" s="33" t="s">
        <v>152</v>
      </c>
      <c r="E24" s="30">
        <f>'CF (Equity, Debt)'!D22</f>
        <v>44488</v>
      </c>
      <c r="F24" s="30" t="str">
        <f t="shared" si="0"/>
        <v>Q4 2021</v>
      </c>
      <c r="G24" s="36">
        <f>'CF (Equity, Debt)'!E22</f>
        <v>-39.999983359999995</v>
      </c>
      <c r="H24" s="36">
        <f>'CF (Equity, Debt)'!F22</f>
        <v>0</v>
      </c>
      <c r="J24" s="29" t="s">
        <v>361</v>
      </c>
      <c r="K24" s="137">
        <f t="shared" ref="K24" si="21">-SUMIFS($G$5:$G$125,$D$5:$D$125,$K$5,$F$5:$F$125,J24)</f>
        <v>15.005873939999999</v>
      </c>
      <c r="L24" s="137">
        <f t="shared" ref="L24" si="22">-SUMIFS($G$5:$G$125,$D$5:$D$125,$L$5,$F$5:$F$125,J24)</f>
        <v>0</v>
      </c>
      <c r="M24" s="137">
        <f t="shared" ref="M24" si="23">-SUMIFS($G$5:$G$125,$D$5:$D$125,"Fund",$F$5:$F$125,J24)</f>
        <v>-1.9125570000000001</v>
      </c>
      <c r="N24" s="137">
        <f t="shared" ca="1" si="4"/>
        <v>13.093316939999999</v>
      </c>
      <c r="P24" s="29" t="s">
        <v>361</v>
      </c>
      <c r="Q24" s="137">
        <f t="shared" ref="Q24" si="24">SUMIFS($H$5:$H$125,$D$5:$D$125,$Q$5,$F$5:$F$125,J24)</f>
        <v>0</v>
      </c>
      <c r="R24" s="137">
        <f t="shared" ref="R24" si="25">SUMIFS($H$5:$H$125,$D$5:$D$125,$R$5,$F$5:$F$125,J24)</f>
        <v>0</v>
      </c>
      <c r="S24" s="137">
        <f t="shared" ref="S24" si="26">SUMIFS($H$5:$H$125,$D$5:$D$125,$S$5,$F$5:$F$125,J24)</f>
        <v>0</v>
      </c>
      <c r="T24" s="137">
        <f t="shared" ca="1" si="8"/>
        <v>0</v>
      </c>
    </row>
    <row r="25" spans="3:20" x14ac:dyDescent="0.2">
      <c r="C25" s="227" t="str">
        <f>'CF (Equity, Debt)'!C23</f>
        <v>Endless Studios LLC</v>
      </c>
      <c r="D25" s="34" t="s">
        <v>152</v>
      </c>
      <c r="E25" s="31">
        <f>'CF (Equity, Debt)'!D23</f>
        <v>44494</v>
      </c>
      <c r="F25" s="31" t="str">
        <f t="shared" si="0"/>
        <v>Q4 2021</v>
      </c>
      <c r="G25" s="37">
        <f>'CF (Equity, Debt)'!E23</f>
        <v>-3</v>
      </c>
      <c r="H25" s="37">
        <f>'CF (Equity, Debt)'!F23</f>
        <v>0</v>
      </c>
      <c r="J25" s="29" t="s">
        <v>423</v>
      </c>
      <c r="K25" s="137">
        <f t="shared" ref="K25" si="27">-SUMIFS($G$5:$G$125,$D$5:$D$125,$K$5,$F$5:$F$125,J25)</f>
        <v>13.750999999999999</v>
      </c>
      <c r="L25" s="137">
        <f t="shared" ref="L25" si="28">-SUMIFS($G$5:$G$125,$D$5:$D$125,$L$5,$F$5:$F$125,J25)</f>
        <v>0</v>
      </c>
      <c r="M25" s="137">
        <f t="shared" ref="M25" si="29">-SUMIFS($G$5:$G$125,$D$5:$D$125,"Fund",$F$5:$F$125,J25)</f>
        <v>1.7991220000000001</v>
      </c>
      <c r="N25" s="137">
        <f t="shared" ca="1" si="4"/>
        <v>15.550122</v>
      </c>
      <c r="P25" s="29" t="s">
        <v>361</v>
      </c>
      <c r="Q25" s="137">
        <f t="shared" ref="Q25" si="30">SUMIFS($H$5:$H$125,$D$5:$D$125,$Q$5,$F$5:$F$125,J25)</f>
        <v>32.320776099999996</v>
      </c>
      <c r="R25" s="137">
        <f t="shared" ref="R25" si="31">SUMIFS($H$5:$H$125,$D$5:$D$125,$R$5,$F$5:$F$125,J25)</f>
        <v>0</v>
      </c>
      <c r="S25" s="137">
        <f t="shared" ref="S25" si="32">SUMIFS($H$5:$H$125,$D$5:$D$125,$S$5,$F$5:$F$125,J25)</f>
        <v>0</v>
      </c>
      <c r="T25" s="137">
        <f t="shared" ca="1" si="8"/>
        <v>32.320776099999996</v>
      </c>
    </row>
    <row r="26" spans="3:20" x14ac:dyDescent="0.2">
      <c r="C26" s="226" t="str">
        <f>'CF (Equity, Debt)'!C24</f>
        <v>Instadeep Limited</v>
      </c>
      <c r="D26" s="33" t="s">
        <v>152</v>
      </c>
      <c r="E26" s="30">
        <f>'CF (Equity, Debt)'!D24</f>
        <v>44550</v>
      </c>
      <c r="F26" s="30" t="str">
        <f t="shared" si="0"/>
        <v>Q4 2021</v>
      </c>
      <c r="G26" s="36">
        <f>'CF (Equity, Debt)'!E24</f>
        <v>-5.0237201984774336</v>
      </c>
      <c r="H26" s="36">
        <f>'CF (Equity, Debt)'!F24</f>
        <v>0</v>
      </c>
      <c r="J26" s="29" t="s">
        <v>450</v>
      </c>
      <c r="K26" s="137">
        <f t="shared" ref="K26" si="33">-SUMIFS($G$5:$G$125,$D$5:$D$125,$K$5,$F$5:$F$125,J26)</f>
        <v>0</v>
      </c>
      <c r="L26" s="137">
        <f t="shared" ref="L26" si="34">-SUMIFS($G$5:$G$125,$D$5:$D$125,$L$5,$F$5:$F$125,J26)</f>
        <v>0</v>
      </c>
      <c r="M26" s="137">
        <f t="shared" ref="M26" si="35">-SUMIFS($G$5:$G$125,$D$5:$D$125,"Fund",$F$5:$F$125,J26)</f>
        <v>2.415861</v>
      </c>
      <c r="N26" s="137">
        <f t="shared" ca="1" si="4"/>
        <v>2.415861</v>
      </c>
      <c r="P26" s="29" t="s">
        <v>450</v>
      </c>
      <c r="Q26" s="137">
        <f t="shared" ref="Q26" si="36">SUMIFS($H$5:$H$125,$D$5:$D$125,$Q$5,$F$5:$F$125,J26)</f>
        <v>1205.9214164299999</v>
      </c>
      <c r="R26" s="137">
        <f t="shared" ref="R26" si="37">SUMIFS($H$5:$H$125,$D$5:$D$125,$R$5,$F$5:$F$125,J26)</f>
        <v>0</v>
      </c>
      <c r="S26" s="137">
        <f t="shared" ref="S26" si="38">SUMIFS($H$5:$H$125,$D$5:$D$125,$S$5,$F$5:$F$125,J26)</f>
        <v>0</v>
      </c>
      <c r="T26" s="137">
        <f t="shared" ca="1" si="8"/>
        <v>1205.9214164299999</v>
      </c>
    </row>
    <row r="27" spans="3:20" x14ac:dyDescent="0.2">
      <c r="C27" s="227" t="str">
        <f>'CF (Equity, Debt)'!C25</f>
        <v>X-fusion</v>
      </c>
      <c r="D27" s="34" t="s">
        <v>152</v>
      </c>
      <c r="E27" s="31">
        <f>'CF (Equity, Debt)'!D25</f>
        <v>44574</v>
      </c>
      <c r="F27" s="31" t="str">
        <f t="shared" si="0"/>
        <v>Q1 2022</v>
      </c>
      <c r="G27" s="37">
        <f>'CF (Equity, Debt)'!E25</f>
        <v>-493.50095619999996</v>
      </c>
      <c r="H27" s="37">
        <f>'CF (Equity, Debt)'!F25</f>
        <v>0</v>
      </c>
      <c r="J27" s="144" t="s">
        <v>56</v>
      </c>
      <c r="K27" s="145">
        <f>SUM(K7:K26)</f>
        <v>2111.5330433728441</v>
      </c>
      <c r="L27" s="145">
        <f t="shared" ref="L27:N27" si="39">SUM(L7:L26)</f>
        <v>10.765747000000001</v>
      </c>
      <c r="M27" s="145">
        <f t="shared" si="39"/>
        <v>135.95340050447118</v>
      </c>
      <c r="N27" s="145">
        <f t="shared" ca="1" si="39"/>
        <v>2258.2521908773151</v>
      </c>
      <c r="P27" s="144" t="s">
        <v>56</v>
      </c>
      <c r="Q27" s="145">
        <f>SUM(Q7:Q26)</f>
        <v>1243.24219253</v>
      </c>
      <c r="R27" s="145">
        <f t="shared" ref="R27:T27" si="40">SUM(R7:R26)</f>
        <v>0.47078465000000003</v>
      </c>
      <c r="S27" s="145">
        <f t="shared" si="40"/>
        <v>4.4275637014082001</v>
      </c>
      <c r="T27" s="145">
        <f t="shared" ca="1" si="40"/>
        <v>1248.140540881408</v>
      </c>
    </row>
    <row r="28" spans="3:20" x14ac:dyDescent="0.2">
      <c r="C28" s="226" t="str">
        <f>'CF (Equity, Debt)'!C26</f>
        <v>DriveNets</v>
      </c>
      <c r="D28" s="33" t="s">
        <v>152</v>
      </c>
      <c r="E28" s="30">
        <f>'CF (Equity, Debt)'!D26</f>
        <v>44643</v>
      </c>
      <c r="F28" s="30" t="str">
        <f t="shared" si="0"/>
        <v>Q1 2022</v>
      </c>
      <c r="G28" s="36">
        <f>'CF (Equity, Debt)'!E26</f>
        <v>-200</v>
      </c>
      <c r="H28" s="36">
        <f>'CF (Equity, Debt)'!F26</f>
        <v>0</v>
      </c>
      <c r="J28" s="32"/>
      <c r="K28" s="32" t="b">
        <f ca="1">K27='S | 01 '!K33</f>
        <v>0</v>
      </c>
      <c r="L28" s="32" t="b">
        <f>L27='S | 01 '!K39</f>
        <v>1</v>
      </c>
      <c r="M28" s="29" t="b">
        <f ca="1">M27='S | 01 '!K47</f>
        <v>0</v>
      </c>
      <c r="N28" s="29" t="b">
        <f ca="1">ROUND(N27,2)=ROUND('S | 01 '!K49,2)</f>
        <v>0</v>
      </c>
      <c r="Q28" s="32" t="b">
        <f ca="1">Q27='S | 01 '!M33</f>
        <v>1</v>
      </c>
      <c r="R28" s="32" t="b">
        <f>R27='S | 01 '!M39</f>
        <v>1</v>
      </c>
      <c r="S28" s="32" t="b">
        <f>S27='S | 01 '!M47</f>
        <v>0</v>
      </c>
      <c r="T28" s="29" t="b">
        <f ca="1">T27='S | 01 '!M49</f>
        <v>0</v>
      </c>
    </row>
    <row r="29" spans="3:20" x14ac:dyDescent="0.2">
      <c r="C29" s="226" t="str">
        <f>'CF (Equity, Debt)'!C27</f>
        <v>DriveNets</v>
      </c>
      <c r="D29" s="33" t="s">
        <v>152</v>
      </c>
      <c r="E29" s="30">
        <f>'CF (Equity, Debt)'!D27</f>
        <v>44680</v>
      </c>
      <c r="F29" s="30" t="str">
        <f t="shared" si="0"/>
        <v>Q2 2022</v>
      </c>
      <c r="G29" s="36">
        <f>'CF (Equity, Debt)'!E27</f>
        <v>-100</v>
      </c>
      <c r="H29" s="36">
        <f>'CF (Equity, Debt)'!F27</f>
        <v>0</v>
      </c>
    </row>
    <row r="30" spans="3:20" x14ac:dyDescent="0.2">
      <c r="C30" s="227" t="str">
        <f>'CF (Equity, Debt)'!C28</f>
        <v xml:space="preserve">Esyasoft Holding </v>
      </c>
      <c r="D30" s="34" t="s">
        <v>152</v>
      </c>
      <c r="E30" s="31">
        <f>'CF (Equity, Debt)'!D28</f>
        <v>44691</v>
      </c>
      <c r="F30" s="31" t="str">
        <f t="shared" si="0"/>
        <v>Q2 2022</v>
      </c>
      <c r="G30" s="37">
        <f>'CF (Equity, Debt)'!E28</f>
        <v>0</v>
      </c>
      <c r="H30" s="37">
        <f>'CF (Equity, Debt)'!F28</f>
        <v>5</v>
      </c>
      <c r="K30" s="315"/>
    </row>
    <row r="31" spans="3:20" x14ac:dyDescent="0.2">
      <c r="C31" s="227" t="str">
        <f>'CF (Equity, Debt)'!C29</f>
        <v>vTv Therapeutics Inc.</v>
      </c>
      <c r="D31" s="34" t="s">
        <v>152</v>
      </c>
      <c r="E31" s="31">
        <f>'CF (Equity, Debt)'!D29</f>
        <v>44712</v>
      </c>
      <c r="F31" s="31" t="str">
        <f t="shared" si="0"/>
        <v>Q2 2022</v>
      </c>
      <c r="G31" s="37">
        <f>'CF (Equity, Debt)'!E29</f>
        <v>-12.5</v>
      </c>
      <c r="H31" s="37">
        <f>'CF (Equity, Debt)'!F29</f>
        <v>0</v>
      </c>
    </row>
    <row r="32" spans="3:20" x14ac:dyDescent="0.2">
      <c r="C32" s="226" t="str">
        <f>'CF (Equity, Debt)'!C30</f>
        <v>Honor Device Co Ltd</v>
      </c>
      <c r="D32" s="33" t="s">
        <v>152</v>
      </c>
      <c r="E32" s="30">
        <f>'CF (Equity, Debt)'!D30</f>
        <v>44769</v>
      </c>
      <c r="F32" s="30" t="str">
        <f t="shared" si="0"/>
        <v>Q3 2022</v>
      </c>
      <c r="G32" s="36">
        <f>'CF (Equity, Debt)'!E30</f>
        <v>-600</v>
      </c>
      <c r="H32" s="36">
        <f>'CF (Equity, Debt)'!F30</f>
        <v>0</v>
      </c>
    </row>
    <row r="33" spans="3:8" x14ac:dyDescent="0.2">
      <c r="C33" s="226" t="str">
        <f>'CF (Equity, Debt)'!C31</f>
        <v>Honor Device Co Ltd</v>
      </c>
      <c r="D33" s="33" t="s">
        <v>152</v>
      </c>
      <c r="E33" s="30">
        <f>'CF (Equity, Debt)'!D31</f>
        <v>44849</v>
      </c>
      <c r="F33" s="30" t="str">
        <f t="shared" ref="F33" si="41">"Q"&amp;ROUNDUP(MONTH(E33)/3,0)&amp;" "&amp;YEAR(E33)</f>
        <v>Q4 2022</v>
      </c>
      <c r="G33" s="36">
        <f>'CF (Equity, Debt)'!E31</f>
        <v>-200</v>
      </c>
      <c r="H33" s="36">
        <f>'CF (Equity, Debt)'!F31</f>
        <v>0</v>
      </c>
    </row>
    <row r="34" spans="3:8" x14ac:dyDescent="0.2">
      <c r="C34" s="227" t="str">
        <f>'CF (Equity, Debt)'!C32</f>
        <v>Applied AI Corporation Limited</v>
      </c>
      <c r="D34" s="34" t="s">
        <v>152</v>
      </c>
      <c r="E34" s="31">
        <f>'CF (Equity, Debt)'!D32</f>
        <v>44861</v>
      </c>
      <c r="F34" s="31" t="str">
        <f t="shared" si="0"/>
        <v>Q4 2022</v>
      </c>
      <c r="G34" s="37">
        <f>'CF (Equity, Debt)'!E32</f>
        <v>-4.75</v>
      </c>
      <c r="H34" s="37">
        <f>'CF (Equity, Debt)'!F32</f>
        <v>0</v>
      </c>
    </row>
    <row r="35" spans="3:8" x14ac:dyDescent="0.2">
      <c r="C35" s="226" t="str">
        <f>'CF (Equity, Debt)'!C33</f>
        <v xml:space="preserve">eSpace </v>
      </c>
      <c r="D35" s="33" t="s">
        <v>152</v>
      </c>
      <c r="E35" s="30">
        <f>'CF (Equity, Debt)'!D33</f>
        <v>44892</v>
      </c>
      <c r="F35" s="30" t="str">
        <f t="shared" ref="F35" si="42">"Q"&amp;ROUNDUP(MONTH(E35)/3,0)&amp;" "&amp;YEAR(E35)</f>
        <v>Q4 2022</v>
      </c>
      <c r="G35" s="36">
        <f>'CF (Equity, Debt)'!E33</f>
        <v>-15</v>
      </c>
      <c r="H35" s="36">
        <f>'CF (Equity, Debt)'!F33</f>
        <v>0</v>
      </c>
    </row>
    <row r="36" spans="3:8" x14ac:dyDescent="0.2">
      <c r="C36" s="226" t="str">
        <f>'CF (Equity, Debt)'!C34</f>
        <v>vTv Therapeutics Inc.</v>
      </c>
      <c r="D36" s="33" t="s">
        <v>152</v>
      </c>
      <c r="E36" s="30">
        <f>'CF (Equity, Debt)'!D34</f>
        <v>44985</v>
      </c>
      <c r="F36" s="30" t="str">
        <f t="shared" ref="F36" si="43">"Q"&amp;ROUNDUP(MONTH(E36)/3,0)&amp;" "&amp;YEAR(E36)</f>
        <v>Q1 2023</v>
      </c>
      <c r="G36" s="36">
        <f>'CF (Equity, Debt)'!E34</f>
        <v>-12.03125</v>
      </c>
      <c r="H36" s="36">
        <f>'CF (Equity, Debt)'!F34</f>
        <v>0</v>
      </c>
    </row>
    <row r="37" spans="3:8" x14ac:dyDescent="0.2">
      <c r="C37" s="226" t="str">
        <f>'CF (Equity, Debt)'!C35</f>
        <v>Tools for Humanity Corporation</v>
      </c>
      <c r="D37" s="33" t="s">
        <v>152</v>
      </c>
      <c r="E37" s="30">
        <f>'CF (Equity, Debt)'!D35</f>
        <v>45075</v>
      </c>
      <c r="F37" s="30" t="str">
        <f t="shared" ref="F37" si="44">"Q"&amp;ROUNDUP(MONTH(E37)/3,0)&amp;" "&amp;YEAR(E37)</f>
        <v>Q2 2023</v>
      </c>
      <c r="G37" s="36">
        <f>'CF (Equity, Debt)'!E35</f>
        <v>-14.999998939999999</v>
      </c>
      <c r="H37" s="36">
        <f>'CF (Equity, Debt)'!F35</f>
        <v>0</v>
      </c>
    </row>
    <row r="38" spans="3:8" x14ac:dyDescent="0.2">
      <c r="C38" s="226" t="str">
        <f>'CF (Equity, Debt)'!C36</f>
        <v>WLD Tokens</v>
      </c>
      <c r="D38" s="33" t="s">
        <v>152</v>
      </c>
      <c r="E38" s="30">
        <f>'CF (Equity, Debt)'!D36</f>
        <v>45075</v>
      </c>
      <c r="F38" s="30" t="str">
        <f t="shared" ref="F38:F41" si="45">"Q"&amp;ROUNDUP(MONTH(E38)/3,0)&amp;" "&amp;YEAR(E38)</f>
        <v>Q2 2023</v>
      </c>
      <c r="G38" s="36">
        <f>'CF (Equity, Debt)'!E36</f>
        <v>-5.875E-3</v>
      </c>
      <c r="H38" s="36">
        <f>'CF (Equity, Debt)'!F36</f>
        <v>0</v>
      </c>
    </row>
    <row r="39" spans="3:8" x14ac:dyDescent="0.2">
      <c r="C39" s="226" t="str">
        <f>'CF (Equity, Debt)'!C37</f>
        <v>WLD Tokens</v>
      </c>
      <c r="D39" s="33" t="s">
        <v>152</v>
      </c>
      <c r="E39" s="30">
        <f>'CF (Equity, Debt)'!D37</f>
        <v>45114</v>
      </c>
      <c r="F39" s="30" t="str">
        <f t="shared" si="45"/>
        <v>Q3 2023</v>
      </c>
      <c r="G39" s="36">
        <f>'CF (Equity, Debt)'!E37</f>
        <v>-1E-3</v>
      </c>
      <c r="H39" s="36">
        <f>'CF (Equity, Debt)'!F37</f>
        <v>0</v>
      </c>
    </row>
    <row r="40" spans="3:8" x14ac:dyDescent="0.2">
      <c r="C40" s="226" t="str">
        <f>'CF (Equity, Debt)'!C38</f>
        <v>Applied AI Corporation Limited</v>
      </c>
      <c r="D40" s="33" t="s">
        <v>152</v>
      </c>
      <c r="E40" s="30">
        <f>'CF (Equity, Debt)'!D38</f>
        <v>45121</v>
      </c>
      <c r="F40" s="30" t="str">
        <f t="shared" si="45"/>
        <v>Q3 2023</v>
      </c>
      <c r="G40" s="36">
        <f>'CF (Equity, Debt)'!E38</f>
        <v>-2.75</v>
      </c>
      <c r="H40" s="36">
        <f>'CF (Equity, Debt)'!F38</f>
        <v>0</v>
      </c>
    </row>
    <row r="41" spans="3:8" x14ac:dyDescent="0.2">
      <c r="C41" s="226" t="str">
        <f>'CF (Equity, Debt)'!C39</f>
        <v>Instadeep Limited</v>
      </c>
      <c r="D41" s="33" t="s">
        <v>152</v>
      </c>
      <c r="E41" s="30">
        <f>'CF (Equity, Debt)'!D39</f>
        <v>45138</v>
      </c>
      <c r="F41" s="30" t="str">
        <f t="shared" si="45"/>
        <v>Q3 2023</v>
      </c>
      <c r="G41" s="36">
        <f>'CF (Equity, Debt)'!E39</f>
        <v>0</v>
      </c>
      <c r="H41" s="36">
        <f>'CF (Equity, Debt)'!F39</f>
        <v>7.8207760999999989</v>
      </c>
    </row>
    <row r="42" spans="3:8" x14ac:dyDescent="0.2">
      <c r="C42" s="226" t="str">
        <f>'CF (Equity, Debt)'!C40</f>
        <v>Jysan Technologies</v>
      </c>
      <c r="D42" s="33" t="s">
        <v>152</v>
      </c>
      <c r="E42" s="30">
        <f>'CF (Equity, Debt)'!D40</f>
        <v>45149</v>
      </c>
      <c r="F42" s="30" t="str">
        <f t="shared" ref="F42:F44" si="46">"Q"&amp;ROUNDUP(MONTH(E42)/3,0)&amp;" "&amp;YEAR(E42)</f>
        <v>Q3 2023</v>
      </c>
      <c r="G42" s="36">
        <f>'CF (Equity, Debt)'!E40</f>
        <v>0</v>
      </c>
      <c r="H42" s="36">
        <f>'CF (Equity, Debt)'!F40</f>
        <v>24.5</v>
      </c>
    </row>
    <row r="43" spans="3:8" x14ac:dyDescent="0.2">
      <c r="C43" s="226" t="str">
        <f>'CF (Equity, Debt)'!C41</f>
        <v>Endless Studios LLC</v>
      </c>
      <c r="D43" s="33" t="s">
        <v>152</v>
      </c>
      <c r="E43" s="30">
        <f>'CF (Equity, Debt)'!D41</f>
        <v>45167</v>
      </c>
      <c r="F43" s="30" t="str">
        <f t="shared" si="46"/>
        <v>Q3 2023</v>
      </c>
      <c r="G43" s="36">
        <f>'CF (Equity, Debt)'!E41</f>
        <v>-5</v>
      </c>
      <c r="H43" s="36">
        <f>'CF (Equity, Debt)'!F41</f>
        <v>0</v>
      </c>
    </row>
    <row r="44" spans="3:8" x14ac:dyDescent="0.2">
      <c r="C44" s="226" t="str">
        <f>'CF (Equity, Debt)'!C42</f>
        <v>E-line Ventures LLC</v>
      </c>
      <c r="D44" s="33" t="s">
        <v>152</v>
      </c>
      <c r="E44" s="30">
        <f>'CF (Equity, Debt)'!D42</f>
        <v>45167</v>
      </c>
      <c r="F44" s="30" t="str">
        <f t="shared" si="46"/>
        <v>Q3 2023</v>
      </c>
      <c r="G44" s="36">
        <f>'CF (Equity, Debt)'!E42</f>
        <v>-6</v>
      </c>
      <c r="H44" s="36">
        <f>'CF (Equity, Debt)'!F42</f>
        <v>0</v>
      </c>
    </row>
    <row r="45" spans="3:8" x14ac:dyDescent="0.2">
      <c r="C45" s="226" t="str">
        <f>'CF (Equity, Debt)'!C43</f>
        <v>Honor Device Co Ltd</v>
      </c>
      <c r="D45" s="33" t="s">
        <v>152</v>
      </c>
      <c r="E45" s="30">
        <f>'CF (Equity, Debt)'!D43</f>
        <v>45224</v>
      </c>
      <c r="F45" s="30" t="str">
        <f t="shared" ref="F45:F48" si="47">"Q"&amp;ROUNDUP(MONTH(E45)/3,0)&amp;" "&amp;YEAR(E45)</f>
        <v>Q4 2023</v>
      </c>
      <c r="G45" s="36">
        <f>'CF (Equity, Debt)'!E43</f>
        <v>0</v>
      </c>
      <c r="H45" s="36">
        <f>'CF (Equity, Debt)'!F43</f>
        <v>2.8</v>
      </c>
    </row>
    <row r="46" spans="3:8" x14ac:dyDescent="0.2">
      <c r="C46" s="226" t="str">
        <f>'CF (Equity, Debt)'!C44</f>
        <v>Honor Device Co Ltd</v>
      </c>
      <c r="D46" s="33" t="s">
        <v>152</v>
      </c>
      <c r="E46" s="30">
        <f>'CF (Equity, Debt)'!D44</f>
        <v>45224</v>
      </c>
      <c r="F46" s="30" t="str">
        <f t="shared" si="47"/>
        <v>Q4 2023</v>
      </c>
      <c r="G46" s="36">
        <f>'CF (Equity, Debt)'!E44</f>
        <v>0</v>
      </c>
      <c r="H46" s="36">
        <f>'CF (Equity, Debt)'!F44</f>
        <v>800</v>
      </c>
    </row>
    <row r="47" spans="3:8" x14ac:dyDescent="0.2">
      <c r="C47" s="226" t="str">
        <f>'CF (Equity, Debt)'!C45</f>
        <v>X-fusion</v>
      </c>
      <c r="D47" s="33" t="s">
        <v>152</v>
      </c>
      <c r="E47" s="30">
        <f>'CF (Equity, Debt)'!D45</f>
        <v>45224</v>
      </c>
      <c r="F47" s="30" t="str">
        <f t="shared" si="47"/>
        <v>Q4 2023</v>
      </c>
      <c r="G47" s="36">
        <f>'CF (Equity, Debt)'!E45</f>
        <v>0</v>
      </c>
      <c r="H47" s="36">
        <f>'CF (Equity, Debt)'!F45</f>
        <v>403</v>
      </c>
    </row>
    <row r="48" spans="3:8" x14ac:dyDescent="0.2">
      <c r="C48" s="226" t="str">
        <f>'CF (Equity, Debt)'!C46</f>
        <v>Instadeep Limited</v>
      </c>
      <c r="D48" s="33" t="s">
        <v>152</v>
      </c>
      <c r="E48" s="30">
        <f>'CF (Equity, Debt)'!D46</f>
        <v>45224</v>
      </c>
      <c r="F48" s="30" t="str">
        <f t="shared" si="47"/>
        <v>Q4 2023</v>
      </c>
      <c r="G48" s="36">
        <f>'CF (Equity, Debt)'!E46</f>
        <v>0</v>
      </c>
      <c r="H48" s="36">
        <f>'CF (Equity, Debt)'!F46</f>
        <v>0.12141643000000001</v>
      </c>
    </row>
    <row r="49" spans="2:8" x14ac:dyDescent="0.2">
      <c r="C49" s="226"/>
      <c r="D49" s="33"/>
      <c r="E49" s="30"/>
      <c r="F49" s="30"/>
      <c r="G49" s="36"/>
      <c r="H49" s="36"/>
    </row>
    <row r="50" spans="2:8" x14ac:dyDescent="0.2">
      <c r="B50" s="273" t="s">
        <v>43</v>
      </c>
      <c r="C50" s="269"/>
      <c r="D50" s="270"/>
      <c r="E50" s="271"/>
      <c r="F50" s="271"/>
      <c r="G50" s="272"/>
      <c r="H50" s="272"/>
    </row>
    <row r="51" spans="2:8" x14ac:dyDescent="0.2">
      <c r="C51" s="228" t="str">
        <f>'CF (Equity, Debt)'!C55</f>
        <v xml:space="preserve">Glass Earth Holdings LLC </v>
      </c>
      <c r="D51" s="135" t="s">
        <v>43</v>
      </c>
      <c r="E51" s="209">
        <f>'CF (Equity, Debt)'!D55</f>
        <v>43635</v>
      </c>
      <c r="F51" s="136" t="str">
        <f t="shared" ref="F51:F67" si="48">"Q"&amp;ROUNDUP(MONTH(E51)/3,0)&amp;" "&amp;YEAR(E51)</f>
        <v>Q2 2019</v>
      </c>
      <c r="G51" s="137">
        <f>'CF (Equity, Debt)'!E55</f>
        <v>-8</v>
      </c>
      <c r="H51" s="137">
        <f>'CF (Equity, Debt)'!F55</f>
        <v>0</v>
      </c>
    </row>
    <row r="52" spans="2:8" x14ac:dyDescent="0.2">
      <c r="C52" s="228" t="str">
        <f>'CF (Equity, Debt)'!C56</f>
        <v>Mena Mobile Inc (Debt)</v>
      </c>
      <c r="D52" s="135" t="s">
        <v>43</v>
      </c>
      <c r="E52" s="209">
        <f>'CF (Equity, Debt)'!D56</f>
        <v>44293</v>
      </c>
      <c r="F52" s="136" t="str">
        <f t="shared" si="48"/>
        <v>Q2 2021</v>
      </c>
      <c r="G52" s="137">
        <f>'CF (Equity, Debt)'!E56</f>
        <v>-2.3539819999999998</v>
      </c>
      <c r="H52" s="137">
        <f>'CF (Equity, Debt)'!F56</f>
        <v>0</v>
      </c>
    </row>
    <row r="53" spans="2:8" x14ac:dyDescent="0.2">
      <c r="C53" s="228" t="str">
        <f>'CF (Equity, Debt)'!C57</f>
        <v>Esyasoft Holding (Debt)</v>
      </c>
      <c r="D53" s="135" t="s">
        <v>43</v>
      </c>
      <c r="E53" s="209">
        <f>'CF (Equity, Debt)'!D57</f>
        <v>44384</v>
      </c>
      <c r="F53" s="136" t="str">
        <f t="shared" si="48"/>
        <v>Q3 2021</v>
      </c>
      <c r="G53" s="137">
        <f>'CF (Equity, Debt)'!E57</f>
        <v>-0.41176499999999999</v>
      </c>
      <c r="H53" s="137">
        <f>'CF (Equity, Debt)'!F57</f>
        <v>0</v>
      </c>
    </row>
    <row r="54" spans="2:8" x14ac:dyDescent="0.2">
      <c r="C54" s="228" t="str">
        <f>'CF (Equity, Debt)'!C58</f>
        <v>Esyasoft Holding (Debt)</v>
      </c>
      <c r="D54" s="135" t="s">
        <v>43</v>
      </c>
      <c r="E54" s="209">
        <f>'CF (Equity, Debt)'!D58</f>
        <v>44902</v>
      </c>
      <c r="F54" s="136" t="str">
        <f t="shared" ref="F54" si="49">"Q"&amp;ROUNDUP(MONTH(E54)/3,0)&amp;" "&amp;YEAR(E54)</f>
        <v>Q4 2022</v>
      </c>
      <c r="G54" s="137">
        <f>'CF (Equity, Debt)'!E58</f>
        <v>0</v>
      </c>
      <c r="H54" s="137">
        <f>'CF (Equity, Debt)'!F58</f>
        <v>0.47078465000000003</v>
      </c>
    </row>
    <row r="55" spans="2:8" x14ac:dyDescent="0.2">
      <c r="B55" s="273" t="s">
        <v>273</v>
      </c>
      <c r="C55" s="269"/>
      <c r="D55" s="270"/>
      <c r="E55" s="271"/>
      <c r="F55" s="271"/>
      <c r="G55" s="272"/>
      <c r="H55" s="272"/>
    </row>
    <row r="56" spans="2:8" x14ac:dyDescent="0.2">
      <c r="C56" s="228" t="str">
        <f>'CF (Funds)'!C4</f>
        <v>Sinovation Disrupt Fund, L.P.</v>
      </c>
      <c r="D56" s="135" t="s">
        <v>52</v>
      </c>
      <c r="E56" s="209">
        <f>'CF (Funds)'!D4</f>
        <v>44153</v>
      </c>
      <c r="F56" s="135" t="str">
        <f t="shared" si="48"/>
        <v>Q4 2020</v>
      </c>
      <c r="G56" s="137">
        <f>'CF (Funds)'!E4</f>
        <v>-10.5</v>
      </c>
      <c r="H56" s="137">
        <f>'CF (Funds)'!F4</f>
        <v>0</v>
      </c>
    </row>
    <row r="57" spans="2:8" x14ac:dyDescent="0.2">
      <c r="C57" s="228" t="str">
        <f>'CF (Funds)'!C5</f>
        <v>Sinovation Disrupt Fund, L.P.</v>
      </c>
      <c r="D57" s="135" t="s">
        <v>52</v>
      </c>
      <c r="E57" s="209">
        <f>'CF (Funds)'!D5</f>
        <v>44238</v>
      </c>
      <c r="F57" s="136" t="str">
        <f t="shared" si="48"/>
        <v>Q1 2021</v>
      </c>
      <c r="G57" s="137">
        <f>'CF (Funds)'!E5</f>
        <v>4.2140269999999997</v>
      </c>
      <c r="H57" s="137">
        <f>'CF (Funds)'!F5</f>
        <v>0</v>
      </c>
    </row>
    <row r="58" spans="2:8" x14ac:dyDescent="0.2">
      <c r="C58" s="228" t="str">
        <f>'CF (Funds)'!C6</f>
        <v>Sinovation Disrupt Fund, L.P.</v>
      </c>
      <c r="D58" s="135" t="s">
        <v>52</v>
      </c>
      <c r="E58" s="209">
        <f>'CF (Funds)'!D6</f>
        <v>44238</v>
      </c>
      <c r="F58" s="136" t="str">
        <f t="shared" si="48"/>
        <v>Q1 2021</v>
      </c>
      <c r="G58" s="137">
        <f>'CF (Funds)'!E6</f>
        <v>0</v>
      </c>
      <c r="H58" s="137">
        <f>'CF (Funds)'!F6</f>
        <v>5.0448349999999996E-2</v>
      </c>
    </row>
    <row r="59" spans="2:8" x14ac:dyDescent="0.2">
      <c r="C59" s="228" t="str">
        <f>'CF (Funds)'!C7</f>
        <v>Sinovation Disrupt Fund, L.P.</v>
      </c>
      <c r="D59" s="135" t="s">
        <v>52</v>
      </c>
      <c r="E59" s="209">
        <f>'CF (Funds)'!D7</f>
        <v>44285</v>
      </c>
      <c r="F59" s="136" t="str">
        <f t="shared" si="48"/>
        <v>Q1 2021</v>
      </c>
      <c r="G59" s="137">
        <f>'CF (Funds)'!E7</f>
        <v>-6.4337459999999993</v>
      </c>
      <c r="H59" s="137">
        <f>'CF (Funds)'!F7</f>
        <v>0</v>
      </c>
    </row>
    <row r="60" spans="2:8" x14ac:dyDescent="0.2">
      <c r="C60" s="228" t="str">
        <f>'CF (Funds)'!C8</f>
        <v>Sinovation Disrupt Fund, L.P.</v>
      </c>
      <c r="D60" s="135" t="s">
        <v>52</v>
      </c>
      <c r="E60" s="209">
        <f>'CF (Funds)'!D8</f>
        <v>44269</v>
      </c>
      <c r="F60" s="136" t="str">
        <f t="shared" si="48"/>
        <v>Q1 2021</v>
      </c>
      <c r="G60" s="137">
        <f>'CF (Funds)'!E8</f>
        <v>1.1352073899999999</v>
      </c>
      <c r="H60" s="137">
        <f>'CF (Funds)'!F8</f>
        <v>0</v>
      </c>
    </row>
    <row r="61" spans="2:8" x14ac:dyDescent="0.2">
      <c r="C61" s="228" t="str">
        <f>'CF (Funds)'!C9</f>
        <v>Sinovation Disrupt Fund, L.P.</v>
      </c>
      <c r="D61" s="135" t="s">
        <v>52</v>
      </c>
      <c r="E61" s="209">
        <f>'CF (Funds)'!D9</f>
        <v>44269</v>
      </c>
      <c r="F61" s="136" t="str">
        <f t="shared" si="48"/>
        <v>Q1 2021</v>
      </c>
      <c r="G61" s="137">
        <f>'CF (Funds)'!E9</f>
        <v>0</v>
      </c>
      <c r="H61" s="137">
        <f>'CF (Funds)'!F9</f>
        <v>2.5899999999999999E-2</v>
      </c>
    </row>
    <row r="62" spans="2:8" x14ac:dyDescent="0.2">
      <c r="C62" s="228" t="str">
        <f>'CF (Funds)'!C10</f>
        <v>Sinovation Disrupt Fund, L.P.</v>
      </c>
      <c r="D62" s="135" t="s">
        <v>52</v>
      </c>
      <c r="E62" s="209">
        <f>'CF (Funds)'!D10</f>
        <v>44483</v>
      </c>
      <c r="F62" s="136" t="str">
        <f t="shared" si="48"/>
        <v>Q4 2021</v>
      </c>
      <c r="G62" s="137">
        <f>'CF (Funds)'!E10</f>
        <v>-7.5671379999999999</v>
      </c>
      <c r="H62" s="137">
        <f>'CF (Funds)'!F10</f>
        <v>0</v>
      </c>
    </row>
    <row r="63" spans="2:8" x14ac:dyDescent="0.2">
      <c r="C63" s="228" t="str">
        <f>'CF (Funds)'!C11</f>
        <v>Sinovation Disrupt Fund, L.P.</v>
      </c>
      <c r="D63" s="135" t="s">
        <v>52</v>
      </c>
      <c r="E63" s="209">
        <f>'CF (Funds)'!D11</f>
        <v>44554</v>
      </c>
      <c r="F63" s="136" t="str">
        <f t="shared" si="48"/>
        <v>Q4 2021</v>
      </c>
      <c r="G63" s="137">
        <f>'CF (Funds)'!E11</f>
        <v>-7.3850159999999994</v>
      </c>
      <c r="H63" s="137">
        <f>'CF (Funds)'!F11</f>
        <v>0</v>
      </c>
    </row>
    <row r="64" spans="2:8" x14ac:dyDescent="0.2">
      <c r="C64" s="228" t="str">
        <f>'CF (Funds)'!C12</f>
        <v>Sinovation Disrupt Fund, L.P.</v>
      </c>
      <c r="D64" s="135" t="s">
        <v>52</v>
      </c>
      <c r="E64" s="209">
        <f>'CF (Funds)'!D12</f>
        <v>44554</v>
      </c>
      <c r="F64" s="136" t="str">
        <f t="shared" si="48"/>
        <v>Q4 2021</v>
      </c>
      <c r="G64" s="137">
        <f>'CF (Funds)'!E12</f>
        <v>4.0733456099999996</v>
      </c>
      <c r="H64" s="137">
        <f>'CF (Funds)'!F12</f>
        <v>0</v>
      </c>
    </row>
    <row r="65" spans="3:8" x14ac:dyDescent="0.2">
      <c r="C65" s="228" t="str">
        <f>'CF (Funds)'!C13</f>
        <v>Sinovation Disrupt Fund, L.P.</v>
      </c>
      <c r="D65" s="135" t="s">
        <v>52</v>
      </c>
      <c r="E65" s="209">
        <f>'CF (Funds)'!D13</f>
        <v>44554</v>
      </c>
      <c r="F65" s="136" t="str">
        <f t="shared" si="48"/>
        <v>Q4 2021</v>
      </c>
      <c r="G65" s="137">
        <f>'CF (Funds)'!E13</f>
        <v>0</v>
      </c>
      <c r="H65" s="137">
        <f>'CF (Funds)'!F13</f>
        <v>0.13969399999999998</v>
      </c>
    </row>
    <row r="66" spans="3:8" x14ac:dyDescent="0.2">
      <c r="C66" s="228" t="str">
        <f>'CF (Funds)'!C14</f>
        <v>Sinovation Disrupt Fund, L.P.</v>
      </c>
      <c r="D66" s="135" t="s">
        <v>52</v>
      </c>
      <c r="E66" s="209">
        <f>'CF (Funds)'!D14</f>
        <v>44703</v>
      </c>
      <c r="F66" s="136" t="str">
        <f t="shared" si="48"/>
        <v>Q2 2022</v>
      </c>
      <c r="G66" s="137">
        <f>'CF (Funds)'!E14</f>
        <v>5.6730739999999997</v>
      </c>
      <c r="H66" s="137">
        <f>'CF (Funds)'!F14</f>
        <v>0</v>
      </c>
    </row>
    <row r="67" spans="3:8" x14ac:dyDescent="0.2">
      <c r="C67" s="228" t="str">
        <f>'CF (Funds)'!C15</f>
        <v>Sinovation Disrupt Fund, L.P.</v>
      </c>
      <c r="D67" s="135" t="s">
        <v>52</v>
      </c>
      <c r="E67" s="209">
        <f>'CF (Funds)'!D15</f>
        <v>44703</v>
      </c>
      <c r="F67" s="136" t="str">
        <f t="shared" si="48"/>
        <v>Q2 2022</v>
      </c>
      <c r="G67" s="137">
        <f>'CF (Funds)'!E15</f>
        <v>0</v>
      </c>
      <c r="H67" s="137">
        <f>'CF (Funds)'!F15</f>
        <v>0.22778599999999999</v>
      </c>
    </row>
    <row r="68" spans="3:8" x14ac:dyDescent="0.2">
      <c r="C68" s="228" t="str">
        <f>'CF (Funds)'!C16</f>
        <v>Sinovation Disrupt Fund, L.P.</v>
      </c>
      <c r="D68" s="135" t="s">
        <v>52</v>
      </c>
      <c r="E68" s="209">
        <f>'CF (Funds)'!D16</f>
        <v>44776</v>
      </c>
      <c r="F68" s="136" t="str">
        <f t="shared" ref="F68" si="50">"Q"&amp;ROUNDUP(MONTH(E68)/3,0)&amp;" "&amp;YEAR(E68)</f>
        <v>Q3 2022</v>
      </c>
      <c r="G68" s="137">
        <f>'CF (Funds)'!E16</f>
        <v>-3.235493</v>
      </c>
      <c r="H68" s="137">
        <f>'CF (Funds)'!F16</f>
        <v>0</v>
      </c>
    </row>
    <row r="69" spans="3:8" x14ac:dyDescent="0.2">
      <c r="C69" s="228" t="str">
        <f>'CF (Funds)'!C17</f>
        <v>Sinovation Disrupt Fund, L.P.</v>
      </c>
      <c r="D69" s="135" t="s">
        <v>52</v>
      </c>
      <c r="E69" s="209">
        <f>'CF (Funds)'!D17</f>
        <v>44960</v>
      </c>
      <c r="F69" s="136" t="str">
        <f t="shared" ref="F69" si="51">"Q"&amp;ROUNDUP(MONTH(E69)/3,0)&amp;" "&amp;YEAR(E69)</f>
        <v>Q1 2023</v>
      </c>
      <c r="G69" s="137">
        <f>'CF (Funds)'!E17</f>
        <v>-2.6315279999999999</v>
      </c>
      <c r="H69" s="137">
        <f>'CF (Funds)'!F17</f>
        <v>0</v>
      </c>
    </row>
    <row r="70" spans="3:8" x14ac:dyDescent="0.2">
      <c r="C70" s="228" t="str">
        <f>'CF (Funds)'!C18</f>
        <v>Sinovation Disrupt Fund, L.P.</v>
      </c>
      <c r="D70" s="135" t="s">
        <v>52</v>
      </c>
      <c r="E70" s="209">
        <f>'CF (Funds)'!D18</f>
        <v>45085</v>
      </c>
      <c r="F70" s="136" t="str">
        <f t="shared" ref="F70" si="52">"Q"&amp;ROUNDUP(MONTH(E70)/3,0)&amp;" "&amp;YEAR(E70)</f>
        <v>Q2 2023</v>
      </c>
      <c r="G70" s="137">
        <f>'CF (Funds)'!E18</f>
        <v>1.9125570000000001</v>
      </c>
      <c r="H70" s="137">
        <f>'CF (Funds)'!F18</f>
        <v>0</v>
      </c>
    </row>
    <row r="71" spans="3:8" x14ac:dyDescent="0.2">
      <c r="C71" s="228" t="str">
        <f>'CF (Funds)'!C19</f>
        <v>Sinovation Disrupt Fund, L.P.</v>
      </c>
      <c r="D71" s="135" t="s">
        <v>52</v>
      </c>
      <c r="E71" s="209">
        <f>'CF (Funds)'!D19</f>
        <v>45166</v>
      </c>
      <c r="F71" s="136" t="str">
        <f t="shared" ref="F71" si="53">"Q"&amp;ROUNDUP(MONTH(E71)/3,0)&amp;" "&amp;YEAR(E71)</f>
        <v>Q3 2023</v>
      </c>
      <c r="G71" s="137">
        <f>'CF (Funds)'!E19</f>
        <v>-1.7991220000000001</v>
      </c>
      <c r="H71" s="137">
        <f>'CF (Funds)'!F19</f>
        <v>0</v>
      </c>
    </row>
    <row r="72" spans="3:8" x14ac:dyDescent="0.2">
      <c r="C72" s="228" t="str">
        <f>'CF (Funds)'!C20</f>
        <v>Sinovation Disrupt Fund, L.P.</v>
      </c>
      <c r="D72" s="135" t="s">
        <v>52</v>
      </c>
      <c r="E72" s="209">
        <f>'CF (Funds)'!D20</f>
        <v>45218</v>
      </c>
      <c r="F72" s="136" t="str">
        <f t="shared" ref="F72" si="54">"Q"&amp;ROUNDUP(MONTH(E72)/3,0)&amp;" "&amp;YEAR(E72)</f>
        <v>Q4 2023</v>
      </c>
      <c r="G72" s="137">
        <f>'CF (Funds)'!E20</f>
        <v>-2.415861</v>
      </c>
      <c r="H72" s="137">
        <f>'CF (Funds)'!F20</f>
        <v>0</v>
      </c>
    </row>
    <row r="73" spans="3:8" x14ac:dyDescent="0.2">
      <c r="C73" s="228" t="str">
        <f>'CF (Funds)'!C21</f>
        <v>Sinovation Disrupt Fund, L.P.</v>
      </c>
      <c r="D73" s="135" t="s">
        <v>52</v>
      </c>
      <c r="E73" s="209">
        <f>'CF (Funds)'!D21</f>
        <v>45323</v>
      </c>
      <c r="F73" s="136" t="str">
        <f t="shared" ref="F73" si="55">"Q"&amp;ROUNDUP(MONTH(E73)/3,0)&amp;" "&amp;YEAR(E73)</f>
        <v>Q1 2024</v>
      </c>
      <c r="G73" s="137">
        <f>'CF (Funds)'!E21</f>
        <v>0</v>
      </c>
      <c r="H73" s="137">
        <f>'CF (Funds)'!F21</f>
        <v>24.959693000000001</v>
      </c>
    </row>
    <row r="74" spans="3:8" x14ac:dyDescent="0.2">
      <c r="C74" s="138" t="str">
        <f>'CF (Funds)'!C22</f>
        <v>North Summit Capital Fund</v>
      </c>
      <c r="D74" s="139" t="s">
        <v>52</v>
      </c>
      <c r="E74" s="208">
        <f>'CF (Funds)'!D22</f>
        <v>43665</v>
      </c>
      <c r="F74" s="140" t="str">
        <f t="shared" ref="F74:F92" si="56">"Q"&amp;ROUNDUP(MONTH(E74)/3,0)&amp;" "&amp;YEAR(E74)</f>
        <v>Q3 2019</v>
      </c>
      <c r="G74" s="141">
        <f>'CF (Funds)'!E22</f>
        <v>-3</v>
      </c>
      <c r="H74" s="141">
        <f>'CF (Funds)'!F22</f>
        <v>0</v>
      </c>
    </row>
    <row r="75" spans="3:8" x14ac:dyDescent="0.2">
      <c r="C75" s="138" t="str">
        <f>'CF (Funds)'!C23</f>
        <v>North Summit Capital Fund</v>
      </c>
      <c r="D75" s="139" t="s">
        <v>52</v>
      </c>
      <c r="E75" s="208">
        <f>'CF (Funds)'!D23</f>
        <v>43983</v>
      </c>
      <c r="F75" s="140" t="str">
        <f t="shared" si="56"/>
        <v>Q2 2020</v>
      </c>
      <c r="G75" s="141">
        <f>'CF (Funds)'!E23</f>
        <v>-4.4849999999999994</v>
      </c>
      <c r="H75" s="141">
        <f>'CF (Funds)'!F23</f>
        <v>0</v>
      </c>
    </row>
    <row r="76" spans="3:8" x14ac:dyDescent="0.2">
      <c r="C76" s="138" t="str">
        <f>'CF (Funds)'!C24</f>
        <v>North Summit Capital Fund</v>
      </c>
      <c r="D76" s="139" t="s">
        <v>52</v>
      </c>
      <c r="E76" s="208">
        <f>'CF (Funds)'!D24</f>
        <v>43879</v>
      </c>
      <c r="F76" s="140" t="str">
        <f t="shared" si="56"/>
        <v>Q1 2020</v>
      </c>
      <c r="G76" s="141">
        <f>'CF (Funds)'!E24</f>
        <v>-9.5097500000000004</v>
      </c>
      <c r="H76" s="141">
        <f>'CF (Funds)'!F24</f>
        <v>0</v>
      </c>
    </row>
    <row r="77" spans="3:8" x14ac:dyDescent="0.2">
      <c r="C77" s="138" t="str">
        <f>'CF (Funds)'!C25</f>
        <v>North Summit Capital Fund</v>
      </c>
      <c r="D77" s="139" t="s">
        <v>52</v>
      </c>
      <c r="E77" s="208">
        <f>'CF (Funds)'!D25</f>
        <v>43934</v>
      </c>
      <c r="F77" s="140" t="str">
        <f t="shared" si="56"/>
        <v>Q2 2020</v>
      </c>
      <c r="G77" s="141">
        <f>'CF (Funds)'!E25</f>
        <v>-41.3</v>
      </c>
      <c r="H77" s="141">
        <f>'CF (Funds)'!F25</f>
        <v>0</v>
      </c>
    </row>
    <row r="78" spans="3:8" x14ac:dyDescent="0.2">
      <c r="C78" s="138" t="str">
        <f>'CF (Funds)'!C26</f>
        <v>North Summit Capital Fund</v>
      </c>
      <c r="D78" s="139" t="s">
        <v>52</v>
      </c>
      <c r="E78" s="208">
        <f>'CF (Funds)'!D26</f>
        <v>44151</v>
      </c>
      <c r="F78" s="140" t="str">
        <f t="shared" si="56"/>
        <v>Q4 2020</v>
      </c>
      <c r="G78" s="141">
        <f>'CF (Funds)'!E26</f>
        <v>9.9499999999999993</v>
      </c>
      <c r="H78" s="141">
        <f>'CF (Funds)'!F26</f>
        <v>0</v>
      </c>
    </row>
    <row r="79" spans="3:8" x14ac:dyDescent="0.2">
      <c r="C79" s="138" t="str">
        <f>'CF (Funds)'!C27</f>
        <v>North Summit Capital Fund</v>
      </c>
      <c r="D79" s="139" t="s">
        <v>52</v>
      </c>
      <c r="E79" s="208">
        <f>'CF (Funds)'!D27</f>
        <v>44151</v>
      </c>
      <c r="F79" s="140" t="str">
        <f t="shared" si="56"/>
        <v>Q4 2020</v>
      </c>
      <c r="G79" s="141">
        <f>'CF (Funds)'!E27</f>
        <v>-10.455</v>
      </c>
      <c r="H79" s="141">
        <f>'CF (Funds)'!F27</f>
        <v>0</v>
      </c>
    </row>
    <row r="80" spans="3:8" x14ac:dyDescent="0.2">
      <c r="C80" s="138" t="str">
        <f>'CF (Funds)'!C28</f>
        <v>North Summit Capital Fund</v>
      </c>
      <c r="D80" s="139" t="s">
        <v>52</v>
      </c>
      <c r="E80" s="208">
        <f>'CF (Funds)'!D28</f>
        <v>44196</v>
      </c>
      <c r="F80" s="140" t="str">
        <f t="shared" si="56"/>
        <v>Q4 2020</v>
      </c>
      <c r="G80" s="141">
        <f>'CF (Funds)'!E28</f>
        <v>4.9749999999999996</v>
      </c>
      <c r="H80" s="141">
        <f>'CF (Funds)'!F28</f>
        <v>0</v>
      </c>
    </row>
    <row r="81" spans="3:8" x14ac:dyDescent="0.2">
      <c r="C81" s="138" t="str">
        <f>'CF (Funds)'!C29</f>
        <v>North Summit Capital Fund</v>
      </c>
      <c r="D81" s="139" t="s">
        <v>52</v>
      </c>
      <c r="E81" s="208">
        <f>'CF (Funds)'!D29</f>
        <v>44196</v>
      </c>
      <c r="F81" s="140" t="str">
        <f t="shared" si="56"/>
        <v>Q4 2020</v>
      </c>
      <c r="G81" s="141">
        <f>'CF (Funds)'!E29</f>
        <v>-3.4522930000000001</v>
      </c>
      <c r="H81" s="141">
        <f>'CF (Funds)'!F29</f>
        <v>0</v>
      </c>
    </row>
    <row r="82" spans="3:8" x14ac:dyDescent="0.2">
      <c r="C82" s="138" t="str">
        <f>'CF (Funds)'!C30</f>
        <v>North Summit Capital Fund</v>
      </c>
      <c r="D82" s="139" t="s">
        <v>52</v>
      </c>
      <c r="E82" s="208">
        <f>'CF (Funds)'!D30</f>
        <v>44196</v>
      </c>
      <c r="F82" s="140" t="str">
        <f t="shared" si="56"/>
        <v>Q4 2020</v>
      </c>
      <c r="G82" s="141">
        <f>'CF (Funds)'!E30</f>
        <v>0</v>
      </c>
      <c r="H82" s="141">
        <f>'CF (Funds)'!F30</f>
        <v>0.58290199999999992</v>
      </c>
    </row>
    <row r="83" spans="3:8" x14ac:dyDescent="0.2">
      <c r="C83" s="138" t="str">
        <f>'CF (Funds)'!C31</f>
        <v>North Summit Capital Fund</v>
      </c>
      <c r="D83" s="139" t="s">
        <v>52</v>
      </c>
      <c r="E83" s="208">
        <f>'CF (Funds)'!D31</f>
        <v>44370</v>
      </c>
      <c r="F83" s="140" t="str">
        <f t="shared" si="56"/>
        <v>Q2 2021</v>
      </c>
      <c r="G83" s="141">
        <f>'CF (Funds)'!E31</f>
        <v>-5.97</v>
      </c>
      <c r="H83" s="141">
        <f>'CF (Funds)'!F31</f>
        <v>0</v>
      </c>
    </row>
    <row r="84" spans="3:8" x14ac:dyDescent="0.2">
      <c r="C84" s="138" t="str">
        <f>'CF (Funds)'!C32</f>
        <v>North Summit Capital Fund</v>
      </c>
      <c r="D84" s="139" t="s">
        <v>52</v>
      </c>
      <c r="E84" s="208">
        <f>'CF (Funds)'!D32</f>
        <v>44400</v>
      </c>
      <c r="F84" s="140" t="str">
        <f t="shared" si="56"/>
        <v>Q3 2021</v>
      </c>
      <c r="G84" s="141">
        <f>'CF (Funds)'!E32</f>
        <v>-0.75</v>
      </c>
      <c r="H84" s="141">
        <f>'CF (Funds)'!F32</f>
        <v>0</v>
      </c>
    </row>
    <row r="85" spans="3:8" x14ac:dyDescent="0.2">
      <c r="C85" s="138" t="str">
        <f>'CF (Funds)'!C33</f>
        <v>North Summit Capital Fund</v>
      </c>
      <c r="D85" s="139" t="s">
        <v>52</v>
      </c>
      <c r="E85" s="208">
        <f>'CF (Funds)'!D33</f>
        <v>44400</v>
      </c>
      <c r="F85" s="140" t="str">
        <f t="shared" si="56"/>
        <v>Q3 2021</v>
      </c>
      <c r="G85" s="141">
        <f>'CF (Funds)'!E33</f>
        <v>0</v>
      </c>
      <c r="H85" s="141">
        <f>'CF (Funds)'!F33</f>
        <v>0.44505899999999998</v>
      </c>
    </row>
    <row r="86" spans="3:8" x14ac:dyDescent="0.2">
      <c r="C86" s="138" t="str">
        <f>'CF (Funds)'!C34</f>
        <v>North Summit Capital Fund</v>
      </c>
      <c r="D86" s="139" t="s">
        <v>52</v>
      </c>
      <c r="E86" s="208">
        <f>'CF (Funds)'!D34</f>
        <v>44554</v>
      </c>
      <c r="F86" s="140" t="str">
        <f t="shared" si="56"/>
        <v>Q4 2021</v>
      </c>
      <c r="G86" s="141">
        <f>'CF (Funds)'!E34</f>
        <v>1.7823899999999999</v>
      </c>
      <c r="H86" s="141">
        <f>'CF (Funds)'!F34</f>
        <v>0</v>
      </c>
    </row>
    <row r="87" spans="3:8" x14ac:dyDescent="0.2">
      <c r="C87" s="138" t="str">
        <f>'CF (Funds)'!C35</f>
        <v>North Summit Capital Fund</v>
      </c>
      <c r="D87" s="139" t="s">
        <v>52</v>
      </c>
      <c r="E87" s="208">
        <f>'CF (Funds)'!D35</f>
        <v>44676</v>
      </c>
      <c r="F87" s="140" t="str">
        <f t="shared" si="56"/>
        <v>Q2 2022</v>
      </c>
      <c r="G87" s="141">
        <f>'CF (Funds)'!E35</f>
        <v>-21</v>
      </c>
      <c r="H87" s="141">
        <f>'CF (Funds)'!F35</f>
        <v>0</v>
      </c>
    </row>
    <row r="88" spans="3:8" x14ac:dyDescent="0.2">
      <c r="C88" s="134" t="str">
        <f>'CF (Funds)'!C38</f>
        <v>New Space Capital Fund I</v>
      </c>
      <c r="D88" s="135" t="s">
        <v>52</v>
      </c>
      <c r="E88" s="209">
        <f>'CF (Funds)'!D38</f>
        <v>44087</v>
      </c>
      <c r="F88" s="136" t="str">
        <f t="shared" si="56"/>
        <v>Q3 2020</v>
      </c>
      <c r="G88" s="137">
        <f>'CF (Funds)'!E38</f>
        <v>-20.917552997000001</v>
      </c>
      <c r="H88" s="137">
        <f>'CF (Funds)'!F38</f>
        <v>0</v>
      </c>
    </row>
    <row r="89" spans="3:8" x14ac:dyDescent="0.2">
      <c r="C89" s="134" t="str">
        <f>'CF (Funds)'!C39</f>
        <v>New Space Capital Fund I</v>
      </c>
      <c r="D89" s="135" t="s">
        <v>52</v>
      </c>
      <c r="E89" s="209">
        <f>'CF (Funds)'!D39</f>
        <v>44287</v>
      </c>
      <c r="F89" s="136" t="str">
        <f t="shared" si="56"/>
        <v>Q2 2021</v>
      </c>
      <c r="G89" s="137">
        <f>'CF (Funds)'!E39</f>
        <v>-0.21103182000000001</v>
      </c>
      <c r="H89" s="137">
        <f>'CF (Funds)'!F39</f>
        <v>0</v>
      </c>
    </row>
    <row r="90" spans="3:8" x14ac:dyDescent="0.2">
      <c r="C90" s="134" t="str">
        <f>'CF (Funds)'!C40</f>
        <v>New Space Capital Fund I</v>
      </c>
      <c r="D90" s="135" t="s">
        <v>52</v>
      </c>
      <c r="E90" s="209">
        <f>'CF (Funds)'!D40</f>
        <v>44442</v>
      </c>
      <c r="F90" s="136" t="str">
        <f t="shared" si="56"/>
        <v>Q3 2021</v>
      </c>
      <c r="G90" s="137">
        <f>'CF (Funds)'!E40</f>
        <v>-0.23965473139999999</v>
      </c>
      <c r="H90" s="137">
        <f>'CF (Funds)'!F40</f>
        <v>0</v>
      </c>
    </row>
    <row r="91" spans="3:8" x14ac:dyDescent="0.2">
      <c r="C91" s="134" t="str">
        <f>'CF (Funds)'!C41</f>
        <v>New Space Capital Fund I</v>
      </c>
      <c r="D91" s="135" t="s">
        <v>52</v>
      </c>
      <c r="E91" s="209">
        <f>'CF (Funds)'!D41</f>
        <v>44623</v>
      </c>
      <c r="F91" s="136" t="str">
        <f t="shared" si="56"/>
        <v>Q1 2022</v>
      </c>
      <c r="G91" s="137">
        <f>'CF (Funds)'!E41</f>
        <v>-0.25893584940000003</v>
      </c>
      <c r="H91" s="137">
        <f>'CF (Funds)'!F41</f>
        <v>0</v>
      </c>
    </row>
    <row r="92" spans="3:8" x14ac:dyDescent="0.2">
      <c r="C92" s="134" t="str">
        <f>'CF (Funds)'!C42</f>
        <v>New Space Capital Fund I</v>
      </c>
      <c r="D92" s="135" t="s">
        <v>52</v>
      </c>
      <c r="E92" s="209">
        <f>'CF (Funds)'!D42</f>
        <v>44784</v>
      </c>
      <c r="F92" s="136" t="str">
        <f t="shared" si="56"/>
        <v>Q3 2022</v>
      </c>
      <c r="G92" s="137">
        <f>'CF (Funds)'!E42</f>
        <v>1.5224656599999999E-2</v>
      </c>
      <c r="H92" s="137">
        <f>'CF (Funds)'!F42</f>
        <v>0</v>
      </c>
    </row>
    <row r="93" spans="3:8" x14ac:dyDescent="0.2">
      <c r="C93" s="134" t="str">
        <f>'CF (Funds)'!C43</f>
        <v>New Space Capital Fund I</v>
      </c>
      <c r="D93" s="135" t="s">
        <v>52</v>
      </c>
      <c r="E93" s="209">
        <f>'CF (Funds)'!D43</f>
        <v>44956</v>
      </c>
      <c r="F93" s="136" t="str">
        <f t="shared" ref="F93" si="57">"Q"&amp;ROUNDUP(MONTH(E93)/3,0)&amp;" "&amp;YEAR(E93)</f>
        <v>Q1 2023</v>
      </c>
      <c r="G93" s="137">
        <f>'CF (Funds)'!E43</f>
        <v>10.553916089669999</v>
      </c>
      <c r="H93" s="137">
        <f>'CF (Funds)'!F43</f>
        <v>0</v>
      </c>
    </row>
    <row r="94" spans="3:8" x14ac:dyDescent="0.2">
      <c r="C94" s="134" t="str">
        <f>'CF (Funds)'!C44</f>
        <v>New Space Capital Fund I</v>
      </c>
      <c r="D94" s="135" t="s">
        <v>52</v>
      </c>
      <c r="E94" s="209">
        <f>'CF (Funds)'!D44</f>
        <v>44956</v>
      </c>
      <c r="F94" s="136" t="str">
        <f t="shared" ref="F94" si="58">"Q"&amp;ROUNDUP(MONTH(E94)/3,0)&amp;" "&amp;YEAR(E94)</f>
        <v>Q1 2023</v>
      </c>
      <c r="G94" s="137">
        <f>'CF (Funds)'!E44</f>
        <v>0</v>
      </c>
      <c r="H94" s="137">
        <f>'CF (Funds)'!F44</f>
        <v>2.9557743514081998</v>
      </c>
    </row>
    <row r="95" spans="3:8" x14ac:dyDescent="0.2">
      <c r="C95" s="134" t="str">
        <f>'CF (Funds)'!C51</f>
        <v>New Space Capital GP Com SCSp</v>
      </c>
      <c r="D95" s="135" t="s">
        <v>52</v>
      </c>
      <c r="E95" s="209">
        <f>'CF (Funds)'!D51</f>
        <v>44087</v>
      </c>
      <c r="F95" s="136" t="str">
        <f>"Q"&amp;ROUNDUP(MONTH(E95)/3,0)&amp;" "&amp;YEAR(E95)</f>
        <v>Q3 2020</v>
      </c>
      <c r="G95" s="137">
        <f>'CF (Funds)'!E51</f>
        <v>-2.7058823529411762</v>
      </c>
      <c r="H95" s="137">
        <f>'CF (Funds)'!F51</f>
        <v>0</v>
      </c>
    </row>
    <row r="96" spans="3:8" x14ac:dyDescent="0.2">
      <c r="C96" s="138" t="str">
        <f>'CF (Funds)'!C52</f>
        <v>Acies Investments Fund I, L.P.</v>
      </c>
      <c r="D96" s="139" t="s">
        <v>52</v>
      </c>
      <c r="E96" s="208">
        <f>'CF (Funds)'!D52</f>
        <v>44540</v>
      </c>
      <c r="F96" s="140" t="str">
        <f>"Q"&amp;ROUNDUP(MONTH(E96)/3,0)&amp;" "&amp;YEAR(E96)</f>
        <v>Q4 2021</v>
      </c>
      <c r="G96" s="141">
        <f>'CF (Funds)'!E52</f>
        <v>-2.8053124999999999</v>
      </c>
      <c r="H96" s="141">
        <f>'CF (Funds)'!F52</f>
        <v>0</v>
      </c>
    </row>
    <row r="97" spans="3:8" x14ac:dyDescent="0.2">
      <c r="C97" s="138" t="str">
        <f>'CF (Funds)'!C53</f>
        <v>Acies Investments Fund I, L.P.</v>
      </c>
      <c r="D97" s="139" t="s">
        <v>52</v>
      </c>
      <c r="E97" s="208">
        <f>'CF (Funds)'!D53</f>
        <v>44602</v>
      </c>
      <c r="F97" s="140" t="str">
        <f>"Q"&amp;ROUNDUP(MONTH(E97)/3,0)&amp;" "&amp;YEAR(E97)</f>
        <v>Q1 2022</v>
      </c>
      <c r="G97" s="141">
        <f>'CF (Funds)'!E53</f>
        <v>-3.4074999999999998</v>
      </c>
      <c r="H97" s="141">
        <f>'CF (Funds)'!F53</f>
        <v>0</v>
      </c>
    </row>
    <row r="98" spans="3:8" x14ac:dyDescent="0.2">
      <c r="C98" s="138" t="str">
        <f>'CF (Funds)'!C54</f>
        <v>Acies Investments Fund I, L.P.</v>
      </c>
      <c r="D98" s="139" t="s">
        <v>52</v>
      </c>
      <c r="E98" s="208">
        <f>'CF (Funds)'!D54</f>
        <v>44683</v>
      </c>
      <c r="F98" s="140" t="str">
        <f>"Q"&amp;ROUNDUP(MONTH(E98)/3,0)&amp;" "&amp;YEAR(E98)</f>
        <v>Q2 2022</v>
      </c>
      <c r="G98" s="141">
        <f>'CF (Funds)'!E54</f>
        <v>-1.0257749999999999</v>
      </c>
      <c r="H98" s="141">
        <f>'CF (Funds)'!F54</f>
        <v>0</v>
      </c>
    </row>
    <row r="99" spans="3:8" x14ac:dyDescent="0.2">
      <c r="C99" s="138" t="str">
        <f>'CF (Funds)'!C55</f>
        <v>Acies Investments Fund I, L.P.</v>
      </c>
      <c r="D99" s="139" t="s">
        <v>52</v>
      </c>
      <c r="E99" s="208">
        <f>'CF (Funds)'!D55</f>
        <v>44707</v>
      </c>
      <c r="F99" s="140" t="str">
        <f t="shared" ref="F99" si="59">"Q"&amp;ROUNDUP(MONTH(E99)/3,0)&amp;" "&amp;YEAR(E99)</f>
        <v>Q2 2022</v>
      </c>
      <c r="G99" s="141">
        <f>'CF (Funds)'!E55</f>
        <v>-3.3882749999999997</v>
      </c>
      <c r="H99" s="141">
        <f>'CF (Funds)'!F55</f>
        <v>0</v>
      </c>
    </row>
    <row r="100" spans="3:8" x14ac:dyDescent="0.2">
      <c r="C100" s="138" t="str">
        <f>'CF (Funds)'!C56</f>
        <v>Acies Investments Fund I, L.P.</v>
      </c>
      <c r="D100" s="139" t="s">
        <v>52</v>
      </c>
      <c r="E100" s="208">
        <f>'CF (Funds)'!D56</f>
        <v>44875</v>
      </c>
      <c r="F100" s="140" t="str">
        <f t="shared" ref="F100" si="60">"Q"&amp;ROUNDUP(MONTH(E100)/3,0)&amp;" "&amp;YEAR(E100)</f>
        <v>Q4 2022</v>
      </c>
      <c r="G100" s="141">
        <f>'CF (Funds)'!E56</f>
        <v>-3.3882749999999997</v>
      </c>
      <c r="H100" s="141">
        <f>'CF (Funds)'!F56</f>
        <v>0</v>
      </c>
    </row>
    <row r="101" spans="3:8" x14ac:dyDescent="0.2">
      <c r="E101" s="210"/>
    </row>
    <row r="102" spans="3:8" x14ac:dyDescent="0.2">
      <c r="E102" s="210"/>
    </row>
    <row r="103" spans="3:8" x14ac:dyDescent="0.2">
      <c r="E103" s="210"/>
    </row>
    <row r="104" spans="3:8" x14ac:dyDescent="0.2">
      <c r="E104" s="210"/>
    </row>
    <row r="105" spans="3:8" x14ac:dyDescent="0.2">
      <c r="E105" s="210"/>
    </row>
    <row r="106" spans="3:8" x14ac:dyDescent="0.2">
      <c r="E106" s="210"/>
    </row>
    <row r="107" spans="3:8" x14ac:dyDescent="0.2">
      <c r="E107" s="210"/>
    </row>
    <row r="108" spans="3:8" x14ac:dyDescent="0.2">
      <c r="E108" s="210"/>
    </row>
    <row r="109" spans="3:8" x14ac:dyDescent="0.2">
      <c r="E109" s="210"/>
    </row>
    <row r="110" spans="3:8" x14ac:dyDescent="0.2">
      <c r="E110" s="210"/>
    </row>
    <row r="111" spans="3:8" x14ac:dyDescent="0.2">
      <c r="E111" s="210"/>
    </row>
    <row r="112" spans="3:8" x14ac:dyDescent="0.2">
      <c r="E112" s="210"/>
    </row>
    <row r="113" spans="5:5" x14ac:dyDescent="0.2">
      <c r="E113" s="210"/>
    </row>
    <row r="114" spans="5:5" x14ac:dyDescent="0.2">
      <c r="E114" s="210"/>
    </row>
    <row r="115" spans="5:5" x14ac:dyDescent="0.2">
      <c r="E115" s="210"/>
    </row>
    <row r="116" spans="5:5" x14ac:dyDescent="0.2">
      <c r="E116" s="210"/>
    </row>
    <row r="117" spans="5:5" x14ac:dyDescent="0.2">
      <c r="E117" s="210"/>
    </row>
    <row r="118" spans="5:5" x14ac:dyDescent="0.2">
      <c r="E118" s="210"/>
    </row>
    <row r="119" spans="5:5" x14ac:dyDescent="0.2">
      <c r="E119" s="210"/>
    </row>
    <row r="120" spans="5:5" x14ac:dyDescent="0.2">
      <c r="E120" s="210"/>
    </row>
    <row r="121" spans="5:5" x14ac:dyDescent="0.2">
      <c r="E121" s="210"/>
    </row>
    <row r="122" spans="5:5" x14ac:dyDescent="0.2">
      <c r="E122" s="210"/>
    </row>
    <row r="123" spans="5:5" x14ac:dyDescent="0.2">
      <c r="E123" s="210"/>
    </row>
    <row r="124" spans="5:5" x14ac:dyDescent="0.2">
      <c r="E124" s="210"/>
    </row>
    <row r="125" spans="5:5" x14ac:dyDescent="0.2">
      <c r="E125" s="210"/>
    </row>
    <row r="126" spans="5:5" x14ac:dyDescent="0.2">
      <c r="E126" s="210"/>
    </row>
    <row r="127" spans="5:5" x14ac:dyDescent="0.2">
      <c r="E127" s="210"/>
    </row>
    <row r="128" spans="5:5" x14ac:dyDescent="0.2">
      <c r="E128" s="210"/>
    </row>
    <row r="129" spans="5:5" x14ac:dyDescent="0.2">
      <c r="E129" s="210"/>
    </row>
    <row r="130" spans="5:5" x14ac:dyDescent="0.2">
      <c r="E130" s="210"/>
    </row>
    <row r="131" spans="5:5" x14ac:dyDescent="0.2">
      <c r="E131" s="210"/>
    </row>
    <row r="132" spans="5:5" x14ac:dyDescent="0.2">
      <c r="E132" s="210"/>
    </row>
    <row r="133" spans="5:5" x14ac:dyDescent="0.2">
      <c r="E133" s="210"/>
    </row>
    <row r="134" spans="5:5" x14ac:dyDescent="0.2">
      <c r="E134" s="210"/>
    </row>
    <row r="135" spans="5:5" x14ac:dyDescent="0.2">
      <c r="E135" s="210"/>
    </row>
    <row r="136" spans="5:5" x14ac:dyDescent="0.2">
      <c r="E136" s="210"/>
    </row>
    <row r="137" spans="5:5" x14ac:dyDescent="0.2">
      <c r="E137" s="210"/>
    </row>
    <row r="138" spans="5:5" x14ac:dyDescent="0.2">
      <c r="E138" s="210"/>
    </row>
    <row r="139" spans="5:5" x14ac:dyDescent="0.2">
      <c r="E139" s="210"/>
    </row>
    <row r="140" spans="5:5" x14ac:dyDescent="0.2">
      <c r="E140" s="210"/>
    </row>
    <row r="141" spans="5:5" x14ac:dyDescent="0.2">
      <c r="E141" s="210"/>
    </row>
    <row r="142" spans="5:5" x14ac:dyDescent="0.2">
      <c r="E142" s="210"/>
    </row>
    <row r="143" spans="5:5" x14ac:dyDescent="0.2">
      <c r="E143" s="210"/>
    </row>
    <row r="144" spans="5:5" x14ac:dyDescent="0.2">
      <c r="E144" s="210"/>
    </row>
    <row r="145" spans="5:5" x14ac:dyDescent="0.2">
      <c r="E145" s="210"/>
    </row>
    <row r="146" spans="5:5" x14ac:dyDescent="0.2">
      <c r="E146" s="210"/>
    </row>
    <row r="147" spans="5:5" x14ac:dyDescent="0.2">
      <c r="E147" s="210"/>
    </row>
    <row r="148" spans="5:5" x14ac:dyDescent="0.2">
      <c r="E148" s="210"/>
    </row>
    <row r="149" spans="5:5" x14ac:dyDescent="0.2">
      <c r="E149" s="210"/>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theme="7" tint="0.39997558519241921"/>
  </sheetPr>
  <dimension ref="A1:W53"/>
  <sheetViews>
    <sheetView zoomScale="80" zoomScaleNormal="80" workbookViewId="0">
      <selection activeCell="I30" sqref="I30"/>
    </sheetView>
  </sheetViews>
  <sheetFormatPr defaultColWidth="9.140625" defaultRowHeight="15" x14ac:dyDescent="0.25"/>
  <cols>
    <col min="1" max="1" width="4.140625" style="26" customWidth="1"/>
    <col min="2" max="2" width="59.28515625" style="26" bestFit="1" customWidth="1"/>
    <col min="3" max="17" width="15.42578125" style="26" customWidth="1"/>
    <col min="18" max="18" width="9.140625" style="26"/>
    <col min="19" max="19" width="2.42578125" style="26" customWidth="1"/>
    <col min="20" max="20" width="22.42578125" style="26" customWidth="1"/>
    <col min="21" max="21" width="25.5703125" style="27" customWidth="1"/>
    <col min="22" max="22" width="32.140625" style="27" bestFit="1" customWidth="1"/>
    <col min="23" max="23" width="2" style="26" customWidth="1"/>
    <col min="24" max="16384" width="9.140625" style="26"/>
  </cols>
  <sheetData>
    <row r="1" spans="2:23" ht="15.75" thickBot="1" x14ac:dyDescent="0.3">
      <c r="D1" s="27"/>
      <c r="E1" s="27"/>
      <c r="F1" s="27"/>
      <c r="G1" s="27"/>
      <c r="H1" s="27"/>
      <c r="I1" s="27"/>
      <c r="J1" s="27"/>
      <c r="K1" s="27"/>
      <c r="L1" s="27"/>
      <c r="M1" s="27"/>
      <c r="N1" s="27"/>
      <c r="O1" s="27"/>
      <c r="P1" s="27"/>
      <c r="Q1" s="27"/>
    </row>
    <row r="2" spans="2:23" x14ac:dyDescent="0.25">
      <c r="B2" s="35" t="s">
        <v>484</v>
      </c>
      <c r="C2" s="193">
        <v>44442</v>
      </c>
      <c r="E2" s="193">
        <v>44623</v>
      </c>
      <c r="F2" s="193">
        <v>44784</v>
      </c>
      <c r="G2" s="193">
        <v>44956</v>
      </c>
      <c r="H2" s="27"/>
      <c r="I2" s="27"/>
      <c r="J2" s="27"/>
      <c r="K2" s="27"/>
      <c r="L2" s="27"/>
      <c r="M2" s="27"/>
      <c r="N2" s="27"/>
      <c r="O2" s="27"/>
      <c r="P2" s="27"/>
      <c r="Q2" s="27"/>
      <c r="S2" s="337"/>
      <c r="T2" s="338"/>
      <c r="U2" s="339"/>
      <c r="V2" s="339"/>
      <c r="W2" s="340"/>
    </row>
    <row r="3" spans="2:23" x14ac:dyDescent="0.25">
      <c r="C3" s="27"/>
      <c r="D3" s="27"/>
      <c r="E3" s="27"/>
      <c r="F3" s="27"/>
      <c r="G3" s="27"/>
      <c r="H3" s="27"/>
      <c r="I3" s="27"/>
      <c r="J3" s="27"/>
      <c r="K3" s="27"/>
      <c r="L3" s="27"/>
      <c r="M3" s="27"/>
      <c r="N3" s="27"/>
      <c r="O3" s="27"/>
      <c r="P3" s="27"/>
      <c r="Q3" s="27"/>
      <c r="S3" s="341"/>
      <c r="T3" s="342" t="s">
        <v>342</v>
      </c>
      <c r="U3" s="343"/>
      <c r="V3" s="343"/>
      <c r="W3" s="344"/>
    </row>
    <row r="4" spans="2:23" x14ac:dyDescent="0.25">
      <c r="C4" s="27"/>
      <c r="D4" s="27"/>
      <c r="E4" s="27"/>
      <c r="F4" s="27"/>
      <c r="G4" s="27"/>
      <c r="H4" s="27"/>
      <c r="I4" s="27"/>
      <c r="J4" s="27"/>
      <c r="K4" s="27"/>
      <c r="L4" s="27"/>
      <c r="M4" s="27"/>
      <c r="N4" s="27"/>
      <c r="O4" s="27"/>
      <c r="P4" s="27" t="s">
        <v>703</v>
      </c>
      <c r="Q4" s="27"/>
      <c r="S4" s="341"/>
      <c r="T4" s="342"/>
      <c r="U4" s="343"/>
      <c r="V4" s="343"/>
      <c r="W4" s="344"/>
    </row>
    <row r="5" spans="2:23" x14ac:dyDescent="0.25">
      <c r="B5" s="413" t="s">
        <v>133</v>
      </c>
      <c r="C5" s="414" t="s">
        <v>486</v>
      </c>
      <c r="D5" s="414" t="s">
        <v>487</v>
      </c>
      <c r="E5" s="414" t="s">
        <v>488</v>
      </c>
      <c r="F5" s="414"/>
      <c r="G5" s="414" t="s">
        <v>489</v>
      </c>
      <c r="H5" s="414" t="s">
        <v>474</v>
      </c>
      <c r="I5" s="414" t="s">
        <v>476</v>
      </c>
      <c r="J5" s="414" t="s">
        <v>477</v>
      </c>
      <c r="K5" s="414" t="s">
        <v>478</v>
      </c>
      <c r="L5" s="414" t="s">
        <v>634</v>
      </c>
      <c r="M5" s="414" t="s">
        <v>703</v>
      </c>
      <c r="N5" s="414" t="s">
        <v>704</v>
      </c>
      <c r="O5" s="414"/>
      <c r="P5" s="414" t="s">
        <v>695</v>
      </c>
      <c r="Q5" s="414"/>
      <c r="S5" s="341"/>
      <c r="T5" s="579" t="s">
        <v>51</v>
      </c>
      <c r="U5" s="580" t="s">
        <v>118</v>
      </c>
      <c r="V5" s="580" t="s">
        <v>340</v>
      </c>
      <c r="W5" s="344"/>
    </row>
    <row r="6" spans="2:23" x14ac:dyDescent="0.25">
      <c r="B6" s="26" t="s">
        <v>483</v>
      </c>
      <c r="C6" s="415">
        <v>44442</v>
      </c>
      <c r="D6" s="416">
        <v>44512</v>
      </c>
      <c r="E6" s="415">
        <v>44623</v>
      </c>
      <c r="F6" s="415"/>
      <c r="G6" s="415">
        <v>44950</v>
      </c>
      <c r="H6" s="415">
        <v>45007</v>
      </c>
      <c r="I6" s="415">
        <v>45170</v>
      </c>
      <c r="J6" s="415">
        <v>45260</v>
      </c>
      <c r="K6" s="415">
        <v>45306</v>
      </c>
      <c r="L6" s="415">
        <v>45356</v>
      </c>
      <c r="M6" s="415"/>
      <c r="N6" s="415">
        <v>45491</v>
      </c>
      <c r="O6" s="415"/>
      <c r="P6" s="415">
        <v>45454</v>
      </c>
      <c r="Q6" s="415"/>
      <c r="S6" s="341"/>
      <c r="T6" s="345" t="s">
        <v>25</v>
      </c>
      <c r="U6" s="346" t="s">
        <v>78</v>
      </c>
      <c r="V6" s="346" t="s">
        <v>78</v>
      </c>
      <c r="W6" s="344"/>
    </row>
    <row r="7" spans="2:23" x14ac:dyDescent="0.25">
      <c r="B7" s="35" t="s">
        <v>475</v>
      </c>
      <c r="C7" s="292">
        <v>19015957.27</v>
      </c>
      <c r="D7" s="292">
        <v>23513942</v>
      </c>
      <c r="E7" s="292">
        <v>23513942</v>
      </c>
      <c r="F7" s="292"/>
      <c r="G7" s="292">
        <v>23234461.870000001</v>
      </c>
      <c r="H7" s="292">
        <v>23234461.870000001</v>
      </c>
      <c r="I7" s="292">
        <v>23234461.870000001</v>
      </c>
      <c r="J7" s="292">
        <v>23234461.870000001</v>
      </c>
      <c r="K7" s="292">
        <v>23234461.870000001</v>
      </c>
      <c r="L7" s="292">
        <v>23234461.870000001</v>
      </c>
      <c r="M7" s="292">
        <v>23234461.870000001</v>
      </c>
      <c r="N7" s="292">
        <v>23234461.870000001</v>
      </c>
      <c r="O7" s="292"/>
      <c r="P7" s="292">
        <v>23234461.870000001</v>
      </c>
      <c r="Q7" s="292"/>
      <c r="S7" s="341"/>
      <c r="T7" s="336" t="s">
        <v>31</v>
      </c>
      <c r="U7" s="343" t="s">
        <v>11</v>
      </c>
      <c r="V7" s="347" t="s">
        <v>11</v>
      </c>
      <c r="W7" s="344"/>
    </row>
    <row r="8" spans="2:23" x14ac:dyDescent="0.25">
      <c r="B8" s="26" t="s">
        <v>485</v>
      </c>
      <c r="C8" s="292">
        <v>19226989.09</v>
      </c>
      <c r="D8" s="292">
        <v>19415305.100000001</v>
      </c>
      <c r="E8" s="292">
        <v>19365157.890000001</v>
      </c>
      <c r="F8" s="292"/>
      <c r="G8" s="292"/>
      <c r="H8" s="27"/>
      <c r="I8" s="292">
        <v>9566817.3300000001</v>
      </c>
      <c r="J8" s="292">
        <f>I8+I18</f>
        <v>9834193.4100000001</v>
      </c>
      <c r="K8" s="292">
        <f>J8+J18</f>
        <v>10093474.140000001</v>
      </c>
      <c r="L8" s="292">
        <f>K8+K18</f>
        <v>12297370.790000001</v>
      </c>
      <c r="M8" s="292">
        <f>L8+L18</f>
        <v>12498073.250000002</v>
      </c>
      <c r="N8" s="595">
        <v>12128944.09</v>
      </c>
      <c r="O8" s="292"/>
      <c r="P8" s="292">
        <f>P7-P9</f>
        <v>12498073.250000002</v>
      </c>
      <c r="Q8" s="292"/>
      <c r="S8" s="341"/>
      <c r="T8" s="336" t="s">
        <v>338</v>
      </c>
      <c r="U8" s="343">
        <v>2020</v>
      </c>
      <c r="V8" s="347">
        <v>2020</v>
      </c>
      <c r="W8" s="344"/>
    </row>
    <row r="9" spans="2:23" x14ac:dyDescent="0.25">
      <c r="B9" s="26" t="s">
        <v>490</v>
      </c>
      <c r="C9" s="292"/>
      <c r="D9" s="292">
        <v>4098636.9</v>
      </c>
      <c r="E9" s="292">
        <v>4148784.11</v>
      </c>
      <c r="F9" s="292"/>
      <c r="G9" s="292">
        <v>15865093.23</v>
      </c>
      <c r="H9" s="292">
        <v>15675627.199999999</v>
      </c>
      <c r="I9" s="292">
        <f t="shared" ref="I9:N9" si="0">I7-I8</f>
        <v>13667644.540000001</v>
      </c>
      <c r="J9" s="292">
        <f t="shared" si="0"/>
        <v>13400268.460000001</v>
      </c>
      <c r="K9" s="292">
        <f t="shared" si="0"/>
        <v>13140987.73</v>
      </c>
      <c r="L9" s="292">
        <f t="shared" si="0"/>
        <v>10937091.08</v>
      </c>
      <c r="M9" s="292">
        <f t="shared" si="0"/>
        <v>10736388.619999999</v>
      </c>
      <c r="N9" s="292">
        <f t="shared" si="0"/>
        <v>11105517.780000001</v>
      </c>
      <c r="O9" s="292"/>
      <c r="P9" s="292">
        <f>L22</f>
        <v>10736388.619999999</v>
      </c>
      <c r="Q9" s="292"/>
      <c r="S9" s="341"/>
      <c r="T9" s="336" t="s">
        <v>36</v>
      </c>
      <c r="U9" s="343" t="s">
        <v>54</v>
      </c>
      <c r="V9" s="347" t="s">
        <v>339</v>
      </c>
      <c r="W9" s="344"/>
    </row>
    <row r="10" spans="2:23" x14ac:dyDescent="0.25">
      <c r="B10" s="26" t="s">
        <v>479</v>
      </c>
      <c r="C10" s="292"/>
      <c r="D10" s="292"/>
      <c r="E10" s="292"/>
      <c r="F10" s="292"/>
      <c r="G10" s="292">
        <v>-12659067.07</v>
      </c>
      <c r="H10" s="27"/>
      <c r="I10" s="292"/>
      <c r="J10" s="292"/>
      <c r="K10" s="292"/>
      <c r="L10" s="292"/>
      <c r="M10" s="292"/>
      <c r="N10" s="292"/>
      <c r="O10" s="292"/>
      <c r="S10" s="341"/>
      <c r="T10" s="336" t="s">
        <v>53</v>
      </c>
      <c r="U10" s="343" t="s">
        <v>124</v>
      </c>
      <c r="V10" s="347" t="s">
        <v>124</v>
      </c>
      <c r="W10" s="344"/>
    </row>
    <row r="11" spans="2:23" x14ac:dyDescent="0.25">
      <c r="B11" s="26" t="s">
        <v>158</v>
      </c>
      <c r="C11" s="292"/>
      <c r="D11" s="292"/>
      <c r="E11" s="292"/>
      <c r="F11" s="292"/>
      <c r="G11" s="292"/>
      <c r="H11" s="292">
        <v>-2067567.04</v>
      </c>
      <c r="I11" s="292"/>
      <c r="J11" s="292"/>
      <c r="K11" s="292"/>
      <c r="L11" s="292"/>
      <c r="M11" s="292"/>
      <c r="N11" s="292"/>
      <c r="O11" s="292"/>
      <c r="P11" s="292"/>
      <c r="Q11" s="292"/>
      <c r="S11" s="341"/>
      <c r="T11" s="336" t="s">
        <v>32</v>
      </c>
      <c r="U11" s="348">
        <v>27.691912952877303</v>
      </c>
      <c r="V11" s="349">
        <v>2.7058823529411762</v>
      </c>
      <c r="W11" s="344"/>
    </row>
    <row r="12" spans="2:23" x14ac:dyDescent="0.25">
      <c r="B12" s="26" t="s">
        <v>480</v>
      </c>
      <c r="C12" s="292"/>
      <c r="D12" s="292"/>
      <c r="E12" s="292"/>
      <c r="F12" s="292"/>
      <c r="G12" s="292"/>
      <c r="H12" s="292">
        <v>13608060.16</v>
      </c>
      <c r="I12" s="27"/>
      <c r="J12" s="27"/>
      <c r="K12" s="27"/>
      <c r="L12" s="27"/>
      <c r="M12" s="27"/>
      <c r="N12" s="27"/>
      <c r="O12" s="27"/>
      <c r="P12" s="27"/>
      <c r="Q12" s="27"/>
      <c r="S12" s="341"/>
      <c r="T12" s="336" t="s">
        <v>2</v>
      </c>
      <c r="U12" s="348">
        <v>11.058034651530003</v>
      </c>
      <c r="V12" s="349">
        <v>2.7058823529411762</v>
      </c>
      <c r="W12" s="344"/>
    </row>
    <row r="13" spans="2:23" x14ac:dyDescent="0.25">
      <c r="C13" s="292"/>
      <c r="D13" s="292"/>
      <c r="E13" s="292"/>
      <c r="F13" s="292"/>
      <c r="G13" s="292"/>
      <c r="H13" s="292"/>
      <c r="I13" s="27"/>
      <c r="J13" s="27"/>
      <c r="K13" s="27"/>
      <c r="L13" s="27"/>
      <c r="M13" s="27"/>
      <c r="N13" s="27"/>
      <c r="O13" s="27"/>
      <c r="P13" s="27"/>
      <c r="Q13" s="27"/>
      <c r="S13" s="341"/>
      <c r="T13" s="336" t="s">
        <v>50</v>
      </c>
      <c r="U13" s="348">
        <v>16.633878301347298</v>
      </c>
      <c r="V13" s="349">
        <v>0</v>
      </c>
      <c r="W13" s="344"/>
    </row>
    <row r="14" spans="2:23" x14ac:dyDescent="0.25">
      <c r="S14" s="341"/>
      <c r="T14" s="336" t="s">
        <v>33</v>
      </c>
      <c r="U14" s="348">
        <v>2.9557743514082002</v>
      </c>
      <c r="V14" s="349">
        <v>0</v>
      </c>
      <c r="W14" s="344"/>
    </row>
    <row r="15" spans="2:23" x14ac:dyDescent="0.25">
      <c r="B15" s="26" t="s">
        <v>696</v>
      </c>
      <c r="P15" s="292">
        <v>-358796.4</v>
      </c>
      <c r="Q15" s="292"/>
      <c r="S15" s="341"/>
      <c r="T15" s="336" t="s">
        <v>27</v>
      </c>
      <c r="U15" s="348">
        <f>NAV!E40</f>
        <v>19.274963442142997</v>
      </c>
      <c r="V15" s="349">
        <f>V12*U15/U12</f>
        <v>4.7165509130019512</v>
      </c>
      <c r="W15" s="344"/>
    </row>
    <row r="16" spans="2:23" x14ac:dyDescent="0.25">
      <c r="B16" s="26" t="s">
        <v>697</v>
      </c>
      <c r="P16" s="292">
        <v>-10332.76</v>
      </c>
      <c r="Q16" s="292"/>
      <c r="S16" s="341"/>
      <c r="T16" s="336" t="s">
        <v>187</v>
      </c>
      <c r="U16" s="348">
        <f>U15+U14-U12</f>
        <v>11.172703142021197</v>
      </c>
      <c r="V16" s="349">
        <f>V15+V14-V12</f>
        <v>2.010668560060775</v>
      </c>
      <c r="W16" s="344"/>
    </row>
    <row r="17" spans="2:23" x14ac:dyDescent="0.25">
      <c r="B17" s="26" t="s">
        <v>698</v>
      </c>
      <c r="C17" s="292"/>
      <c r="D17" s="292"/>
      <c r="E17" s="292"/>
      <c r="F17" s="292"/>
      <c r="G17" s="292"/>
      <c r="H17" s="292"/>
      <c r="I17" s="27"/>
      <c r="J17" s="27"/>
      <c r="K17" s="27"/>
      <c r="L17" s="27"/>
      <c r="M17" s="27"/>
      <c r="N17" s="27"/>
      <c r="O17" s="27"/>
      <c r="P17" s="292">
        <v>-62495.83</v>
      </c>
      <c r="Q17" s="292"/>
      <c r="S17" s="341"/>
      <c r="T17" s="336" t="s">
        <v>55</v>
      </c>
      <c r="U17" s="350">
        <f>(U14+U15)/U12</f>
        <v>2.0103696989659303</v>
      </c>
      <c r="V17" s="350">
        <f>(V14+V15)/V12</f>
        <v>1.7430731635007213</v>
      </c>
      <c r="W17" s="344"/>
    </row>
    <row r="18" spans="2:23" x14ac:dyDescent="0.25">
      <c r="B18" s="26" t="s">
        <v>93</v>
      </c>
      <c r="C18" s="27"/>
      <c r="D18" s="27"/>
      <c r="E18" s="27"/>
      <c r="F18" s="27"/>
      <c r="G18" s="292">
        <f>G9-G22</f>
        <v>189466.01999999955</v>
      </c>
      <c r="H18" s="292">
        <f>H12-H22</f>
        <v>-59584.379999998957</v>
      </c>
      <c r="I18" s="292">
        <v>267376.08000000007</v>
      </c>
      <c r="J18" s="292">
        <v>259280.73000000045</v>
      </c>
      <c r="K18" s="292">
        <v>2203896.6500000004</v>
      </c>
      <c r="L18" s="292">
        <v>200702.46</v>
      </c>
      <c r="M18" s="292"/>
      <c r="N18" s="292">
        <v>1578048.66</v>
      </c>
      <c r="O18" s="292"/>
      <c r="P18" s="292"/>
      <c r="Q18" s="292"/>
      <c r="S18" s="81"/>
      <c r="T18" s="342"/>
      <c r="U18" s="343"/>
      <c r="V18" s="343"/>
      <c r="W18" s="82"/>
    </row>
    <row r="19" spans="2:23" x14ac:dyDescent="0.25">
      <c r="B19" s="26" t="s">
        <v>162</v>
      </c>
      <c r="C19" s="27"/>
      <c r="D19" s="27"/>
      <c r="E19" s="27"/>
      <c r="F19" s="27"/>
      <c r="G19" s="292">
        <f>-G20+G18</f>
        <v>12659067.039999999</v>
      </c>
      <c r="H19" s="292">
        <f>-H20+H18</f>
        <v>1.0404619388282299E-9</v>
      </c>
      <c r="I19" s="292">
        <v>59584.380000000063</v>
      </c>
      <c r="J19" s="292"/>
      <c r="K19" s="292"/>
      <c r="L19" s="292"/>
      <c r="M19" s="292"/>
      <c r="N19" s="292"/>
      <c r="O19" s="292"/>
      <c r="P19" s="292"/>
      <c r="Q19" s="292"/>
      <c r="S19" s="341"/>
      <c r="T19" s="342" t="s">
        <v>341</v>
      </c>
      <c r="U19" s="343"/>
      <c r="V19" s="343"/>
      <c r="W19" s="344"/>
    </row>
    <row r="20" spans="2:23" x14ac:dyDescent="0.25">
      <c r="B20" s="417" t="s">
        <v>553</v>
      </c>
      <c r="C20" s="418">
        <v>203097.23</v>
      </c>
      <c r="D20" s="418">
        <v>-444437.06</v>
      </c>
      <c r="E20" s="418">
        <v>233275.54</v>
      </c>
      <c r="F20" s="418"/>
      <c r="G20" s="418">
        <v>-12469601.02</v>
      </c>
      <c r="H20" s="418">
        <v>-59584.38</v>
      </c>
      <c r="I20" s="418">
        <f t="shared" ref="I20:K20" si="1">I18-I19</f>
        <v>207791.7</v>
      </c>
      <c r="J20" s="418">
        <f t="shared" si="1"/>
        <v>259280.73000000045</v>
      </c>
      <c r="K20" s="418">
        <f t="shared" si="1"/>
        <v>2203896.6500000004</v>
      </c>
      <c r="L20" s="418">
        <f>L18-L19</f>
        <v>200702.46</v>
      </c>
      <c r="M20" s="418"/>
      <c r="N20" s="418">
        <f>N18-N19</f>
        <v>1578048.66</v>
      </c>
      <c r="O20" s="418"/>
      <c r="P20" s="418">
        <f>SUM(P15:P17)</f>
        <v>-431624.99000000005</v>
      </c>
      <c r="Q20" s="418"/>
      <c r="S20" s="341"/>
      <c r="T20" s="336" t="s">
        <v>344</v>
      </c>
      <c r="U20" s="343"/>
      <c r="V20" s="343"/>
      <c r="W20" s="344"/>
    </row>
    <row r="21" spans="2:23" x14ac:dyDescent="0.25">
      <c r="C21" s="27"/>
      <c r="H21" s="27"/>
      <c r="I21" s="27"/>
      <c r="J21" s="27"/>
      <c r="K21" s="27"/>
      <c r="L21" s="27"/>
      <c r="M21" s="27"/>
      <c r="N21" s="27"/>
      <c r="O21" s="27"/>
      <c r="P21" s="27"/>
      <c r="Q21" s="27"/>
      <c r="S21" s="341"/>
      <c r="T21" s="336" t="s">
        <v>345</v>
      </c>
      <c r="U21" s="343"/>
      <c r="V21" s="343"/>
      <c r="W21" s="344"/>
    </row>
    <row r="22" spans="2:23" ht="15.75" thickBot="1" x14ac:dyDescent="0.3">
      <c r="B22" s="26" t="s">
        <v>481</v>
      </c>
      <c r="C22" s="292">
        <v>0</v>
      </c>
      <c r="D22" s="292">
        <v>4163565.33</v>
      </c>
      <c r="E22" s="292">
        <v>3915508.57</v>
      </c>
      <c r="F22" s="292"/>
      <c r="G22" s="292">
        <v>15675627.210000001</v>
      </c>
      <c r="H22" s="292">
        <v>13667644.539999999</v>
      </c>
      <c r="I22" s="292">
        <v>13400268.460000001</v>
      </c>
      <c r="J22" s="292">
        <f>J9-J20</f>
        <v>13140987.73</v>
      </c>
      <c r="K22" s="292">
        <f>K9-K20</f>
        <v>10937091.08</v>
      </c>
      <c r="L22" s="292">
        <f>L9-L20</f>
        <v>10736388.619999999</v>
      </c>
      <c r="M22" s="292">
        <f>P22</f>
        <v>11105517.779999999</v>
      </c>
      <c r="N22" s="292">
        <f>N9-N20</f>
        <v>9527469.120000001</v>
      </c>
      <c r="O22" s="292"/>
      <c r="P22" s="292">
        <f>P9-P15-P16</f>
        <v>11105517.779999999</v>
      </c>
      <c r="Q22" s="292"/>
      <c r="S22" s="351"/>
      <c r="T22" s="352"/>
      <c r="U22" s="353"/>
      <c r="V22" s="353"/>
      <c r="W22" s="354"/>
    </row>
    <row r="23" spans="2:23" x14ac:dyDescent="0.25">
      <c r="B23" s="26" t="s">
        <v>482</v>
      </c>
      <c r="C23" s="375">
        <v>0</v>
      </c>
      <c r="D23" s="375">
        <v>0.17710000000000001</v>
      </c>
      <c r="E23" s="375">
        <v>0.16650000000000001</v>
      </c>
      <c r="F23" s="375"/>
      <c r="G23" s="375">
        <v>0.67469999999999997</v>
      </c>
      <c r="H23" s="375">
        <v>0.58819999999999995</v>
      </c>
      <c r="I23" s="375">
        <v>0.57669999999999999</v>
      </c>
      <c r="J23" s="375">
        <v>0.56559999999999999</v>
      </c>
      <c r="K23" s="375">
        <v>0.47070000000000001</v>
      </c>
      <c r="L23" s="375">
        <v>0.46210000000000001</v>
      </c>
      <c r="M23" s="375"/>
      <c r="N23" s="375"/>
      <c r="O23" s="375"/>
      <c r="P23" s="375">
        <v>0.47799999999999998</v>
      </c>
      <c r="Q23" s="375"/>
      <c r="U23" s="26"/>
      <c r="V23" s="26"/>
    </row>
    <row r="24" spans="2:23" x14ac:dyDescent="0.25">
      <c r="B24" s="26" t="s">
        <v>663</v>
      </c>
      <c r="C24" s="27"/>
      <c r="D24" s="27" t="b">
        <f>ROUND(D22/D7,4)=D23</f>
        <v>1</v>
      </c>
      <c r="E24" s="27" t="b">
        <f>ROUND(E22/E7,4)=E23</f>
        <v>1</v>
      </c>
      <c r="F24" s="27"/>
      <c r="G24" s="27" t="b">
        <f t="shared" ref="G24:P24" si="2">ROUND(G22/G7,4)=G23</f>
        <v>1</v>
      </c>
      <c r="H24" s="27" t="b">
        <f t="shared" si="2"/>
        <v>1</v>
      </c>
      <c r="I24" s="27" t="b">
        <f t="shared" si="2"/>
        <v>1</v>
      </c>
      <c r="J24" s="27" t="b">
        <f t="shared" si="2"/>
        <v>1</v>
      </c>
      <c r="K24" s="27" t="b">
        <f t="shared" si="2"/>
        <v>1</v>
      </c>
      <c r="L24" s="27" t="b">
        <f t="shared" si="2"/>
        <v>1</v>
      </c>
      <c r="M24" s="27"/>
      <c r="N24" s="27"/>
      <c r="O24" s="27"/>
      <c r="P24" s="27" t="b">
        <f t="shared" si="2"/>
        <v>1</v>
      </c>
      <c r="Q24" s="27"/>
      <c r="U24" s="26"/>
      <c r="V24" s="26"/>
    </row>
    <row r="25" spans="2:23" x14ac:dyDescent="0.25">
      <c r="B25" s="26" t="s">
        <v>552</v>
      </c>
      <c r="C25" s="27"/>
      <c r="G25" s="26">
        <v>1.0871999999999999</v>
      </c>
      <c r="H25" s="27">
        <v>1.0772999999999999</v>
      </c>
      <c r="I25" s="27">
        <v>1.08439</v>
      </c>
      <c r="J25" s="27">
        <v>1.1004</v>
      </c>
      <c r="K25" s="27">
        <v>1.0950599999999999</v>
      </c>
      <c r="L25" s="27">
        <v>1.0786899999999999</v>
      </c>
      <c r="M25" s="27"/>
      <c r="N25" s="27"/>
      <c r="O25" s="27"/>
      <c r="P25" s="27">
        <v>1.0743</v>
      </c>
      <c r="Q25" s="27"/>
    </row>
    <row r="26" spans="2:23" x14ac:dyDescent="0.25">
      <c r="B26" s="35"/>
      <c r="C26" s="27"/>
      <c r="G26" s="292">
        <f t="shared" ref="G26:P26" si="3">-G25*G20/1000000</f>
        <v>13.556950228943998</v>
      </c>
      <c r="H26" s="292">
        <f t="shared" si="3"/>
        <v>6.419025257399999E-2</v>
      </c>
      <c r="I26" s="292">
        <f t="shared" si="3"/>
        <v>-0.22532724156300002</v>
      </c>
      <c r="J26" s="292">
        <f t="shared" si="3"/>
        <v>-0.28531251529200047</v>
      </c>
      <c r="K26" s="292">
        <f t="shared" si="3"/>
        <v>-2.4133990655490001</v>
      </c>
      <c r="L26" s="292">
        <f t="shared" si="3"/>
        <v>-0.21649573657739998</v>
      </c>
      <c r="M26" s="292"/>
      <c r="N26" s="292"/>
      <c r="O26" s="292"/>
      <c r="P26" s="292">
        <f t="shared" si="3"/>
        <v>0.46369472675700008</v>
      </c>
      <c r="Q26" s="292"/>
    </row>
    <row r="28" spans="2:23" x14ac:dyDescent="0.25">
      <c r="T28" s="265"/>
    </row>
    <row r="29" spans="2:23" x14ac:dyDescent="0.25">
      <c r="T29" s="370"/>
    </row>
    <row r="30" spans="2:23" ht="15.75" thickBot="1" x14ac:dyDescent="0.3">
      <c r="B30" s="26" t="s">
        <v>549</v>
      </c>
      <c r="T30" s="265"/>
    </row>
    <row r="31" spans="2:23" x14ac:dyDescent="0.25">
      <c r="B31" s="287" t="s">
        <v>23</v>
      </c>
      <c r="C31" s="295"/>
      <c r="D31" s="288"/>
      <c r="E31" s="288"/>
      <c r="F31" s="288"/>
      <c r="G31" s="288"/>
      <c r="H31" s="288"/>
      <c r="I31" s="288"/>
      <c r="J31" s="288"/>
      <c r="K31" s="288"/>
      <c r="L31" s="288"/>
      <c r="M31" s="288"/>
      <c r="N31" s="288"/>
      <c r="O31" s="288"/>
      <c r="P31" s="293"/>
      <c r="Q31" s="591"/>
    </row>
    <row r="32" spans="2:23" x14ac:dyDescent="0.25">
      <c r="B32" s="81"/>
      <c r="C32" s="27"/>
      <c r="D32" s="27"/>
      <c r="E32" s="27"/>
      <c r="F32" s="27"/>
      <c r="G32" s="27"/>
      <c r="H32" s="27"/>
      <c r="I32" s="27"/>
      <c r="J32" s="27"/>
      <c r="K32" s="27"/>
      <c r="L32" s="27"/>
      <c r="M32" s="27"/>
      <c r="N32" s="27"/>
      <c r="O32" s="27"/>
      <c r="P32" s="82"/>
    </row>
    <row r="33" spans="2:23" x14ac:dyDescent="0.25">
      <c r="B33" s="361" t="s">
        <v>133</v>
      </c>
      <c r="C33" s="355" t="s">
        <v>326</v>
      </c>
      <c r="D33" s="355" t="s">
        <v>327</v>
      </c>
      <c r="E33" s="355" t="s">
        <v>406</v>
      </c>
      <c r="F33" s="355" t="s">
        <v>443</v>
      </c>
      <c r="G33" s="355" t="s">
        <v>453</v>
      </c>
      <c r="H33" s="355" t="s">
        <v>670</v>
      </c>
      <c r="I33" s="355"/>
      <c r="J33" s="355"/>
      <c r="K33" s="355"/>
      <c r="L33" s="355"/>
      <c r="M33" s="355"/>
      <c r="N33" s="355"/>
      <c r="O33" s="355"/>
      <c r="P33" s="359"/>
      <c r="Q33" s="592"/>
    </row>
    <row r="34" spans="2:23" x14ac:dyDescent="0.25">
      <c r="B34" s="81" t="s">
        <v>328</v>
      </c>
      <c r="C34" s="389">
        <v>23234462</v>
      </c>
      <c r="D34" s="389">
        <v>23234462</v>
      </c>
      <c r="E34" s="389">
        <v>23234462</v>
      </c>
      <c r="F34" s="389">
        <v>23234462</v>
      </c>
      <c r="G34" s="389">
        <v>23234462</v>
      </c>
      <c r="H34" s="389">
        <f>G34</f>
        <v>23234462</v>
      </c>
      <c r="I34" s="389"/>
      <c r="J34" s="389"/>
      <c r="K34" s="389"/>
      <c r="L34" s="389"/>
      <c r="M34" s="389"/>
      <c r="N34" s="389"/>
      <c r="O34" s="389"/>
      <c r="P34" s="359" t="s">
        <v>337</v>
      </c>
      <c r="Q34" s="592"/>
      <c r="U34" s="26"/>
      <c r="V34" s="26"/>
      <c r="W34" s="27"/>
    </row>
    <row r="35" spans="2:23" x14ac:dyDescent="0.25">
      <c r="B35" s="81" t="s">
        <v>329</v>
      </c>
      <c r="C35" s="389">
        <v>19178323</v>
      </c>
      <c r="D35" s="389">
        <v>9436936</v>
      </c>
      <c r="E35" s="389">
        <v>9626402</v>
      </c>
      <c r="F35" s="389">
        <v>9595097</v>
      </c>
      <c r="G35" s="389">
        <v>9834193</v>
      </c>
      <c r="H35" s="389">
        <v>12498073</v>
      </c>
      <c r="I35" s="389"/>
      <c r="J35" s="389"/>
      <c r="K35" s="389"/>
      <c r="L35" s="389"/>
      <c r="M35" s="389"/>
      <c r="N35" s="389"/>
      <c r="O35" s="389"/>
      <c r="P35" s="359"/>
      <c r="Q35" s="592"/>
    </row>
    <row r="36" spans="2:23" x14ac:dyDescent="0.25">
      <c r="B36" s="81" t="s">
        <v>330</v>
      </c>
      <c r="C36" s="390">
        <f t="shared" ref="C36:H36" si="4">C34-C35</f>
        <v>4056139</v>
      </c>
      <c r="D36" s="390">
        <f t="shared" si="4"/>
        <v>13797526</v>
      </c>
      <c r="E36" s="390">
        <f t="shared" si="4"/>
        <v>13608060</v>
      </c>
      <c r="F36" s="390">
        <f t="shared" si="4"/>
        <v>13639365</v>
      </c>
      <c r="G36" s="390">
        <f t="shared" si="4"/>
        <v>13400269</v>
      </c>
      <c r="H36" s="390">
        <f t="shared" si="4"/>
        <v>10736389</v>
      </c>
      <c r="I36" s="390"/>
      <c r="J36" s="390"/>
      <c r="K36" s="390"/>
      <c r="L36" s="390"/>
      <c r="M36" s="390"/>
      <c r="N36" s="390"/>
      <c r="O36" s="390"/>
      <c r="P36" s="359"/>
      <c r="Q36" s="592"/>
    </row>
    <row r="37" spans="2:23" x14ac:dyDescent="0.25">
      <c r="B37" s="81" t="s">
        <v>331</v>
      </c>
      <c r="C37" s="390">
        <v>13103567</v>
      </c>
      <c r="D37" s="390">
        <v>3803379</v>
      </c>
      <c r="E37" s="390"/>
      <c r="F37" s="390"/>
      <c r="G37" s="390">
        <f>G38-G35</f>
        <v>2548651</v>
      </c>
      <c r="H37" s="390">
        <f>H38-H35</f>
        <v>5930326</v>
      </c>
      <c r="I37" s="390"/>
      <c r="J37" s="390"/>
      <c r="K37" s="390"/>
      <c r="L37" s="390"/>
      <c r="M37" s="390"/>
      <c r="N37" s="390"/>
      <c r="O37" s="390"/>
      <c r="P37" s="359"/>
      <c r="Q37" s="592"/>
    </row>
    <row r="38" spans="2:23" x14ac:dyDescent="0.25">
      <c r="B38" s="362" t="s">
        <v>251</v>
      </c>
      <c r="C38" s="391">
        <v>32325017</v>
      </c>
      <c r="D38" s="391">
        <v>12031777</v>
      </c>
      <c r="E38" s="391">
        <v>12148021</v>
      </c>
      <c r="F38" s="391">
        <v>12218930</v>
      </c>
      <c r="G38" s="391">
        <v>12382844</v>
      </c>
      <c r="H38" s="391">
        <v>18428399</v>
      </c>
      <c r="I38" s="391"/>
      <c r="J38" s="391"/>
      <c r="K38" s="391"/>
      <c r="L38" s="391"/>
      <c r="M38" s="390"/>
      <c r="N38" s="390"/>
      <c r="O38" s="390"/>
      <c r="P38" s="359" t="s">
        <v>337</v>
      </c>
      <c r="Q38" s="592"/>
    </row>
    <row r="39" spans="2:23" x14ac:dyDescent="0.25">
      <c r="B39" s="81" t="s">
        <v>332</v>
      </c>
      <c r="C39" s="27"/>
      <c r="D39" s="390">
        <f>C35-D35</f>
        <v>9741387</v>
      </c>
      <c r="E39" s="390"/>
      <c r="F39" s="390"/>
      <c r="G39" s="390"/>
      <c r="H39" s="390"/>
      <c r="I39" s="390"/>
      <c r="J39" s="390"/>
      <c r="K39" s="390"/>
      <c r="L39" s="390"/>
      <c r="M39" s="390"/>
      <c r="N39" s="390"/>
      <c r="O39" s="390"/>
      <c r="P39" s="359" t="s">
        <v>335</v>
      </c>
      <c r="Q39" s="592"/>
    </row>
    <row r="40" spans="2:23" x14ac:dyDescent="0.25">
      <c r="B40" s="81" t="s">
        <v>333</v>
      </c>
      <c r="C40" s="27"/>
      <c r="D40" s="390">
        <f>D42-D39</f>
        <v>2728214.0199999996</v>
      </c>
      <c r="E40" s="390"/>
      <c r="F40" s="390"/>
      <c r="G40" s="390"/>
      <c r="H40" s="390"/>
      <c r="I40" s="390"/>
      <c r="J40" s="390"/>
      <c r="K40" s="390"/>
      <c r="L40" s="390"/>
      <c r="M40" s="390"/>
      <c r="N40" s="390"/>
      <c r="O40" s="390"/>
      <c r="P40" s="359" t="s">
        <v>335</v>
      </c>
      <c r="Q40" s="592"/>
    </row>
    <row r="41" spans="2:23" x14ac:dyDescent="0.25">
      <c r="B41" s="81"/>
      <c r="C41" s="27"/>
      <c r="D41" s="390"/>
      <c r="E41" s="390"/>
      <c r="F41" s="390"/>
      <c r="G41" s="390"/>
      <c r="H41" s="390"/>
      <c r="I41" s="390"/>
      <c r="J41" s="390"/>
      <c r="K41" s="390"/>
      <c r="L41" s="390"/>
      <c r="M41" s="390"/>
      <c r="N41" s="390"/>
      <c r="O41" s="390"/>
      <c r="P41" s="359"/>
      <c r="Q41" s="592"/>
    </row>
    <row r="42" spans="2:23" x14ac:dyDescent="0.25">
      <c r="B42" s="363" t="s">
        <v>334</v>
      </c>
      <c r="C42" s="391"/>
      <c r="D42" s="392">
        <v>12469601.02</v>
      </c>
      <c r="E42" s="392"/>
      <c r="F42" s="392"/>
      <c r="G42" s="392"/>
      <c r="H42" s="392"/>
      <c r="I42" s="392"/>
      <c r="J42" s="392"/>
      <c r="K42" s="392"/>
      <c r="L42" s="392"/>
      <c r="M42" s="389"/>
      <c r="N42" s="389"/>
      <c r="O42" s="389"/>
      <c r="P42" s="359" t="s">
        <v>336</v>
      </c>
      <c r="Q42" s="592"/>
    </row>
    <row r="43" spans="2:23" x14ac:dyDescent="0.25">
      <c r="B43" s="362" t="s">
        <v>50</v>
      </c>
      <c r="C43" s="391"/>
      <c r="D43" s="391">
        <f>15675627.21</f>
        <v>15675627.210000001</v>
      </c>
      <c r="E43" s="391"/>
      <c r="F43" s="391"/>
      <c r="G43" s="391">
        <f>I22</f>
        <v>13400268.460000001</v>
      </c>
      <c r="H43" s="391"/>
      <c r="I43" s="391"/>
      <c r="J43" s="391"/>
      <c r="K43" s="391"/>
      <c r="L43" s="391"/>
      <c r="M43" s="390"/>
      <c r="N43" s="390"/>
      <c r="O43" s="390"/>
      <c r="P43" s="359" t="s">
        <v>337</v>
      </c>
      <c r="Q43" s="592"/>
    </row>
    <row r="44" spans="2:23" x14ac:dyDescent="0.25">
      <c r="B44" s="81"/>
      <c r="C44" s="27"/>
      <c r="D44" s="27"/>
      <c r="E44" s="27"/>
      <c r="F44" s="27"/>
      <c r="G44" s="27"/>
      <c r="H44" s="27"/>
      <c r="I44" s="27"/>
      <c r="J44" s="27"/>
      <c r="K44" s="27"/>
      <c r="L44" s="27"/>
      <c r="M44" s="27"/>
      <c r="N44" s="27"/>
      <c r="O44" s="27"/>
      <c r="P44" s="360"/>
      <c r="Q44" s="593"/>
    </row>
    <row r="45" spans="2:23" ht="15.75" thickBot="1" x14ac:dyDescent="0.3">
      <c r="B45" s="86"/>
      <c r="C45" s="356"/>
      <c r="D45" s="357"/>
      <c r="E45" s="357"/>
      <c r="F45" s="357"/>
      <c r="G45" s="357"/>
      <c r="H45" s="357"/>
      <c r="I45" s="357"/>
      <c r="J45" s="357"/>
      <c r="K45" s="357"/>
      <c r="L45" s="357"/>
      <c r="M45" s="357"/>
      <c r="N45" s="357"/>
      <c r="O45" s="357"/>
      <c r="P45" s="90"/>
    </row>
    <row r="50" spans="1:23" x14ac:dyDescent="0.25">
      <c r="A50" s="27"/>
      <c r="U50" s="26"/>
      <c r="V50" s="26"/>
      <c r="W50" s="27"/>
    </row>
    <row r="51" spans="1:23" x14ac:dyDescent="0.25">
      <c r="B51" s="27"/>
      <c r="C51" s="27"/>
      <c r="D51" s="27"/>
      <c r="E51" s="27"/>
      <c r="U51" s="26"/>
      <c r="V51" s="26"/>
      <c r="W51" s="27"/>
    </row>
    <row r="52" spans="1:23" x14ac:dyDescent="0.25">
      <c r="B52" s="27"/>
      <c r="C52" s="27"/>
      <c r="D52" s="27"/>
      <c r="E52" s="27"/>
      <c r="U52" s="26"/>
      <c r="V52" s="26"/>
      <c r="W52" s="27"/>
    </row>
    <row r="53" spans="1:23" x14ac:dyDescent="0.25">
      <c r="B53" s="27"/>
      <c r="C53" s="27"/>
      <c r="D53" s="27"/>
      <c r="E53" s="27"/>
      <c r="U53" s="26"/>
      <c r="V53" s="26"/>
      <c r="W53" s="27"/>
    </row>
  </sheetData>
  <phoneticPr fontId="81" type="noConversion"/>
  <pageMargins left="0.7" right="0.7" top="0.75" bottom="0.75" header="0.3" footer="0.3"/>
  <pageSetup paperSize="9" orientation="portrait" verticalDpi="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E26" sqref="E26"/>
    </sheetView>
  </sheetViews>
  <sheetFormatPr defaultColWidth="9.140625" defaultRowHeight="12.75" x14ac:dyDescent="0.2"/>
  <cols>
    <col min="1" max="1" width="9.140625" style="58"/>
    <col min="2" max="2" width="22.28515625" style="58" bestFit="1" customWidth="1"/>
    <col min="3" max="3" width="9" style="68" customWidth="1"/>
    <col min="4" max="4" width="9.5703125" style="68" customWidth="1"/>
    <col min="5" max="5" width="22.7109375" style="68" customWidth="1"/>
    <col min="6" max="6" width="21.42578125" style="68" customWidth="1"/>
    <col min="7" max="8" width="16.42578125" style="58" customWidth="1"/>
    <col min="9" max="10" width="14" style="58" customWidth="1"/>
    <col min="11" max="12" width="9.140625" style="58"/>
    <col min="13" max="13" width="19" style="175" customWidth="1"/>
    <col min="14" max="17" width="16.140625" style="58" customWidth="1"/>
    <col min="18" max="16384" width="9.140625" style="58"/>
  </cols>
  <sheetData>
    <row r="2" spans="2:18" ht="15" x14ac:dyDescent="0.25">
      <c r="M2" s="25"/>
    </row>
    <row r="3" spans="2:18" s="170" customFormat="1" ht="29.25" customHeight="1" x14ac:dyDescent="0.25">
      <c r="B3" s="173" t="s">
        <v>5</v>
      </c>
      <c r="C3" s="174" t="s">
        <v>46</v>
      </c>
      <c r="D3" s="174" t="s">
        <v>153</v>
      </c>
      <c r="E3" s="174" t="s">
        <v>141</v>
      </c>
      <c r="F3" s="174" t="s">
        <v>80</v>
      </c>
      <c r="G3" s="174" t="s">
        <v>32</v>
      </c>
      <c r="H3" s="174" t="s">
        <v>2</v>
      </c>
      <c r="I3" s="174" t="s">
        <v>50</v>
      </c>
      <c r="J3" s="174" t="s">
        <v>33</v>
      </c>
      <c r="K3" s="174" t="s">
        <v>27</v>
      </c>
      <c r="M3" s="25"/>
      <c r="N3" s="58"/>
      <c r="O3" s="58"/>
      <c r="P3" s="58"/>
      <c r="Q3" s="58"/>
      <c r="R3" s="58"/>
    </row>
    <row r="4" spans="2:18" ht="15" x14ac:dyDescent="0.25">
      <c r="B4" s="53" t="s">
        <v>47</v>
      </c>
      <c r="C4" s="52">
        <v>2019</v>
      </c>
      <c r="D4" s="52" t="s">
        <v>152</v>
      </c>
      <c r="E4" s="52" t="s">
        <v>203</v>
      </c>
      <c r="F4" s="52" t="s">
        <v>193</v>
      </c>
      <c r="G4" s="172">
        <v>65</v>
      </c>
      <c r="H4" s="172">
        <v>65</v>
      </c>
      <c r="I4" s="172">
        <v>0</v>
      </c>
      <c r="J4" s="172">
        <v>0</v>
      </c>
      <c r="K4" s="172">
        <v>0</v>
      </c>
      <c r="M4" s="25"/>
    </row>
    <row r="5" spans="2:18" x14ac:dyDescent="0.2">
      <c r="B5" s="53" t="s">
        <v>0</v>
      </c>
      <c r="C5" s="52">
        <v>2019</v>
      </c>
      <c r="D5" s="52" t="s">
        <v>152</v>
      </c>
      <c r="E5" s="52" t="s">
        <v>197</v>
      </c>
      <c r="F5" s="52" t="s">
        <v>193</v>
      </c>
      <c r="G5" s="172">
        <v>8</v>
      </c>
      <c r="H5" s="172">
        <v>8</v>
      </c>
      <c r="I5" s="172">
        <v>0</v>
      </c>
      <c r="J5" s="172">
        <v>0</v>
      </c>
      <c r="K5" s="172">
        <v>3.1</v>
      </c>
      <c r="M5" s="52" t="s">
        <v>193</v>
      </c>
      <c r="N5" s="58">
        <f ca="1">SUMIF(F3:K26,$M$5,G3:G26)</f>
        <v>2578.8539820000001</v>
      </c>
    </row>
    <row r="6" spans="2:18" ht="15" x14ac:dyDescent="0.25">
      <c r="B6" s="53" t="s">
        <v>38</v>
      </c>
      <c r="C6" s="52">
        <v>2019</v>
      </c>
      <c r="D6" s="52" t="s">
        <v>152</v>
      </c>
      <c r="E6" s="52" t="s">
        <v>209</v>
      </c>
      <c r="F6" s="52" t="s">
        <v>192</v>
      </c>
      <c r="G6" s="172">
        <v>10</v>
      </c>
      <c r="H6" s="172">
        <v>10</v>
      </c>
      <c r="I6" s="172">
        <v>0</v>
      </c>
      <c r="J6" s="172">
        <v>0</v>
      </c>
      <c r="K6" s="172">
        <v>78.082229999999996</v>
      </c>
      <c r="M6" s="25"/>
    </row>
    <row r="7" spans="2:18" ht="15" x14ac:dyDescent="0.25">
      <c r="B7" s="53" t="s">
        <v>39</v>
      </c>
      <c r="C7" s="52">
        <v>2020</v>
      </c>
      <c r="D7" s="52" t="s">
        <v>152</v>
      </c>
      <c r="E7" s="52" t="s">
        <v>198</v>
      </c>
      <c r="F7" s="52" t="s">
        <v>195</v>
      </c>
      <c r="G7" s="172">
        <v>2.5</v>
      </c>
      <c r="H7" s="172">
        <v>2.5</v>
      </c>
      <c r="I7" s="172">
        <v>0</v>
      </c>
      <c r="J7" s="172">
        <v>5</v>
      </c>
      <c r="K7" s="172">
        <v>0</v>
      </c>
      <c r="M7" s="25"/>
    </row>
    <row r="8" spans="2:18" ht="15" x14ac:dyDescent="0.25">
      <c r="B8" s="53" t="s">
        <v>37</v>
      </c>
      <c r="C8" s="52">
        <v>2020</v>
      </c>
      <c r="D8" s="52" t="s">
        <v>152</v>
      </c>
      <c r="E8" s="52" t="s">
        <v>204</v>
      </c>
      <c r="F8" s="52" t="s">
        <v>192</v>
      </c>
      <c r="G8" s="172">
        <v>90</v>
      </c>
      <c r="H8" s="172">
        <v>90</v>
      </c>
      <c r="I8" s="172">
        <v>0</v>
      </c>
      <c r="J8" s="172">
        <v>0</v>
      </c>
      <c r="K8" s="172">
        <v>91.001540300000002</v>
      </c>
      <c r="M8" s="25"/>
    </row>
    <row r="9" spans="2:18" ht="15" x14ac:dyDescent="0.25">
      <c r="B9" s="53" t="s">
        <v>87</v>
      </c>
      <c r="C9" s="52">
        <v>2020</v>
      </c>
      <c r="D9" s="52" t="s">
        <v>152</v>
      </c>
      <c r="E9" s="52" t="s">
        <v>207</v>
      </c>
      <c r="F9" s="52" t="s">
        <v>196</v>
      </c>
      <c r="G9" s="172">
        <v>141.4702596743665</v>
      </c>
      <c r="H9" s="172">
        <v>141.4702596743665</v>
      </c>
      <c r="I9" s="172">
        <v>0</v>
      </c>
      <c r="J9" s="172">
        <v>0</v>
      </c>
      <c r="K9" s="172">
        <v>149.58080812799997</v>
      </c>
      <c r="M9" s="25"/>
    </row>
    <row r="10" spans="2:18" ht="15" x14ac:dyDescent="0.25">
      <c r="B10" s="53" t="s">
        <v>9</v>
      </c>
      <c r="C10" s="52">
        <v>2020</v>
      </c>
      <c r="D10" s="52" t="s">
        <v>152</v>
      </c>
      <c r="E10" s="52" t="s">
        <v>199</v>
      </c>
      <c r="F10" s="52" t="s">
        <v>193</v>
      </c>
      <c r="G10" s="172">
        <v>60</v>
      </c>
      <c r="H10" s="172">
        <v>60</v>
      </c>
      <c r="I10" s="172">
        <v>0</v>
      </c>
      <c r="J10" s="172">
        <v>0</v>
      </c>
      <c r="K10" s="172">
        <v>136.63999999999999</v>
      </c>
      <c r="M10" s="25"/>
    </row>
    <row r="11" spans="2:18" ht="15" x14ac:dyDescent="0.25">
      <c r="B11" s="53" t="s">
        <v>18</v>
      </c>
      <c r="C11" s="52">
        <v>2021</v>
      </c>
      <c r="D11" s="52" t="s">
        <v>152</v>
      </c>
      <c r="E11" s="52" t="s">
        <v>200</v>
      </c>
      <c r="F11" s="52" t="s">
        <v>195</v>
      </c>
      <c r="G11" s="172">
        <v>20</v>
      </c>
      <c r="H11" s="172">
        <v>20</v>
      </c>
      <c r="I11" s="172">
        <v>0</v>
      </c>
      <c r="J11" s="172">
        <v>0</v>
      </c>
      <c r="K11" s="172">
        <v>20</v>
      </c>
      <c r="M11" s="25"/>
    </row>
    <row r="12" spans="2:18" ht="15" x14ac:dyDescent="0.25">
      <c r="B12" s="53" t="s">
        <v>40</v>
      </c>
      <c r="C12" s="52">
        <v>2021</v>
      </c>
      <c r="D12" s="52" t="s">
        <v>152</v>
      </c>
      <c r="E12" s="52" t="s">
        <v>201</v>
      </c>
      <c r="F12" s="52" t="s">
        <v>192</v>
      </c>
      <c r="G12" s="172">
        <v>40</v>
      </c>
      <c r="H12" s="172">
        <v>40</v>
      </c>
      <c r="I12" s="172">
        <v>0</v>
      </c>
      <c r="J12" s="172">
        <v>0</v>
      </c>
      <c r="K12" s="172">
        <v>39.999983359999995</v>
      </c>
      <c r="M12" s="25"/>
    </row>
    <row r="13" spans="2:18" ht="15" x14ac:dyDescent="0.25">
      <c r="B13" s="53" t="s">
        <v>41</v>
      </c>
      <c r="C13" s="52">
        <v>2021</v>
      </c>
      <c r="D13" s="52" t="s">
        <v>152</v>
      </c>
      <c r="E13" s="52" t="s">
        <v>208</v>
      </c>
      <c r="F13" s="52" t="s">
        <v>192</v>
      </c>
      <c r="G13" s="172">
        <v>3</v>
      </c>
      <c r="H13" s="172">
        <v>3</v>
      </c>
      <c r="I13" s="172">
        <v>0</v>
      </c>
      <c r="J13" s="172">
        <v>0</v>
      </c>
      <c r="K13" s="172">
        <v>3</v>
      </c>
      <c r="M13" s="25"/>
    </row>
    <row r="14" spans="2:18" ht="15" x14ac:dyDescent="0.25">
      <c r="B14" s="53" t="s">
        <v>42</v>
      </c>
      <c r="C14" s="52">
        <v>2021</v>
      </c>
      <c r="D14" s="52" t="s">
        <v>152</v>
      </c>
      <c r="E14" s="52" t="s">
        <v>209</v>
      </c>
      <c r="F14" s="52" t="s">
        <v>196</v>
      </c>
      <c r="G14" s="172">
        <v>5.0278211945578235</v>
      </c>
      <c r="H14" s="172">
        <v>5.0278211945578235</v>
      </c>
      <c r="I14" s="172">
        <v>0</v>
      </c>
      <c r="J14" s="172">
        <v>0</v>
      </c>
      <c r="K14" s="172">
        <v>5.0237201984774336</v>
      </c>
      <c r="M14" s="25"/>
    </row>
    <row r="15" spans="2:18" ht="15" x14ac:dyDescent="0.25">
      <c r="B15" s="53" t="s">
        <v>70</v>
      </c>
      <c r="C15" s="52">
        <v>2022</v>
      </c>
      <c r="D15" s="52" t="s">
        <v>152</v>
      </c>
      <c r="E15" s="52" t="s">
        <v>205</v>
      </c>
      <c r="F15" s="52" t="s">
        <v>193</v>
      </c>
      <c r="G15" s="172">
        <v>493.5</v>
      </c>
      <c r="H15" s="172">
        <v>493.5</v>
      </c>
      <c r="I15" s="172">
        <v>0</v>
      </c>
      <c r="J15" s="172">
        <v>0</v>
      </c>
      <c r="K15" s="172">
        <v>493.5</v>
      </c>
      <c r="M15" s="25"/>
    </row>
    <row r="16" spans="2:18" ht="15" x14ac:dyDescent="0.25">
      <c r="B16" s="53" t="s">
        <v>19</v>
      </c>
      <c r="C16" s="52">
        <v>2022</v>
      </c>
      <c r="D16" s="52" t="s">
        <v>152</v>
      </c>
      <c r="E16" s="52" t="s">
        <v>206</v>
      </c>
      <c r="F16" s="52" t="s">
        <v>194</v>
      </c>
      <c r="G16" s="172">
        <v>300</v>
      </c>
      <c r="H16" s="172">
        <v>300</v>
      </c>
      <c r="I16" s="172">
        <v>0</v>
      </c>
      <c r="J16" s="172">
        <v>0</v>
      </c>
      <c r="K16" s="172">
        <v>300</v>
      </c>
      <c r="M16" s="25"/>
    </row>
    <row r="17" spans="2:13" ht="15" x14ac:dyDescent="0.25">
      <c r="B17" s="53" t="s">
        <v>88</v>
      </c>
      <c r="C17" s="52">
        <v>2022</v>
      </c>
      <c r="D17" s="52" t="s">
        <v>152</v>
      </c>
      <c r="E17" s="52" t="s">
        <v>207</v>
      </c>
      <c r="F17" s="52" t="s">
        <v>192</v>
      </c>
      <c r="G17" s="172">
        <v>25</v>
      </c>
      <c r="H17" s="172">
        <v>12.5</v>
      </c>
      <c r="I17" s="172">
        <v>12.5</v>
      </c>
      <c r="J17" s="172">
        <v>0</v>
      </c>
      <c r="K17" s="172">
        <v>-0.5557849000000008</v>
      </c>
      <c r="M17" s="25"/>
    </row>
    <row r="18" spans="2:13" ht="15" x14ac:dyDescent="0.25">
      <c r="B18" s="53" t="s">
        <v>35</v>
      </c>
      <c r="C18" s="52">
        <v>2022</v>
      </c>
      <c r="D18" s="52" t="s">
        <v>152</v>
      </c>
      <c r="E18" s="52" t="s">
        <v>202</v>
      </c>
      <c r="F18" s="52" t="s">
        <v>193</v>
      </c>
      <c r="G18" s="172">
        <v>1600</v>
      </c>
      <c r="H18" s="172">
        <v>800</v>
      </c>
      <c r="I18" s="172">
        <v>800</v>
      </c>
      <c r="J18" s="172">
        <v>0</v>
      </c>
      <c r="K18" s="172">
        <f>1075.57839098788*0.8</f>
        <v>860.46271279030407</v>
      </c>
      <c r="M18" s="25"/>
    </row>
    <row r="19" spans="2:13" ht="15" x14ac:dyDescent="0.25">
      <c r="B19" s="53" t="s">
        <v>48</v>
      </c>
      <c r="C19" s="52">
        <v>2019</v>
      </c>
      <c r="D19" s="52" t="s">
        <v>43</v>
      </c>
      <c r="E19" s="52" t="s">
        <v>210</v>
      </c>
      <c r="F19" s="52" t="s">
        <v>192</v>
      </c>
      <c r="G19" s="172">
        <v>8</v>
      </c>
      <c r="H19" s="172">
        <v>8</v>
      </c>
      <c r="I19" s="172">
        <v>0</v>
      </c>
      <c r="J19" s="172">
        <v>0</v>
      </c>
      <c r="K19" s="172">
        <v>0</v>
      </c>
      <c r="M19" s="25"/>
    </row>
    <row r="20" spans="2:13" ht="15" x14ac:dyDescent="0.25">
      <c r="B20" s="53" t="s">
        <v>0</v>
      </c>
      <c r="C20" s="52">
        <v>2021</v>
      </c>
      <c r="D20" s="52" t="s">
        <v>43</v>
      </c>
      <c r="E20" s="52" t="s">
        <v>197</v>
      </c>
      <c r="F20" s="52" t="s">
        <v>193</v>
      </c>
      <c r="G20" s="172">
        <v>2.3539819999999998</v>
      </c>
      <c r="H20" s="172">
        <v>2.3539819999999998</v>
      </c>
      <c r="I20" s="172">
        <v>0</v>
      </c>
      <c r="J20" s="172">
        <v>0</v>
      </c>
      <c r="K20" s="172">
        <v>2.3539819999999998</v>
      </c>
      <c r="M20" s="25"/>
    </row>
    <row r="21" spans="2:13" ht="15" x14ac:dyDescent="0.25">
      <c r="B21" s="53" t="s">
        <v>39</v>
      </c>
      <c r="C21" s="52">
        <v>2021</v>
      </c>
      <c r="D21" s="52" t="s">
        <v>43</v>
      </c>
      <c r="E21" s="52" t="s">
        <v>198</v>
      </c>
      <c r="F21" s="52" t="s">
        <v>195</v>
      </c>
      <c r="G21" s="172">
        <v>0.41176499999999999</v>
      </c>
      <c r="H21" s="172">
        <v>0.41176499999999999</v>
      </c>
      <c r="I21" s="172">
        <v>0</v>
      </c>
      <c r="J21" s="172">
        <v>0</v>
      </c>
      <c r="K21" s="172">
        <v>0.45643868219178102</v>
      </c>
      <c r="M21" s="25"/>
    </row>
    <row r="22" spans="2:13" ht="15" x14ac:dyDescent="0.25">
      <c r="B22" s="53" t="s">
        <v>118</v>
      </c>
      <c r="C22" s="52">
        <v>2020</v>
      </c>
      <c r="D22" s="52" t="s">
        <v>52</v>
      </c>
      <c r="E22" s="52" t="s">
        <v>52</v>
      </c>
      <c r="F22" s="52" t="s">
        <v>196</v>
      </c>
      <c r="G22" s="172">
        <v>25.557908058353444</v>
      </c>
      <c r="H22" s="172">
        <v>21.611950741200001</v>
      </c>
      <c r="I22" s="172">
        <v>3.945957317153443</v>
      </c>
      <c r="J22" s="172">
        <v>0</v>
      </c>
      <c r="K22" s="172">
        <v>31.952799285000001</v>
      </c>
      <c r="M22" s="25"/>
    </row>
    <row r="23" spans="2:13" ht="15" x14ac:dyDescent="0.25">
      <c r="B23" s="53" t="s">
        <v>101</v>
      </c>
      <c r="C23" s="52">
        <v>2020</v>
      </c>
      <c r="D23" s="52" t="s">
        <v>52</v>
      </c>
      <c r="E23" s="52" t="s">
        <v>52</v>
      </c>
      <c r="F23" s="52" t="s">
        <v>196</v>
      </c>
      <c r="G23" s="172">
        <v>2.7058823529411762</v>
      </c>
      <c r="H23" s="172">
        <v>2.7058823529411762</v>
      </c>
      <c r="I23" s="172">
        <v>0</v>
      </c>
      <c r="J23" s="172">
        <v>0</v>
      </c>
      <c r="K23" s="172">
        <v>2.7058823529411762</v>
      </c>
      <c r="M23" s="25"/>
    </row>
    <row r="24" spans="2:13" ht="15" x14ac:dyDescent="0.25">
      <c r="B24" s="53" t="s">
        <v>1</v>
      </c>
      <c r="C24" s="52">
        <v>2020</v>
      </c>
      <c r="D24" s="52" t="s">
        <v>52</v>
      </c>
      <c r="E24" s="52" t="s">
        <v>52</v>
      </c>
      <c r="F24" s="52" t="s">
        <v>193</v>
      </c>
      <c r="G24" s="172">
        <v>300</v>
      </c>
      <c r="H24" s="172">
        <v>83.214652999999984</v>
      </c>
      <c r="I24" s="172">
        <v>217.81330800000001</v>
      </c>
      <c r="J24" s="172">
        <v>1.0279609999999999</v>
      </c>
      <c r="K24" s="172">
        <v>79.319999999999993</v>
      </c>
      <c r="M24" s="25"/>
    </row>
    <row r="25" spans="2:13" ht="15" x14ac:dyDescent="0.25">
      <c r="B25" s="53" t="s">
        <v>12</v>
      </c>
      <c r="C25" s="52">
        <v>2020</v>
      </c>
      <c r="D25" s="52" t="s">
        <v>52</v>
      </c>
      <c r="E25" s="52" t="s">
        <v>52</v>
      </c>
      <c r="F25" s="52" t="s">
        <v>193</v>
      </c>
      <c r="G25" s="172">
        <v>50</v>
      </c>
      <c r="H25" s="172">
        <v>16.790246</v>
      </c>
      <c r="I25" s="172">
        <v>33.209754000000004</v>
      </c>
      <c r="J25" s="172">
        <v>0.44382834999999998</v>
      </c>
      <c r="K25" s="172">
        <v>15.875237</v>
      </c>
      <c r="M25" s="25"/>
    </row>
    <row r="26" spans="2:13" ht="15" x14ac:dyDescent="0.25">
      <c r="B26" s="53" t="s">
        <v>164</v>
      </c>
      <c r="C26" s="52">
        <v>2021</v>
      </c>
      <c r="D26" s="52" t="s">
        <v>52</v>
      </c>
      <c r="E26" s="52" t="s">
        <v>52</v>
      </c>
      <c r="F26" s="52" t="s">
        <v>192</v>
      </c>
      <c r="G26" s="172">
        <v>17.112500000000001</v>
      </c>
      <c r="H26" s="172">
        <v>10.6268625</v>
      </c>
      <c r="I26" s="172">
        <v>6.4856375000000011</v>
      </c>
      <c r="J26" s="172">
        <v>0</v>
      </c>
      <c r="K26" s="172">
        <v>10.343446999999999</v>
      </c>
      <c r="M26" s="25"/>
    </row>
    <row r="27" spans="2:13" ht="15" x14ac:dyDescent="0.25">
      <c r="G27" s="171"/>
      <c r="H27" s="171"/>
      <c r="I27" s="171"/>
      <c r="J27" s="171"/>
      <c r="M27" s="25"/>
    </row>
    <row r="28" spans="2:13" ht="15" x14ac:dyDescent="0.25">
      <c r="G28" s="176">
        <f>SUM(G4:G26)</f>
        <v>3269.6401182802188</v>
      </c>
      <c r="H28" s="176">
        <f>SUM(H4:H26)</f>
        <v>2196.7134224630649</v>
      </c>
      <c r="I28" s="176">
        <f>SUM(I4:I26)</f>
        <v>1073.9546568171534</v>
      </c>
      <c r="J28" s="176">
        <f t="shared" ref="J28:K28" si="0">SUM(J4:J26)</f>
        <v>6.4717893499999999</v>
      </c>
      <c r="K28" s="176">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71"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157" t="s">
        <v>188</v>
      </c>
      <c r="D2" s="158"/>
      <c r="E2" s="158"/>
      <c r="F2" s="162"/>
      <c r="G2" s="162"/>
      <c r="H2" s="162"/>
    </row>
    <row r="3" spans="2:16" s="58" customFormat="1" ht="15.75" thickBot="1" x14ac:dyDescent="0.3">
      <c r="C3" s="252"/>
      <c r="D3" s="127" t="s">
        <v>170</v>
      </c>
      <c r="E3" s="253">
        <f>D!D2</f>
        <v>45473</v>
      </c>
      <c r="F3" s="252"/>
      <c r="G3" s="252"/>
      <c r="H3" s="158"/>
      <c r="I3" s="26"/>
      <c r="J3" s="26"/>
    </row>
    <row r="4" spans="2:16" x14ac:dyDescent="0.25">
      <c r="C4" s="159"/>
      <c r="D4" s="160"/>
    </row>
    <row r="5" spans="2:16" ht="15.75" thickBot="1" x14ac:dyDescent="0.3">
      <c r="C5" s="72"/>
    </row>
    <row r="6" spans="2:16" s="80" customFormat="1" x14ac:dyDescent="0.25">
      <c r="B6" s="26"/>
      <c r="C6" s="245"/>
      <c r="D6" s="246"/>
      <c r="E6" s="246"/>
      <c r="F6" s="75"/>
      <c r="G6" s="75"/>
      <c r="H6" s="247"/>
      <c r="I6" s="27"/>
      <c r="J6" s="275"/>
      <c r="K6" s="246"/>
      <c r="L6" s="246"/>
      <c r="M6" s="246"/>
      <c r="N6" s="246"/>
      <c r="O6" s="246"/>
      <c r="P6" s="276"/>
    </row>
    <row r="7" spans="2:16" ht="30" customHeight="1" x14ac:dyDescent="0.25">
      <c r="C7" s="248"/>
      <c r="D7" s="3" t="s">
        <v>51</v>
      </c>
      <c r="E7" s="1" t="s">
        <v>153</v>
      </c>
      <c r="F7" s="1" t="s">
        <v>187</v>
      </c>
      <c r="G7" s="1" t="s">
        <v>307</v>
      </c>
      <c r="H7" s="230"/>
      <c r="J7" s="249"/>
      <c r="K7" s="604" t="s">
        <v>308</v>
      </c>
      <c r="L7" s="604"/>
      <c r="N7" s="604" t="s">
        <v>309</v>
      </c>
      <c r="O7" s="604"/>
      <c r="P7" s="82"/>
    </row>
    <row r="8" spans="2:16" x14ac:dyDescent="0.25">
      <c r="C8" s="248"/>
      <c r="D8" s="4" t="s">
        <v>70</v>
      </c>
      <c r="E8" s="192" t="s">
        <v>152</v>
      </c>
      <c r="F8" s="17">
        <f ca="1">VLOOKUP(D8,'S | 01 '!$C$6:$Q$49,13,0)</f>
        <v>-90.500956199999962</v>
      </c>
      <c r="G8" s="254">
        <v>0</v>
      </c>
      <c r="H8" s="230"/>
      <c r="J8" s="249"/>
      <c r="K8" s="4" t="s">
        <v>47</v>
      </c>
      <c r="L8" s="17">
        <f t="shared" ref="L8:L25" si="0">VLOOKUP(K8,$D$7:$G$33,4,0)</f>
        <v>-65</v>
      </c>
      <c r="N8" s="4" t="s">
        <v>35</v>
      </c>
      <c r="O8" s="17">
        <f t="shared" ref="O8:O15" si="1">VLOOKUP(N8,$D$7:$G$33,4,0)</f>
        <v>0</v>
      </c>
      <c r="P8" s="82"/>
    </row>
    <row r="9" spans="2:16" x14ac:dyDescent="0.25">
      <c r="C9" s="248"/>
      <c r="D9" s="4" t="s">
        <v>47</v>
      </c>
      <c r="E9" s="192" t="s">
        <v>152</v>
      </c>
      <c r="F9" s="17">
        <f ca="1">VLOOKUP(D9,'S | 01 '!$C$6:$Q$49,13,0)</f>
        <v>-65</v>
      </c>
      <c r="G9" s="17">
        <v>-65</v>
      </c>
      <c r="H9" s="230"/>
      <c r="J9" s="249"/>
      <c r="K9" s="4" t="s">
        <v>9</v>
      </c>
      <c r="L9" s="17">
        <f t="shared" si="0"/>
        <v>-39.700000000000003</v>
      </c>
      <c r="N9" s="4" t="s">
        <v>19</v>
      </c>
      <c r="O9" s="17">
        <f t="shared" si="1"/>
        <v>0</v>
      </c>
      <c r="P9" s="82"/>
    </row>
    <row r="10" spans="2:16" x14ac:dyDescent="0.25">
      <c r="C10" s="248"/>
      <c r="D10" s="4" t="s">
        <v>88</v>
      </c>
      <c r="E10" s="192" t="s">
        <v>152</v>
      </c>
      <c r="F10" s="17">
        <f ca="1">VLOOKUP(D10,'S | 01 '!$C$6:$Q$49,13,0)</f>
        <v>-19.945707380000002</v>
      </c>
      <c r="G10" s="254">
        <v>0</v>
      </c>
      <c r="H10" s="230"/>
      <c r="J10" s="249"/>
      <c r="K10" s="4" t="s">
        <v>48</v>
      </c>
      <c r="L10" s="17">
        <f t="shared" si="0"/>
        <v>-8</v>
      </c>
      <c r="N10" s="4" t="s">
        <v>88</v>
      </c>
      <c r="O10" s="17">
        <f t="shared" si="1"/>
        <v>0</v>
      </c>
      <c r="P10" s="82"/>
    </row>
    <row r="11" spans="2:16" x14ac:dyDescent="0.25">
      <c r="C11" s="248"/>
      <c r="D11" s="4" t="s">
        <v>48</v>
      </c>
      <c r="E11" s="192" t="s">
        <v>43</v>
      </c>
      <c r="F11" s="17">
        <f>VLOOKUP(D11,'S | 01 '!$C$6:$Q$49,13,0)</f>
        <v>-8</v>
      </c>
      <c r="G11" s="17">
        <v>-8</v>
      </c>
      <c r="H11" s="230"/>
      <c r="J11" s="249"/>
      <c r="K11" s="4" t="s">
        <v>0</v>
      </c>
      <c r="L11" s="17">
        <f t="shared" si="0"/>
        <v>-6.3</v>
      </c>
      <c r="N11" s="4" t="s">
        <v>347</v>
      </c>
      <c r="O11" s="17">
        <f t="shared" si="1"/>
        <v>0</v>
      </c>
      <c r="P11" s="82"/>
    </row>
    <row r="12" spans="2:16" x14ac:dyDescent="0.25">
      <c r="C12" s="248"/>
      <c r="D12" s="4" t="s">
        <v>0</v>
      </c>
      <c r="E12" s="192" t="s">
        <v>152</v>
      </c>
      <c r="F12" s="17">
        <f ca="1">VLOOKUP(D12,'S | 01 '!$C$6:$Q$49,13,0)</f>
        <v>-8</v>
      </c>
      <c r="G12" s="255">
        <v>-6.3</v>
      </c>
      <c r="H12" s="230"/>
      <c r="J12" s="249"/>
      <c r="K12" s="4" t="s">
        <v>37</v>
      </c>
      <c r="L12" s="17">
        <f t="shared" si="0"/>
        <v>0</v>
      </c>
      <c r="N12" s="4" t="s">
        <v>164</v>
      </c>
      <c r="O12" s="17">
        <f t="shared" si="1"/>
        <v>0</v>
      </c>
      <c r="P12" s="82"/>
    </row>
    <row r="13" spans="2:16" x14ac:dyDescent="0.25">
      <c r="C13" s="248"/>
      <c r="D13" s="4" t="s">
        <v>12</v>
      </c>
      <c r="E13" s="192" t="s">
        <v>52</v>
      </c>
      <c r="F13" s="17">
        <f ca="1">VLOOKUP(D13,'S | 01 '!$C$6:$Q$49,13,0)</f>
        <v>0.44382835000000043</v>
      </c>
      <c r="G13" s="17">
        <v>3.5</v>
      </c>
      <c r="H13" s="230"/>
      <c r="J13" s="249"/>
      <c r="K13" s="4" t="s">
        <v>41</v>
      </c>
      <c r="L13" s="17">
        <f t="shared" si="0"/>
        <v>0</v>
      </c>
      <c r="N13" s="4" t="s">
        <v>118</v>
      </c>
      <c r="O13" s="17">
        <f t="shared" si="1"/>
        <v>1</v>
      </c>
      <c r="P13" s="82"/>
    </row>
    <row r="14" spans="2:16" x14ac:dyDescent="0.25">
      <c r="C14" s="248"/>
      <c r="D14" s="4" t="s">
        <v>164</v>
      </c>
      <c r="E14" s="192" t="s">
        <v>52</v>
      </c>
      <c r="F14" s="17">
        <f ca="1">VLOOKUP(D14,'S | 01 '!$C$6:$Q$49,13,0)</f>
        <v>-3.1399255000000004</v>
      </c>
      <c r="G14" s="17">
        <v>0</v>
      </c>
      <c r="H14" s="230"/>
      <c r="J14" s="249"/>
      <c r="K14" s="4" t="s">
        <v>70</v>
      </c>
      <c r="L14" s="17">
        <f t="shared" si="0"/>
        <v>0</v>
      </c>
      <c r="N14" s="4" t="s">
        <v>12</v>
      </c>
      <c r="O14" s="17">
        <f t="shared" si="1"/>
        <v>3.5</v>
      </c>
      <c r="P14" s="82"/>
    </row>
    <row r="15" spans="2:16" x14ac:dyDescent="0.25">
      <c r="C15" s="248"/>
      <c r="D15" s="4" t="s">
        <v>1</v>
      </c>
      <c r="E15" s="192" t="s">
        <v>52</v>
      </c>
      <c r="F15" s="17">
        <f ca="1">VLOOKUP(D15,'S | 01 '!$C$6:$Q$49,13,0)</f>
        <v>-0.7286179999999689</v>
      </c>
      <c r="G15" s="17">
        <v>6.6</v>
      </c>
      <c r="H15" s="230"/>
      <c r="J15" s="249"/>
      <c r="K15" s="4" t="s">
        <v>246</v>
      </c>
      <c r="L15" s="17">
        <f t="shared" si="0"/>
        <v>0</v>
      </c>
      <c r="N15" s="4" t="s">
        <v>1</v>
      </c>
      <c r="O15" s="17">
        <f t="shared" si="1"/>
        <v>6.6</v>
      </c>
      <c r="P15" s="82"/>
    </row>
    <row r="16" spans="2:16" x14ac:dyDescent="0.25">
      <c r="C16" s="248"/>
      <c r="D16" s="4" t="s">
        <v>248</v>
      </c>
      <c r="E16" s="192" t="s">
        <v>43</v>
      </c>
      <c r="F16" s="17">
        <f>VLOOKUP(D16,'S | 01 '!$C$6:$Q$49,13,0)</f>
        <v>-2.3539819999999998</v>
      </c>
      <c r="G16" s="17">
        <v>0</v>
      </c>
      <c r="H16" s="230"/>
      <c r="J16" s="249"/>
      <c r="K16" s="4" t="s">
        <v>276</v>
      </c>
      <c r="L16" s="17">
        <f t="shared" si="0"/>
        <v>0</v>
      </c>
      <c r="M16" s="24"/>
      <c r="P16" s="82"/>
    </row>
    <row r="17" spans="2:16" x14ac:dyDescent="0.25">
      <c r="C17" s="248"/>
      <c r="D17" s="4" t="s">
        <v>18</v>
      </c>
      <c r="E17" s="192" t="s">
        <v>152</v>
      </c>
      <c r="F17" s="17">
        <f ca="1">VLOOKUP(D17,'S | 01 '!$C$6:$Q$49,13,0)</f>
        <v>4.5</v>
      </c>
      <c r="G17" s="17">
        <v>0</v>
      </c>
      <c r="H17" s="230"/>
      <c r="J17" s="249"/>
      <c r="K17" s="4" t="s">
        <v>40</v>
      </c>
      <c r="L17" s="17">
        <f t="shared" si="0"/>
        <v>0</v>
      </c>
      <c r="M17" s="24"/>
      <c r="P17" s="82"/>
    </row>
    <row r="18" spans="2:16" x14ac:dyDescent="0.25">
      <c r="C18" s="248"/>
      <c r="D18" s="4" t="s">
        <v>246</v>
      </c>
      <c r="E18" s="192" t="s">
        <v>152</v>
      </c>
      <c r="F18" s="17">
        <f ca="1">VLOOKUP(D18,'S | 01 '!$C$6:$Q$49,13,0)</f>
        <v>0</v>
      </c>
      <c r="G18" s="254">
        <v>0</v>
      </c>
      <c r="H18" s="230"/>
      <c r="J18" s="249"/>
      <c r="K18" s="4" t="s">
        <v>42</v>
      </c>
      <c r="L18" s="17">
        <f t="shared" si="0"/>
        <v>0</v>
      </c>
      <c r="P18" s="82"/>
    </row>
    <row r="19" spans="2:16" x14ac:dyDescent="0.25">
      <c r="C19" s="248"/>
      <c r="D19" s="4" t="s">
        <v>276</v>
      </c>
      <c r="E19" s="192" t="s">
        <v>152</v>
      </c>
      <c r="F19" s="17">
        <f ca="1">VLOOKUP(D19,'S | 01 '!$C$6:$Q$49,13,0)</f>
        <v>5.8881215399999967</v>
      </c>
      <c r="G19" s="254">
        <v>0</v>
      </c>
      <c r="H19" s="230"/>
      <c r="J19" s="249"/>
      <c r="K19" s="4" t="s">
        <v>18</v>
      </c>
      <c r="L19" s="17">
        <f t="shared" si="0"/>
        <v>0</v>
      </c>
      <c r="M19" s="24"/>
      <c r="P19" s="82"/>
    </row>
    <row r="20" spans="2:16" x14ac:dyDescent="0.25">
      <c r="C20" s="248"/>
      <c r="D20" s="4" t="s">
        <v>40</v>
      </c>
      <c r="E20" s="192" t="s">
        <v>152</v>
      </c>
      <c r="F20" s="17">
        <f ca="1">VLOOKUP(D20,'S | 01 '!$C$6:$Q$49,13,0)</f>
        <v>-18.864500099999994</v>
      </c>
      <c r="G20" s="17">
        <v>0</v>
      </c>
      <c r="H20" s="230"/>
      <c r="J20" s="249"/>
      <c r="K20" s="4" t="s">
        <v>240</v>
      </c>
      <c r="L20" s="17">
        <f t="shared" si="0"/>
        <v>0</v>
      </c>
      <c r="M20" s="24"/>
      <c r="P20" s="82"/>
    </row>
    <row r="21" spans="2:16" x14ac:dyDescent="0.25">
      <c r="C21" s="248"/>
      <c r="D21" s="4" t="s">
        <v>41</v>
      </c>
      <c r="E21" s="192" t="s">
        <v>152</v>
      </c>
      <c r="F21" s="17">
        <f ca="1">VLOOKUP(D21,'S | 01 '!$C$6:$Q$49,13,0)</f>
        <v>0</v>
      </c>
      <c r="G21" s="17">
        <v>0</v>
      </c>
      <c r="H21" s="230"/>
      <c r="J21" s="249"/>
      <c r="K21" s="4" t="s">
        <v>248</v>
      </c>
      <c r="L21" s="17">
        <f t="shared" si="0"/>
        <v>0</v>
      </c>
      <c r="M21" s="24"/>
      <c r="P21" s="82"/>
    </row>
    <row r="22" spans="2:16" x14ac:dyDescent="0.25">
      <c r="C22" s="248"/>
      <c r="D22" s="4" t="s">
        <v>19</v>
      </c>
      <c r="E22" s="192" t="s">
        <v>152</v>
      </c>
      <c r="F22" s="17">
        <f ca="1">VLOOKUP(D22,'S | 01 '!$C$6:$Q$49,13,0)</f>
        <v>-95.4</v>
      </c>
      <c r="G22" s="254">
        <v>0</v>
      </c>
      <c r="H22" s="230"/>
      <c r="J22" s="249"/>
      <c r="K22" s="4" t="s">
        <v>39</v>
      </c>
      <c r="L22" s="17">
        <f t="shared" si="0"/>
        <v>2.5</v>
      </c>
      <c r="M22" s="24"/>
      <c r="P22" s="82"/>
    </row>
    <row r="23" spans="2:16" x14ac:dyDescent="0.25">
      <c r="C23" s="248"/>
      <c r="D23" s="4" t="s">
        <v>348</v>
      </c>
      <c r="E23" s="192" t="s">
        <v>152</v>
      </c>
      <c r="F23" s="17">
        <f ca="1">VLOOKUP(D23,'S | 01 '!$C$6:$Q$49,13,0)</f>
        <v>0</v>
      </c>
      <c r="G23" s="17">
        <v>69.099999999999994</v>
      </c>
      <c r="H23" s="230"/>
      <c r="J23" s="249"/>
      <c r="K23" s="4" t="s">
        <v>38</v>
      </c>
      <c r="L23" s="17">
        <f t="shared" si="0"/>
        <v>68.099999999999994</v>
      </c>
      <c r="M23" s="24"/>
      <c r="P23" s="82"/>
    </row>
    <row r="24" spans="2:16" x14ac:dyDescent="0.25">
      <c r="C24" s="248"/>
      <c r="D24" s="4" t="s">
        <v>240</v>
      </c>
      <c r="E24" s="192" t="s">
        <v>43</v>
      </c>
      <c r="F24" s="17">
        <f>VLOOKUP(D24,'S | 01 '!$C$6:$Q$49,13,0)</f>
        <v>5.9019650000000035E-2</v>
      </c>
      <c r="G24" s="17">
        <v>0</v>
      </c>
      <c r="H24" s="230"/>
      <c r="J24" s="249"/>
      <c r="K24" s="4" t="s">
        <v>348</v>
      </c>
      <c r="L24" s="17">
        <f t="shared" si="0"/>
        <v>69.099999999999994</v>
      </c>
      <c r="M24" s="24"/>
      <c r="P24" s="82"/>
    </row>
    <row r="25" spans="2:16" x14ac:dyDescent="0.25">
      <c r="C25" s="248"/>
      <c r="D25" s="4" t="s">
        <v>347</v>
      </c>
      <c r="E25" s="192" t="s">
        <v>52</v>
      </c>
      <c r="F25" s="17">
        <f ca="1">VLOOKUP(D25,'S | 01 '!$C$6:$Q$49,13,0)</f>
        <v>0.56973285656255657</v>
      </c>
      <c r="G25" s="17">
        <v>0</v>
      </c>
      <c r="H25" s="230"/>
      <c r="J25" s="249"/>
      <c r="K25" s="4" t="s">
        <v>87</v>
      </c>
      <c r="L25" s="17">
        <f t="shared" si="0"/>
        <v>275.8</v>
      </c>
      <c r="P25" s="82"/>
    </row>
    <row r="26" spans="2:16" x14ac:dyDescent="0.25">
      <c r="C26" s="248"/>
      <c r="D26" s="4" t="s">
        <v>37</v>
      </c>
      <c r="E26" s="192" t="s">
        <v>152</v>
      </c>
      <c r="F26" s="17">
        <f ca="1">VLOOKUP(D26,'S | 01 '!$C$6:$Q$49,13,0)</f>
        <v>-16.199999999999989</v>
      </c>
      <c r="G26" s="17">
        <v>0</v>
      </c>
      <c r="H26" s="230"/>
      <c r="J26" s="249"/>
      <c r="P26" s="82"/>
    </row>
    <row r="27" spans="2:16" x14ac:dyDescent="0.25">
      <c r="C27" s="248"/>
      <c r="D27" s="4" t="s">
        <v>42</v>
      </c>
      <c r="E27" s="192" t="s">
        <v>152</v>
      </c>
      <c r="F27" s="17">
        <f ca="1">VLOOKUP(D27,'S | 01 '!$C$6:$Q$49,13,0)</f>
        <v>2.9184723315225654</v>
      </c>
      <c r="G27" s="17">
        <v>0</v>
      </c>
      <c r="H27" s="230"/>
      <c r="J27" s="249"/>
      <c r="P27" s="82"/>
    </row>
    <row r="28" spans="2:16" x14ac:dyDescent="0.25">
      <c r="C28" s="248"/>
      <c r="D28" s="4" t="s">
        <v>87</v>
      </c>
      <c r="E28" s="192" t="s">
        <v>152</v>
      </c>
      <c r="F28" s="17">
        <f ca="1">VLOOKUP(D28,'S | 01 '!$C$6:$Q$49,13,0)</f>
        <v>-88.47020828126891</v>
      </c>
      <c r="G28" s="17">
        <v>275.8</v>
      </c>
      <c r="H28" s="230"/>
      <c r="J28" s="249"/>
      <c r="P28" s="82"/>
    </row>
    <row r="29" spans="2:16" x14ac:dyDescent="0.25">
      <c r="C29" s="81"/>
      <c r="D29" s="4" t="s">
        <v>39</v>
      </c>
      <c r="E29" s="192" t="s">
        <v>152</v>
      </c>
      <c r="F29" s="17">
        <f ca="1">VLOOKUP(D29,'S | 01 '!$C$6:$Q$49,13,0)</f>
        <v>2.5</v>
      </c>
      <c r="G29" s="17">
        <v>2.5</v>
      </c>
      <c r="H29" s="230"/>
      <c r="J29" s="249"/>
      <c r="P29" s="82"/>
    </row>
    <row r="30" spans="2:16" s="27" customFormat="1" x14ac:dyDescent="0.25">
      <c r="B30" s="26"/>
      <c r="C30" s="249"/>
      <c r="D30" s="4" t="s">
        <v>118</v>
      </c>
      <c r="E30" s="192" t="s">
        <v>52</v>
      </c>
      <c r="F30" s="17">
        <f ca="1">VLOOKUP(D30,'S | 01 '!$C$6:$Q$49,13,0)</f>
        <v>6.7719934986677934</v>
      </c>
      <c r="G30" s="17">
        <v>1</v>
      </c>
      <c r="H30" s="230"/>
      <c r="J30" s="249"/>
      <c r="P30" s="230"/>
    </row>
    <row r="31" spans="2:16" s="27" customFormat="1" x14ac:dyDescent="0.25">
      <c r="B31" s="26"/>
      <c r="C31" s="249"/>
      <c r="D31" s="4" t="s">
        <v>35</v>
      </c>
      <c r="E31" s="192" t="s">
        <v>152</v>
      </c>
      <c r="F31" s="17">
        <f ca="1">VLOOKUP(D31,'S | 01 '!$C$6:$Q$49,13,0)</f>
        <v>2.7999999999999545</v>
      </c>
      <c r="G31" s="254">
        <v>0</v>
      </c>
      <c r="H31" s="230"/>
      <c r="J31" s="249"/>
      <c r="K31" s="256" t="s">
        <v>187</v>
      </c>
      <c r="L31" s="257">
        <f>SUM(L8:L25)</f>
        <v>296.5</v>
      </c>
      <c r="N31" s="262" t="s">
        <v>56</v>
      </c>
      <c r="O31" s="263">
        <f>SUM(O8:O16)</f>
        <v>11.1</v>
      </c>
      <c r="P31" s="230"/>
    </row>
    <row r="32" spans="2:16" s="27" customFormat="1" x14ac:dyDescent="0.25">
      <c r="B32" s="26"/>
      <c r="C32" s="249"/>
      <c r="D32" s="4" t="s">
        <v>38</v>
      </c>
      <c r="E32" s="192" t="s">
        <v>152</v>
      </c>
      <c r="F32" s="17">
        <f ca="1">VLOOKUP(D32,'S | 01 '!$C$6:$Q$49,13,0)</f>
        <v>27.118730497400001</v>
      </c>
      <c r="G32" s="17">
        <v>68.099999999999994</v>
      </c>
      <c r="H32" s="230"/>
      <c r="J32" s="249"/>
      <c r="K32" s="258" t="s">
        <v>310</v>
      </c>
      <c r="L32" s="259">
        <f ca="1">'S | 02'!O30</f>
        <v>-44.821278350002103</v>
      </c>
      <c r="P32" s="230"/>
    </row>
    <row r="33" spans="2:16" s="27" customFormat="1" x14ac:dyDescent="0.25">
      <c r="B33" s="26"/>
      <c r="C33" s="249"/>
      <c r="D33" s="4" t="s">
        <v>9</v>
      </c>
      <c r="E33" s="192" t="s">
        <v>152</v>
      </c>
      <c r="F33" s="17">
        <f ca="1">VLOOKUP(D33,'S | 01 '!$C$6:$Q$49,13,0)</f>
        <v>89.398591520036547</v>
      </c>
      <c r="G33" s="17">
        <v>-39.700000000000003</v>
      </c>
      <c r="H33" s="230"/>
      <c r="J33" s="249"/>
      <c r="K33" s="260" t="s">
        <v>311</v>
      </c>
      <c r="L33" s="261">
        <f ca="1">L32-L31</f>
        <v>-341.3212783500021</v>
      </c>
      <c r="P33" s="230"/>
    </row>
    <row r="34" spans="2:16" s="27" customFormat="1" ht="15.75" thickBot="1" x14ac:dyDescent="0.3">
      <c r="B34" s="26"/>
      <c r="C34" s="250"/>
      <c r="D34" s="87"/>
      <c r="E34" s="121"/>
      <c r="F34" s="121"/>
      <c r="G34" s="121"/>
      <c r="H34" s="251"/>
      <c r="J34" s="277"/>
      <c r="K34" s="121"/>
      <c r="L34" s="121"/>
      <c r="M34" s="121"/>
      <c r="N34" s="121"/>
      <c r="O34" s="121"/>
      <c r="P34" s="251"/>
    </row>
    <row r="35" spans="2:16" s="27" customFormat="1" x14ac:dyDescent="0.25">
      <c r="B35" s="26"/>
      <c r="C35" s="72"/>
    </row>
    <row r="36" spans="2:16" s="27" customFormat="1" x14ac:dyDescent="0.25">
      <c r="B36" s="26"/>
      <c r="C36" s="72"/>
    </row>
    <row r="37" spans="2:16" s="27" customFormat="1" x14ac:dyDescent="0.25">
      <c r="B37" s="26"/>
      <c r="C37" s="72"/>
    </row>
    <row r="38" spans="2:16" s="27" customFormat="1" x14ac:dyDescent="0.25">
      <c r="B38" s="26"/>
      <c r="C38" s="71"/>
      <c r="D38" s="393"/>
    </row>
    <row r="39" spans="2:16" x14ac:dyDescent="0.25">
      <c r="D39" s="393"/>
    </row>
    <row r="40" spans="2:16" x14ac:dyDescent="0.25">
      <c r="D40" s="393"/>
    </row>
    <row r="41" spans="2:16" x14ac:dyDescent="0.25">
      <c r="D41" s="393"/>
    </row>
    <row r="42" spans="2:16" s="27" customFormat="1" x14ac:dyDescent="0.25">
      <c r="B42" s="26"/>
      <c r="C42" s="72"/>
      <c r="D42" s="393"/>
    </row>
    <row r="43" spans="2:16" s="27" customFormat="1" x14ac:dyDescent="0.25">
      <c r="B43" s="26"/>
      <c r="D43" s="393"/>
    </row>
    <row r="44" spans="2:16" s="27" customFormat="1" x14ac:dyDescent="0.25">
      <c r="B44" s="26"/>
      <c r="D44" s="393"/>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2.xml><?xml version="1.0" encoding="utf-8"?>
<sisl xmlns:xsd="http://www.w3.org/2001/XMLSchema" xmlns:xsi="http://www.w3.org/2001/XMLSchema-instance" xmlns="http://www.boldonjames.com/2008/01/sie/internal/label" sislVersion="0" policy="3328d060-d216-4afe-9302-ccc930dd7d37" origin="userSelected"/>
</file>

<file path=customXml/itemProps1.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5</vt:i4>
      </vt:variant>
    </vt:vector>
  </HeadingPairs>
  <TitlesOfParts>
    <vt:vector size="21" baseType="lpstr">
      <vt:lpstr>D</vt:lpstr>
      <vt:lpstr>S | 01 </vt:lpstr>
      <vt:lpstr>S | 02</vt:lpstr>
      <vt:lpstr>S | 03</vt:lpstr>
      <vt:lpstr>NAV</vt:lpstr>
      <vt:lpstr>CF (Equity, Debt)</vt:lpstr>
      <vt:lpstr>CF (Funds)</vt:lpstr>
      <vt:lpstr>5. Glossary</vt:lpstr>
      <vt:lpstr>6. %</vt:lpstr>
      <vt:lpstr>7. Board</vt:lpstr>
      <vt:lpstr>8. Log</vt:lpstr>
      <vt:lpstr>D S | 01</vt:lpstr>
      <vt:lpstr>5. CF Profile</vt:lpstr>
      <vt:lpstr>8. NewSpace</vt:lpstr>
      <vt:lpstr>1.1 Geo</vt:lpstr>
      <vt:lpstr>1.2 Attribution</vt:lpstr>
      <vt:lpstr>'5. Glossary'!Print_Area</vt:lpstr>
      <vt:lpstr>D!Print_Area</vt:lpstr>
      <vt:lpstr>NAV!Print_Area</vt:lpstr>
      <vt:lpstr>'S | 02'!Print_Area</vt:lpstr>
      <vt:lpstr>'S | 03'!Print_Area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2024-08-01T03:24:49Z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ies>
</file>