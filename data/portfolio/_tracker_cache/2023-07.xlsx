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customProperty1.bin" ContentType="application/vnd.openxmlformats-officedocument.spreadsheetml.customProperty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filterPrivacy="1"/>
  <xr:revisionPtr revIDLastSave="0" documentId="13_ncr:1_{7DAD4737-68B3-448C-BDE7-C47A61C34F97}" xr6:coauthVersionLast="36" xr6:coauthVersionMax="36" xr10:uidLastSave="{00000000-0000-0000-0000-000000000000}"/>
  <bookViews>
    <workbookView xWindow="0" yWindow="0" windowWidth="19200" windowHeight="6930" tabRatio="904" activeTab="2" xr2:uid="{00000000-000D-0000-FFFF-FFFF00000000}"/>
  </bookViews>
  <sheets>
    <sheet name="D" sheetId="51" r:id="rId1"/>
    <sheet name="S | 01 " sheetId="14" r:id="rId2"/>
    <sheet name="S | 02" sheetId="75" r:id="rId3"/>
    <sheet name="S | 03" sheetId="65" r:id="rId4"/>
    <sheet name="NAV" sheetId="37" r:id="rId5"/>
    <sheet name="CF (Equity, Debt)" sheetId="17" r:id="rId6"/>
    <sheet name="CF (Funds)" sheetId="40" r:id="rId7"/>
    <sheet name="1. IRR Equity" sheetId="32" r:id="rId8"/>
    <sheet name="2. IRR Debt" sheetId="52" r:id="rId9"/>
    <sheet name="3. IRR Funds" sheetId="49" r:id="rId10"/>
    <sheet name="4.All" sheetId="58" r:id="rId11"/>
    <sheet name="4. Mozn-IRR" sheetId="73" r:id="rId12"/>
    <sheet name="4. G42-IRR" sheetId="76" r:id="rId13"/>
    <sheet name="5. CF Profile" sheetId="50" r:id="rId14"/>
    <sheet name="6. %" sheetId="44" r:id="rId15"/>
    <sheet name="7. Board" sheetId="28" r:id="rId16"/>
    <sheet name="8. Log" sheetId="68" r:id="rId17"/>
    <sheet name="1" sheetId="77" r:id="rId18"/>
    <sheet name="2" sheetId="70" r:id="rId19"/>
    <sheet name="3" sheetId="60" r:id="rId20"/>
    <sheet name="X1" sheetId="10" state="hidden" r:id="rId21"/>
    <sheet name="X2" sheetId="67" state="hidden" r:id="rId22"/>
    <sheet name="X3" sheetId="69" state="hidden" r:id="rId23"/>
    <sheet name="4.1" sheetId="62" state="hidden" r:id="rId24"/>
    <sheet name="1.1(P1)" sheetId="39" state="hidden" r:id="rId25"/>
    <sheet name="5. Geo" sheetId="63" state="hidden" r:id="rId26"/>
    <sheet name="Outlook" sheetId="47" state="hidden" r:id="rId27"/>
  </sheets>
  <externalReferences>
    <externalReference r:id="rId28"/>
    <externalReference r:id="rId29"/>
  </externalReferences>
  <definedNames>
    <definedName name="_xlnm._FilterDatabase" localSheetId="12" hidden="1">'4. G42-IRR'!$B$11:$I$68</definedName>
    <definedName name="_xlnm._FilterDatabase" localSheetId="11" hidden="1">'4. Mozn-IRR'!$B$11:$I$65</definedName>
    <definedName name="_xlnm._FilterDatabase" localSheetId="23" hidden="1">'4.1'!$F$7:$L$73</definedName>
    <definedName name="_xlnm._FilterDatabase" localSheetId="10" hidden="1">'4.All'!$B$7:$E$90</definedName>
    <definedName name="_xlnm._FilterDatabase" localSheetId="13" hidden="1">'5. CF Profile'!$C$5:$H$88</definedName>
    <definedName name="CIQWBGuid" hidden="1">"30a4d636-7e5a-4be6-b336-6a264c95dcbd"</definedName>
    <definedName name="CIQWBInfo" hidden="1">"{ ""CIQVersion"":""9.48.1616.5174"" }"</definedName>
    <definedName name="Company">[1]UEL!$B$18:$B$20</definedName>
    <definedName name="Dates">[1]ONT!$N$2:$AN$2</definedName>
    <definedName name="DetailedCapShares">'[2]Current Cap'!$T$133</definedName>
    <definedName name="FAGroup">[1]UEL!$B$3:$B$15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44781.4426157406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D!$A$1:$Q$26</definedName>
    <definedName name="_xlnm.Print_Area" localSheetId="4">NAV!$A$1:$H$47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37" l="1"/>
  <c r="Q28" i="14" l="1"/>
  <c r="Q9" i="75" s="1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AJ30" i="32"/>
  <c r="AD30" i="32"/>
  <c r="T25" i="50"/>
  <c r="S25" i="50"/>
  <c r="R25" i="50"/>
  <c r="Q25" i="50"/>
  <c r="N25" i="50"/>
  <c r="M25" i="50"/>
  <c r="L25" i="50"/>
  <c r="K25" i="50"/>
  <c r="H41" i="50"/>
  <c r="G41" i="50"/>
  <c r="E41" i="50"/>
  <c r="F41" i="50" s="1"/>
  <c r="C41" i="50"/>
  <c r="H40" i="50"/>
  <c r="G40" i="50"/>
  <c r="E40" i="50"/>
  <c r="F40" i="50" s="1"/>
  <c r="C40" i="50"/>
  <c r="H39" i="50"/>
  <c r="G39" i="50"/>
  <c r="F39" i="50"/>
  <c r="E39" i="50"/>
  <c r="C39" i="50"/>
  <c r="H38" i="50"/>
  <c r="G38" i="50"/>
  <c r="E38" i="50"/>
  <c r="F38" i="50" s="1"/>
  <c r="C38" i="50"/>
  <c r="E63" i="73"/>
  <c r="G41" i="73"/>
  <c r="I41" i="73" s="1"/>
  <c r="F41" i="73"/>
  <c r="E41" i="73"/>
  <c r="B41" i="73"/>
  <c r="F40" i="73"/>
  <c r="I40" i="73" s="1"/>
  <c r="E40" i="73"/>
  <c r="B40" i="73"/>
  <c r="C40" i="73" s="1"/>
  <c r="F39" i="73"/>
  <c r="I39" i="73" s="1"/>
  <c r="E39" i="73"/>
  <c r="B39" i="73"/>
  <c r="F38" i="73"/>
  <c r="I38" i="73" s="1"/>
  <c r="E38" i="73"/>
  <c r="B38" i="73"/>
  <c r="F37" i="73"/>
  <c r="I37" i="73" s="1"/>
  <c r="E37" i="73"/>
  <c r="B37" i="73"/>
  <c r="E43" i="58"/>
  <c r="B43" i="58"/>
  <c r="C43" i="58"/>
  <c r="D43" i="58"/>
  <c r="G43" i="58" s="1"/>
  <c r="E24" i="37"/>
  <c r="D42" i="58"/>
  <c r="G42" i="58" s="1"/>
  <c r="C42" i="58"/>
  <c r="B42" i="58"/>
  <c r="D41" i="58"/>
  <c r="G41" i="58" s="1"/>
  <c r="C41" i="58"/>
  <c r="B41" i="58"/>
  <c r="D40" i="58"/>
  <c r="G40" i="58" s="1"/>
  <c r="C40" i="58"/>
  <c r="B40" i="58"/>
  <c r="Z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C65" i="32"/>
  <c r="B65" i="32"/>
  <c r="AB70" i="32"/>
  <c r="AA70" i="32"/>
  <c r="Z70" i="32"/>
  <c r="Y70" i="32"/>
  <c r="X70" i="32"/>
  <c r="W70" i="32"/>
  <c r="V70" i="32"/>
  <c r="U70" i="32"/>
  <c r="T70" i="32"/>
  <c r="S70" i="32"/>
  <c r="R70" i="32"/>
  <c r="Q70" i="32"/>
  <c r="P70" i="32"/>
  <c r="O70" i="32"/>
  <c r="N70" i="32"/>
  <c r="M70" i="32"/>
  <c r="L70" i="32"/>
  <c r="K70" i="32"/>
  <c r="J70" i="32"/>
  <c r="AB68" i="32"/>
  <c r="AB73" i="32"/>
  <c r="AB69" i="32"/>
  <c r="AA69" i="32"/>
  <c r="Z69" i="32"/>
  <c r="Y69" i="32"/>
  <c r="X69" i="32"/>
  <c r="W69" i="32"/>
  <c r="V69" i="32"/>
  <c r="U69" i="32"/>
  <c r="T69" i="32"/>
  <c r="S69" i="32"/>
  <c r="R69" i="32"/>
  <c r="Q69" i="32"/>
  <c r="P69" i="32"/>
  <c r="O69" i="32"/>
  <c r="N69" i="32"/>
  <c r="M69" i="32"/>
  <c r="L69" i="32"/>
  <c r="K69" i="32"/>
  <c r="J69" i="32"/>
  <c r="X68" i="32"/>
  <c r="W68" i="32"/>
  <c r="V68" i="32"/>
  <c r="U68" i="32"/>
  <c r="E19" i="37"/>
  <c r="F26" i="37"/>
  <c r="F27" i="37"/>
  <c r="F17" i="37"/>
  <c r="F21" i="37"/>
  <c r="D27" i="37"/>
  <c r="C27" i="37"/>
  <c r="B27" i="37"/>
  <c r="E45" i="32"/>
  <c r="D45" i="32"/>
  <c r="G45" i="32"/>
  <c r="T45" i="32" s="1"/>
  <c r="C45" i="32"/>
  <c r="B45" i="32"/>
  <c r="D44" i="32"/>
  <c r="G44" i="32" s="1"/>
  <c r="Y44" i="32" s="1"/>
  <c r="C44" i="32"/>
  <c r="B44" i="32"/>
  <c r="G43" i="32"/>
  <c r="AB43" i="32" s="1"/>
  <c r="D43" i="32"/>
  <c r="C43" i="32"/>
  <c r="B43" i="32"/>
  <c r="D42" i="32"/>
  <c r="G42" i="32" s="1"/>
  <c r="AB42" i="32" s="1"/>
  <c r="C42" i="32"/>
  <c r="B42" i="32"/>
  <c r="P42" i="75"/>
  <c r="P29" i="75"/>
  <c r="G27" i="65"/>
  <c r="F27" i="65"/>
  <c r="E27" i="65"/>
  <c r="D27" i="65"/>
  <c r="C27" i="65"/>
  <c r="L27" i="65" s="1"/>
  <c r="M9" i="75"/>
  <c r="J9" i="75"/>
  <c r="I9" i="75"/>
  <c r="H9" i="75"/>
  <c r="G9" i="75"/>
  <c r="D63" i="73" s="1"/>
  <c r="F9" i="75"/>
  <c r="E9" i="75"/>
  <c r="M28" i="14"/>
  <c r="K28" i="14"/>
  <c r="J28" i="14" s="1"/>
  <c r="L28" i="14" s="1"/>
  <c r="S9" i="75" s="1"/>
  <c r="I28" i="14"/>
  <c r="AE30" i="32" l="1"/>
  <c r="D39" i="73"/>
  <c r="D38" i="73"/>
  <c r="C38" i="73"/>
  <c r="C41" i="73"/>
  <c r="C37" i="73"/>
  <c r="C39" i="73"/>
  <c r="E27" i="37"/>
  <c r="K27" i="65"/>
  <c r="K9" i="75"/>
  <c r="L9" i="75"/>
  <c r="F27" i="44"/>
  <c r="F17" i="44"/>
  <c r="F18" i="44"/>
  <c r="F39" i="17"/>
  <c r="E37" i="17"/>
  <c r="E38" i="17"/>
  <c r="E36" i="17"/>
  <c r="B39" i="17"/>
  <c r="B38" i="17"/>
  <c r="B37" i="17"/>
  <c r="B36" i="17"/>
  <c r="B35" i="17"/>
  <c r="B34" i="17"/>
  <c r="B33" i="17"/>
  <c r="E35" i="77"/>
  <c r="F110" i="58" l="1"/>
  <c r="G110" i="58" s="1"/>
  <c r="H63" i="73"/>
  <c r="I63" i="73" s="1"/>
  <c r="F65" i="32"/>
  <c r="G65" i="32" s="1"/>
  <c r="AB65" i="32" s="1"/>
  <c r="AB71" i="32" s="1"/>
  <c r="N28" i="14"/>
  <c r="N9" i="75" s="1"/>
  <c r="D17" i="40"/>
  <c r="G62" i="50" s="1"/>
  <c r="H62" i="50"/>
  <c r="E62" i="50"/>
  <c r="F62" i="50" s="1"/>
  <c r="C62" i="50"/>
  <c r="E33" i="76"/>
  <c r="B33" i="76"/>
  <c r="D64" i="58"/>
  <c r="C64" i="58"/>
  <c r="B64" i="58"/>
  <c r="M70" i="49"/>
  <c r="J70" i="49"/>
  <c r="I70" i="49"/>
  <c r="C22" i="49"/>
  <c r="B22" i="49"/>
  <c r="AB74" i="32" l="1"/>
  <c r="AB72" i="32"/>
  <c r="R9" i="75"/>
  <c r="O28" i="14"/>
  <c r="O9" i="75" s="1"/>
  <c r="D22" i="49"/>
  <c r="K70" i="49" s="1"/>
  <c r="F33" i="76"/>
  <c r="G33" i="76"/>
  <c r="E22" i="49"/>
  <c r="E64" i="58"/>
  <c r="G64" i="58" s="1"/>
  <c r="C33" i="76"/>
  <c r="E42" i="37"/>
  <c r="I33" i="76" l="1"/>
  <c r="G22" i="49"/>
  <c r="L70" i="49"/>
  <c r="N70" i="49" s="1"/>
  <c r="D23" i="44"/>
  <c r="D32" i="44" l="1"/>
  <c r="L53" i="37"/>
  <c r="F32" i="44" s="1"/>
  <c r="K52" i="37"/>
  <c r="L52" i="37" s="1"/>
  <c r="F31" i="44" s="1"/>
  <c r="E39" i="37"/>
  <c r="M36" i="37"/>
  <c r="E3" i="60"/>
  <c r="L24" i="60"/>
  <c r="F35" i="44" l="1"/>
  <c r="F34" i="44"/>
  <c r="F33" i="44"/>
  <c r="H82" i="50" l="1"/>
  <c r="E82" i="50"/>
  <c r="F82" i="50" s="1"/>
  <c r="C82" i="50"/>
  <c r="H37" i="50" l="1"/>
  <c r="E37" i="50"/>
  <c r="F37" i="50" s="1"/>
  <c r="C37" i="50"/>
  <c r="Q13" i="49"/>
  <c r="Q12" i="49"/>
  <c r="Q11" i="49"/>
  <c r="AD29" i="32"/>
  <c r="F20" i="44" l="1"/>
  <c r="F21" i="44" l="1"/>
  <c r="C39" i="58"/>
  <c r="B39" i="58"/>
  <c r="C41" i="32"/>
  <c r="B41" i="32"/>
  <c r="G26" i="65"/>
  <c r="F26" i="65"/>
  <c r="E26" i="65"/>
  <c r="D26" i="65"/>
  <c r="C26" i="65"/>
  <c r="D26" i="37"/>
  <c r="C26" i="37"/>
  <c r="I10" i="75"/>
  <c r="H10" i="75"/>
  <c r="G10" i="75"/>
  <c r="D37" i="73" s="1"/>
  <c r="F10" i="75"/>
  <c r="E10" i="75"/>
  <c r="K17" i="14"/>
  <c r="K25" i="14"/>
  <c r="K27" i="14"/>
  <c r="I25" i="14"/>
  <c r="I26" i="14"/>
  <c r="C25" i="44"/>
  <c r="C26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9" i="44"/>
  <c r="I13" i="14"/>
  <c r="I16" i="14"/>
  <c r="I17" i="14"/>
  <c r="I18" i="14"/>
  <c r="I22" i="14"/>
  <c r="B26" i="37"/>
  <c r="B64" i="32" s="1"/>
  <c r="B25" i="37"/>
  <c r="B63" i="32" s="1"/>
  <c r="I35" i="17"/>
  <c r="E35" i="17" s="1"/>
  <c r="G37" i="50" s="1"/>
  <c r="M27" i="14"/>
  <c r="M10" i="75" s="1"/>
  <c r="J27" i="14" l="1"/>
  <c r="L27" i="14" s="1"/>
  <c r="S10" i="75" s="1"/>
  <c r="K24" i="14"/>
  <c r="K16" i="14"/>
  <c r="K23" i="14"/>
  <c r="K15" i="14"/>
  <c r="K22" i="14"/>
  <c r="K14" i="14"/>
  <c r="D39" i="58"/>
  <c r="G39" i="58" s="1"/>
  <c r="K21" i="14"/>
  <c r="K13" i="14"/>
  <c r="K20" i="14"/>
  <c r="K12" i="14"/>
  <c r="K19" i="14"/>
  <c r="K11" i="14"/>
  <c r="K26" i="14"/>
  <c r="K18" i="14"/>
  <c r="D41" i="32"/>
  <c r="G41" i="32" s="1"/>
  <c r="AA41" i="32" s="1"/>
  <c r="K26" i="65"/>
  <c r="K41" i="65"/>
  <c r="K40" i="65"/>
  <c r="K39" i="65"/>
  <c r="K38" i="65"/>
  <c r="K37" i="65"/>
  <c r="L41" i="65"/>
  <c r="L38" i="65"/>
  <c r="L37" i="65"/>
  <c r="L39" i="65"/>
  <c r="L40" i="65"/>
  <c r="D62" i="73"/>
  <c r="E26" i="37"/>
  <c r="N27" i="14" s="1"/>
  <c r="N10" i="75" s="1"/>
  <c r="L10" i="75"/>
  <c r="AA73" i="32" l="1"/>
  <c r="P27" i="14"/>
  <c r="R10" i="75" s="1"/>
  <c r="O27" i="14"/>
  <c r="O10" i="75" s="1"/>
  <c r="AE29" i="32"/>
  <c r="K10" i="75"/>
  <c r="F64" i="32"/>
  <c r="E23" i="37"/>
  <c r="N11" i="37" s="1"/>
  <c r="AH30" i="32" l="1"/>
  <c r="AF30" i="32"/>
  <c r="AG30" i="32" s="1"/>
  <c r="AI30" i="32"/>
  <c r="F23" i="60"/>
  <c r="G64" i="32"/>
  <c r="AA64" i="32" s="1"/>
  <c r="AM30" i="32" l="1"/>
  <c r="AK30" i="32"/>
  <c r="AL30" i="32"/>
  <c r="AA68" i="32"/>
  <c r="AA71" i="32"/>
  <c r="AA74" i="32" s="1"/>
  <c r="C61" i="50"/>
  <c r="E61" i="50"/>
  <c r="F61" i="50" s="1"/>
  <c r="H61" i="50"/>
  <c r="C36" i="50"/>
  <c r="E36" i="50"/>
  <c r="F36" i="50" s="1"/>
  <c r="G36" i="50"/>
  <c r="H36" i="50"/>
  <c r="G32" i="76"/>
  <c r="E32" i="76"/>
  <c r="B32" i="76"/>
  <c r="F16" i="76"/>
  <c r="I16" i="76" s="1"/>
  <c r="E16" i="76"/>
  <c r="B16" i="76"/>
  <c r="C16" i="76" s="1"/>
  <c r="B38" i="58"/>
  <c r="C38" i="58"/>
  <c r="D38" i="58"/>
  <c r="G38" i="58" s="1"/>
  <c r="E63" i="58"/>
  <c r="C63" i="58"/>
  <c r="B63" i="58"/>
  <c r="M69" i="49"/>
  <c r="E21" i="49"/>
  <c r="L69" i="49" s="1"/>
  <c r="C21" i="49"/>
  <c r="J69" i="49" s="1"/>
  <c r="B21" i="49"/>
  <c r="I69" i="49" s="1"/>
  <c r="D40" i="32"/>
  <c r="G40" i="32" s="1"/>
  <c r="W40" i="32" s="1"/>
  <c r="C40" i="32"/>
  <c r="B40" i="32"/>
  <c r="D16" i="40"/>
  <c r="F32" i="76" s="1"/>
  <c r="I32" i="76" s="1"/>
  <c r="I34" i="17"/>
  <c r="E34" i="17" s="1"/>
  <c r="D63" i="58" l="1"/>
  <c r="G63" i="58" s="1"/>
  <c r="G61" i="50"/>
  <c r="D21" i="49"/>
  <c r="G21" i="49" s="1"/>
  <c r="AA72" i="32"/>
  <c r="K69" i="49"/>
  <c r="N69" i="49" s="1"/>
  <c r="C32" i="76"/>
  <c r="L48" i="37"/>
  <c r="D85" i="58" l="1"/>
  <c r="C85" i="58"/>
  <c r="B85" i="58"/>
  <c r="E84" i="58"/>
  <c r="C84" i="58"/>
  <c r="B84" i="58"/>
  <c r="F54" i="76"/>
  <c r="E54" i="76"/>
  <c r="B54" i="76"/>
  <c r="C54" i="76" s="1"/>
  <c r="G53" i="76"/>
  <c r="E53" i="76"/>
  <c r="B53" i="76"/>
  <c r="C53" i="76" s="1"/>
  <c r="M14" i="49"/>
  <c r="E42" i="49"/>
  <c r="L14" i="49" s="1"/>
  <c r="C42" i="49"/>
  <c r="J14" i="49" s="1"/>
  <c r="B42" i="49"/>
  <c r="I14" i="49" s="1"/>
  <c r="M39" i="14"/>
  <c r="G37" i="40"/>
  <c r="D37" i="40"/>
  <c r="G82" i="50" s="1"/>
  <c r="E38" i="40"/>
  <c r="E85" i="58" s="1"/>
  <c r="K50" i="37"/>
  <c r="L43" i="37"/>
  <c r="K49" i="37" s="1"/>
  <c r="L39" i="14" s="1"/>
  <c r="L39" i="37"/>
  <c r="L40" i="37" s="1"/>
  <c r="G38" i="40" s="1"/>
  <c r="F18" i="77"/>
  <c r="L36" i="37"/>
  <c r="K36" i="37"/>
  <c r="F53" i="76" l="1"/>
  <c r="D84" i="58"/>
  <c r="G84" i="58" s="1"/>
  <c r="D42" i="49"/>
  <c r="G42" i="49" s="1"/>
  <c r="G54" i="76"/>
  <c r="I54" i="76" s="1"/>
  <c r="G85" i="58"/>
  <c r="F20" i="77"/>
  <c r="F19" i="77"/>
  <c r="G18" i="77"/>
  <c r="I53" i="76"/>
  <c r="K14" i="49"/>
  <c r="N14" i="49" s="1"/>
  <c r="G19" i="77" l="1"/>
  <c r="G20" i="77"/>
  <c r="C60" i="50"/>
  <c r="E60" i="50"/>
  <c r="F60" i="50" s="1"/>
  <c r="H60" i="50"/>
  <c r="B31" i="76"/>
  <c r="C31" i="76" s="1"/>
  <c r="E31" i="76"/>
  <c r="G31" i="76"/>
  <c r="B62" i="58"/>
  <c r="C62" i="58"/>
  <c r="E62" i="58"/>
  <c r="M68" i="49"/>
  <c r="B20" i="49"/>
  <c r="I68" i="49" s="1"/>
  <c r="C20" i="49"/>
  <c r="J68" i="49" s="1"/>
  <c r="E20" i="49"/>
  <c r="L68" i="49" s="1"/>
  <c r="D15" i="40"/>
  <c r="D20" i="49" s="1"/>
  <c r="G60" i="50" l="1"/>
  <c r="D62" i="58"/>
  <c r="G62" i="58" s="1"/>
  <c r="F31" i="76"/>
  <c r="I31" i="76"/>
  <c r="K68" i="49"/>
  <c r="N68" i="49" s="1"/>
  <c r="G20" i="49"/>
  <c r="H83" i="50" l="1"/>
  <c r="G83" i="50"/>
  <c r="E83" i="50"/>
  <c r="F83" i="50" s="1"/>
  <c r="C83" i="50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8" i="49"/>
  <c r="M15" i="49"/>
  <c r="M13" i="49"/>
  <c r="M12" i="49"/>
  <c r="M11" i="49"/>
  <c r="B44" i="49"/>
  <c r="C44" i="49"/>
  <c r="E44" i="49"/>
  <c r="B43" i="49"/>
  <c r="I15" i="49" s="1"/>
  <c r="C43" i="49"/>
  <c r="J15" i="49" s="1"/>
  <c r="D43" i="49"/>
  <c r="E43" i="49"/>
  <c r="L15" i="49" s="1"/>
  <c r="B41" i="49"/>
  <c r="I13" i="49" s="1"/>
  <c r="C41" i="49"/>
  <c r="J13" i="49" s="1"/>
  <c r="E41" i="49"/>
  <c r="L13" i="49" s="1"/>
  <c r="B40" i="49"/>
  <c r="I12" i="49" s="1"/>
  <c r="C40" i="49"/>
  <c r="J12" i="49" s="1"/>
  <c r="E40" i="49"/>
  <c r="L12" i="49" s="1"/>
  <c r="E20" i="37"/>
  <c r="F23" i="44"/>
  <c r="I24" i="14" s="1"/>
  <c r="H5" i="73" l="1"/>
  <c r="H4" i="73"/>
  <c r="G43" i="49"/>
  <c r="K15" i="49"/>
  <c r="N15" i="49" s="1"/>
  <c r="H2" i="73" l="1"/>
  <c r="K23" i="37"/>
  <c r="D8" i="51" l="1"/>
  <c r="P40" i="75" l="1"/>
  <c r="G46" i="50" l="1"/>
  <c r="E46" i="50"/>
  <c r="F46" i="50" s="1"/>
  <c r="C46" i="50"/>
  <c r="F46" i="73" l="1"/>
  <c r="E46" i="73"/>
  <c r="B46" i="73"/>
  <c r="J29" i="52"/>
  <c r="D48" i="58"/>
  <c r="C48" i="58"/>
  <c r="B48" i="58"/>
  <c r="B12" i="52"/>
  <c r="C12" i="52"/>
  <c r="D12" i="52"/>
  <c r="E34" i="32"/>
  <c r="I42" i="17"/>
  <c r="H43" i="17"/>
  <c r="I43" i="17" s="1"/>
  <c r="F45" i="17"/>
  <c r="H46" i="50" s="1"/>
  <c r="E12" i="52" l="1"/>
  <c r="T11" i="52" s="1"/>
  <c r="M35" i="14"/>
  <c r="M15" i="75" s="1"/>
  <c r="E48" i="58"/>
  <c r="G48" i="58" s="1"/>
  <c r="H45" i="17"/>
  <c r="G46" i="73"/>
  <c r="I46" i="73" s="1"/>
  <c r="C46" i="73"/>
  <c r="L12" i="60"/>
  <c r="L9" i="60"/>
  <c r="L23" i="60"/>
  <c r="L11" i="60"/>
  <c r="L13" i="60"/>
  <c r="L14" i="60"/>
  <c r="L15" i="60"/>
  <c r="L16" i="60"/>
  <c r="L17" i="60"/>
  <c r="L18" i="60"/>
  <c r="L19" i="60"/>
  <c r="L22" i="60"/>
  <c r="L20" i="60"/>
  <c r="L21" i="60"/>
  <c r="L10" i="60"/>
  <c r="L8" i="60"/>
  <c r="O8" i="60"/>
  <c r="O9" i="60"/>
  <c r="O10" i="60"/>
  <c r="O15" i="60"/>
  <c r="O13" i="60"/>
  <c r="O11" i="60"/>
  <c r="O14" i="60"/>
  <c r="O12" i="60"/>
  <c r="L25" i="60"/>
  <c r="H89" i="50"/>
  <c r="H88" i="50"/>
  <c r="H87" i="50"/>
  <c r="H86" i="50"/>
  <c r="H85" i="50"/>
  <c r="H84" i="50"/>
  <c r="H81" i="50"/>
  <c r="H80" i="50"/>
  <c r="H79" i="50"/>
  <c r="H78" i="50"/>
  <c r="H77" i="50"/>
  <c r="H76" i="50"/>
  <c r="H75" i="50"/>
  <c r="H73" i="50"/>
  <c r="H72" i="50"/>
  <c r="H70" i="50"/>
  <c r="H69" i="50"/>
  <c r="H68" i="50"/>
  <c r="H67" i="50"/>
  <c r="H66" i="50"/>
  <c r="H65" i="50"/>
  <c r="H64" i="50"/>
  <c r="H63" i="50"/>
  <c r="H58" i="50"/>
  <c r="H56" i="50"/>
  <c r="H55" i="50"/>
  <c r="H54" i="50"/>
  <c r="H52" i="50"/>
  <c r="H51" i="50"/>
  <c r="H49" i="50"/>
  <c r="H48" i="50"/>
  <c r="H45" i="50"/>
  <c r="H44" i="50"/>
  <c r="H43" i="50"/>
  <c r="H35" i="50"/>
  <c r="H34" i="50"/>
  <c r="H33" i="50"/>
  <c r="H32" i="50"/>
  <c r="H31" i="50"/>
  <c r="H30" i="50"/>
  <c r="G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C35" i="50"/>
  <c r="E35" i="50"/>
  <c r="F35" i="50" s="1"/>
  <c r="R36" i="75"/>
  <c r="M36" i="75"/>
  <c r="S36" i="75"/>
  <c r="L36" i="75"/>
  <c r="J36" i="75"/>
  <c r="I36" i="75"/>
  <c r="H36" i="75"/>
  <c r="G36" i="75"/>
  <c r="F36" i="75"/>
  <c r="E36" i="75"/>
  <c r="R38" i="75"/>
  <c r="M38" i="75"/>
  <c r="L38" i="75"/>
  <c r="K38" i="75"/>
  <c r="J38" i="75"/>
  <c r="I38" i="75"/>
  <c r="H38" i="75"/>
  <c r="G38" i="75"/>
  <c r="F38" i="75"/>
  <c r="E38" i="75"/>
  <c r="R37" i="75"/>
  <c r="M37" i="75"/>
  <c r="K37" i="75"/>
  <c r="J37" i="75"/>
  <c r="I37" i="75"/>
  <c r="H37" i="75"/>
  <c r="G37" i="75"/>
  <c r="D33" i="76" s="1"/>
  <c r="F37" i="75"/>
  <c r="E37" i="75"/>
  <c r="R35" i="75"/>
  <c r="M35" i="75"/>
  <c r="S35" i="75"/>
  <c r="J35" i="75"/>
  <c r="I35" i="75"/>
  <c r="H35" i="75"/>
  <c r="G35" i="75"/>
  <c r="F35" i="75"/>
  <c r="E35" i="75"/>
  <c r="R34" i="75"/>
  <c r="M34" i="75"/>
  <c r="S34" i="75"/>
  <c r="L34" i="75"/>
  <c r="K34" i="75"/>
  <c r="J34" i="75"/>
  <c r="I34" i="75"/>
  <c r="H34" i="75"/>
  <c r="G34" i="75"/>
  <c r="F34" i="75"/>
  <c r="E34" i="75"/>
  <c r="I33" i="75"/>
  <c r="H33" i="75"/>
  <c r="G33" i="75"/>
  <c r="D16" i="76" s="1"/>
  <c r="F33" i="75"/>
  <c r="E33" i="75"/>
  <c r="K32" i="75"/>
  <c r="I32" i="75"/>
  <c r="H32" i="75"/>
  <c r="G32" i="75"/>
  <c r="F32" i="75"/>
  <c r="E32" i="75"/>
  <c r="I31" i="75"/>
  <c r="H31" i="75"/>
  <c r="G31" i="75"/>
  <c r="F31" i="75"/>
  <c r="E31" i="75"/>
  <c r="N26" i="75"/>
  <c r="M26" i="75"/>
  <c r="M14" i="75"/>
  <c r="M11" i="75"/>
  <c r="M12" i="75"/>
  <c r="S27" i="75"/>
  <c r="K27" i="75"/>
  <c r="I27" i="75"/>
  <c r="H27" i="75"/>
  <c r="G27" i="75"/>
  <c r="F27" i="75"/>
  <c r="S26" i="75"/>
  <c r="L26" i="75"/>
  <c r="K26" i="75"/>
  <c r="J26" i="75"/>
  <c r="I26" i="75"/>
  <c r="H26" i="75"/>
  <c r="G26" i="75"/>
  <c r="F26" i="75"/>
  <c r="S14" i="75"/>
  <c r="K14" i="75"/>
  <c r="J14" i="75"/>
  <c r="I14" i="75"/>
  <c r="H14" i="75"/>
  <c r="G14" i="75"/>
  <c r="F14" i="75"/>
  <c r="S15" i="75"/>
  <c r="L15" i="75"/>
  <c r="K15" i="75"/>
  <c r="J15" i="75"/>
  <c r="I15" i="75"/>
  <c r="H15" i="75"/>
  <c r="G15" i="75"/>
  <c r="D46" i="73" s="1"/>
  <c r="F15" i="75"/>
  <c r="S20" i="75"/>
  <c r="K20" i="75"/>
  <c r="I20" i="75"/>
  <c r="H20" i="75"/>
  <c r="G20" i="75"/>
  <c r="F20" i="75"/>
  <c r="S16" i="75"/>
  <c r="K16" i="75"/>
  <c r="I16" i="75"/>
  <c r="H16" i="75"/>
  <c r="G16" i="75"/>
  <c r="F16" i="75"/>
  <c r="S17" i="75"/>
  <c r="K17" i="75"/>
  <c r="I17" i="75"/>
  <c r="H17" i="75"/>
  <c r="G17" i="75"/>
  <c r="D41" i="73" s="1"/>
  <c r="F17" i="75"/>
  <c r="S18" i="75"/>
  <c r="K18" i="75"/>
  <c r="I18" i="75"/>
  <c r="H18" i="75"/>
  <c r="G18" i="75"/>
  <c r="F18" i="75"/>
  <c r="L11" i="75"/>
  <c r="K11" i="75"/>
  <c r="J11" i="75"/>
  <c r="I11" i="75"/>
  <c r="H11" i="75"/>
  <c r="G11" i="75"/>
  <c r="D61" i="73" s="1"/>
  <c r="F11" i="75"/>
  <c r="L12" i="75"/>
  <c r="K12" i="75"/>
  <c r="J12" i="75"/>
  <c r="I12" i="75"/>
  <c r="H12" i="75"/>
  <c r="G12" i="75"/>
  <c r="D40" i="73" s="1"/>
  <c r="F12" i="75"/>
  <c r="S13" i="75"/>
  <c r="K13" i="75"/>
  <c r="I13" i="75"/>
  <c r="H13" i="75"/>
  <c r="G13" i="75"/>
  <c r="F13" i="75"/>
  <c r="S19" i="75"/>
  <c r="K19" i="75"/>
  <c r="I19" i="75"/>
  <c r="H19" i="75"/>
  <c r="G19" i="75"/>
  <c r="F19" i="75"/>
  <c r="S25" i="75"/>
  <c r="K25" i="75"/>
  <c r="I25" i="75"/>
  <c r="H25" i="75"/>
  <c r="G25" i="75"/>
  <c r="F25" i="75"/>
  <c r="S24" i="75"/>
  <c r="K24" i="75"/>
  <c r="I24" i="75"/>
  <c r="H24" i="75"/>
  <c r="G24" i="75"/>
  <c r="F24" i="75"/>
  <c r="S21" i="75"/>
  <c r="K21" i="75"/>
  <c r="I21" i="75"/>
  <c r="H21" i="75"/>
  <c r="G21" i="75"/>
  <c r="F21" i="75"/>
  <c r="S22" i="75"/>
  <c r="K22" i="75"/>
  <c r="I22" i="75"/>
  <c r="H22" i="75"/>
  <c r="G22" i="75"/>
  <c r="F22" i="75"/>
  <c r="S23" i="75"/>
  <c r="K23" i="75"/>
  <c r="I23" i="75"/>
  <c r="H23" i="75"/>
  <c r="G23" i="75"/>
  <c r="F23" i="75"/>
  <c r="E27" i="75"/>
  <c r="E26" i="75"/>
  <c r="E14" i="75"/>
  <c r="E15" i="75"/>
  <c r="E20" i="75"/>
  <c r="E16" i="75"/>
  <c r="E17" i="75"/>
  <c r="E18" i="75"/>
  <c r="E11" i="75"/>
  <c r="E12" i="75"/>
  <c r="E13" i="75"/>
  <c r="E19" i="75"/>
  <c r="E25" i="75"/>
  <c r="E24" i="75"/>
  <c r="E21" i="75"/>
  <c r="E22" i="75"/>
  <c r="E23" i="75"/>
  <c r="E36" i="73"/>
  <c r="B36" i="73"/>
  <c r="C36" i="73" s="1"/>
  <c r="E29" i="73"/>
  <c r="B29" i="73"/>
  <c r="C29" i="73" s="1"/>
  <c r="B37" i="58"/>
  <c r="C37" i="58"/>
  <c r="M82" i="49"/>
  <c r="M81" i="49"/>
  <c r="M80" i="49"/>
  <c r="M79" i="49"/>
  <c r="M78" i="49"/>
  <c r="M67" i="49"/>
  <c r="M66" i="49"/>
  <c r="M65" i="49"/>
  <c r="M64" i="49"/>
  <c r="M63" i="49"/>
  <c r="M62" i="49"/>
  <c r="M61" i="49"/>
  <c r="M60" i="49"/>
  <c r="M59" i="49"/>
  <c r="M58" i="49"/>
  <c r="M57" i="49"/>
  <c r="M56" i="49"/>
  <c r="M10" i="49"/>
  <c r="M9" i="49"/>
  <c r="M47" i="49"/>
  <c r="M46" i="49"/>
  <c r="M45" i="49"/>
  <c r="M44" i="49"/>
  <c r="M43" i="49"/>
  <c r="M42" i="49"/>
  <c r="M41" i="49"/>
  <c r="M40" i="49"/>
  <c r="M39" i="49"/>
  <c r="M38" i="49"/>
  <c r="M37" i="49"/>
  <c r="M36" i="49"/>
  <c r="M35" i="49"/>
  <c r="M34" i="49"/>
  <c r="E49" i="49"/>
  <c r="L82" i="49" s="1"/>
  <c r="C49" i="49"/>
  <c r="J82" i="49" s="1"/>
  <c r="B49" i="49"/>
  <c r="I82" i="49" s="1"/>
  <c r="E48" i="49"/>
  <c r="L81" i="49" s="1"/>
  <c r="C48" i="49"/>
  <c r="J81" i="49" s="1"/>
  <c r="B48" i="49"/>
  <c r="I81" i="49" s="1"/>
  <c r="E47" i="49"/>
  <c r="L80" i="49" s="1"/>
  <c r="C47" i="49"/>
  <c r="J80" i="49" s="1"/>
  <c r="B47" i="49"/>
  <c r="I80" i="49" s="1"/>
  <c r="E46" i="49"/>
  <c r="L79" i="49" s="1"/>
  <c r="C46" i="49"/>
  <c r="J79" i="49" s="1"/>
  <c r="B46" i="49"/>
  <c r="I79" i="49" s="1"/>
  <c r="E45" i="49"/>
  <c r="L78" i="49" s="1"/>
  <c r="C45" i="49"/>
  <c r="J78" i="49" s="1"/>
  <c r="B45" i="49"/>
  <c r="I78" i="49" s="1"/>
  <c r="J25" i="49"/>
  <c r="I25" i="49"/>
  <c r="E39" i="49"/>
  <c r="L11" i="49" s="1"/>
  <c r="C39" i="49"/>
  <c r="J11" i="49" s="1"/>
  <c r="B39" i="49"/>
  <c r="I11" i="49" s="1"/>
  <c r="E38" i="49"/>
  <c r="L10" i="49" s="1"/>
  <c r="D38" i="49"/>
  <c r="K10" i="49" s="1"/>
  <c r="C38" i="49"/>
  <c r="J10" i="49" s="1"/>
  <c r="B38" i="49"/>
  <c r="I10" i="49" s="1"/>
  <c r="E37" i="49"/>
  <c r="L9" i="49" s="1"/>
  <c r="C37" i="49"/>
  <c r="J9" i="49" s="1"/>
  <c r="B37" i="49"/>
  <c r="I9" i="49" s="1"/>
  <c r="E36" i="49"/>
  <c r="L47" i="49" s="1"/>
  <c r="C36" i="49"/>
  <c r="J47" i="49" s="1"/>
  <c r="B36" i="49"/>
  <c r="I47" i="49" s="1"/>
  <c r="E35" i="49"/>
  <c r="L46" i="49" s="1"/>
  <c r="C35" i="49"/>
  <c r="J46" i="49" s="1"/>
  <c r="B35" i="49"/>
  <c r="I46" i="49" s="1"/>
  <c r="D34" i="49"/>
  <c r="K45" i="49" s="1"/>
  <c r="C34" i="49"/>
  <c r="J45" i="49" s="1"/>
  <c r="B34" i="49"/>
  <c r="I45" i="49" s="1"/>
  <c r="E33" i="49"/>
  <c r="L44" i="49" s="1"/>
  <c r="C33" i="49"/>
  <c r="J44" i="49" s="1"/>
  <c r="B33" i="49"/>
  <c r="I44" i="49" s="1"/>
  <c r="E32" i="49"/>
  <c r="L43" i="49" s="1"/>
  <c r="C32" i="49"/>
  <c r="J43" i="49" s="1"/>
  <c r="B32" i="49"/>
  <c r="I43" i="49" s="1"/>
  <c r="D31" i="49"/>
  <c r="K42" i="49" s="1"/>
  <c r="C31" i="49"/>
  <c r="J42" i="49" s="1"/>
  <c r="B31" i="49"/>
  <c r="I42" i="49" s="1"/>
  <c r="E30" i="49"/>
  <c r="L41" i="49" s="1"/>
  <c r="C30" i="49"/>
  <c r="J41" i="49" s="1"/>
  <c r="B30" i="49"/>
  <c r="I41" i="49" s="1"/>
  <c r="E29" i="49"/>
  <c r="L40" i="49" s="1"/>
  <c r="C29" i="49"/>
  <c r="J40" i="49" s="1"/>
  <c r="B29" i="49"/>
  <c r="I40" i="49" s="1"/>
  <c r="E28" i="49"/>
  <c r="L39" i="49" s="1"/>
  <c r="C28" i="49"/>
  <c r="J39" i="49" s="1"/>
  <c r="B28" i="49"/>
  <c r="I39" i="49" s="1"/>
  <c r="E27" i="49"/>
  <c r="L38" i="49" s="1"/>
  <c r="C27" i="49"/>
  <c r="J38" i="49" s="1"/>
  <c r="B27" i="49"/>
  <c r="I38" i="49" s="1"/>
  <c r="E26" i="49"/>
  <c r="L37" i="49" s="1"/>
  <c r="C26" i="49"/>
  <c r="J37" i="49" s="1"/>
  <c r="B26" i="49"/>
  <c r="I37" i="49" s="1"/>
  <c r="E25" i="49"/>
  <c r="L36" i="49" s="1"/>
  <c r="C25" i="49"/>
  <c r="J36" i="49" s="1"/>
  <c r="B25" i="49"/>
  <c r="I36" i="49" s="1"/>
  <c r="E24" i="49"/>
  <c r="L35" i="49" s="1"/>
  <c r="C24" i="49"/>
  <c r="J35" i="49" s="1"/>
  <c r="B24" i="49"/>
  <c r="I35" i="49" s="1"/>
  <c r="E23" i="49"/>
  <c r="L34" i="49" s="1"/>
  <c r="C23" i="49"/>
  <c r="J34" i="49" s="1"/>
  <c r="B23" i="49"/>
  <c r="I34" i="49" s="1"/>
  <c r="D19" i="49"/>
  <c r="K67" i="49" s="1"/>
  <c r="C19" i="49"/>
  <c r="J67" i="49" s="1"/>
  <c r="B19" i="49"/>
  <c r="I67" i="49" s="1"/>
  <c r="E18" i="49"/>
  <c r="L66" i="49" s="1"/>
  <c r="C18" i="49"/>
  <c r="J66" i="49" s="1"/>
  <c r="B18" i="49"/>
  <c r="I66" i="49" s="1"/>
  <c r="D17" i="49"/>
  <c r="K65" i="49" s="1"/>
  <c r="C17" i="49"/>
  <c r="J65" i="49" s="1"/>
  <c r="B17" i="49"/>
  <c r="I65" i="49" s="1"/>
  <c r="E16" i="49"/>
  <c r="L64" i="49" s="1"/>
  <c r="C16" i="49"/>
  <c r="J64" i="49" s="1"/>
  <c r="B16" i="49"/>
  <c r="I64" i="49" s="1"/>
  <c r="E15" i="49"/>
  <c r="L63" i="49" s="1"/>
  <c r="C15" i="49"/>
  <c r="J63" i="49" s="1"/>
  <c r="B15" i="49"/>
  <c r="I63" i="49" s="1"/>
  <c r="E14" i="49"/>
  <c r="L62" i="49" s="1"/>
  <c r="C14" i="49"/>
  <c r="J62" i="49" s="1"/>
  <c r="B14" i="49"/>
  <c r="I62" i="49" s="1"/>
  <c r="D13" i="49"/>
  <c r="K61" i="49" s="1"/>
  <c r="C13" i="49"/>
  <c r="J61" i="49" s="1"/>
  <c r="B13" i="49"/>
  <c r="I61" i="49" s="1"/>
  <c r="E12" i="49"/>
  <c r="L60" i="49" s="1"/>
  <c r="C12" i="49"/>
  <c r="J60" i="49" s="1"/>
  <c r="B12" i="49"/>
  <c r="I60" i="49" s="1"/>
  <c r="E11" i="49"/>
  <c r="L59" i="49" s="1"/>
  <c r="C11" i="49"/>
  <c r="J59" i="49" s="1"/>
  <c r="B11" i="49"/>
  <c r="I59" i="49" s="1"/>
  <c r="D10" i="49"/>
  <c r="K58" i="49" s="1"/>
  <c r="C10" i="49"/>
  <c r="J58" i="49" s="1"/>
  <c r="B10" i="49"/>
  <c r="I58" i="49" s="1"/>
  <c r="E9" i="49"/>
  <c r="L57" i="49" s="1"/>
  <c r="C9" i="49"/>
  <c r="J57" i="49" s="1"/>
  <c r="B9" i="49"/>
  <c r="E8" i="49"/>
  <c r="L56" i="49" s="1"/>
  <c r="C8" i="49"/>
  <c r="J56" i="49" s="1"/>
  <c r="I56" i="49"/>
  <c r="D9" i="52"/>
  <c r="K9" i="52" s="1"/>
  <c r="D10" i="52"/>
  <c r="C11" i="52"/>
  <c r="J28" i="52" s="1"/>
  <c r="B11" i="52"/>
  <c r="I28" i="52" s="1"/>
  <c r="C10" i="52"/>
  <c r="J19" i="52" s="1"/>
  <c r="B10" i="52"/>
  <c r="I19" i="52" s="1"/>
  <c r="C9" i="52"/>
  <c r="J9" i="52" s="1"/>
  <c r="B9" i="52"/>
  <c r="I9" i="52" s="1"/>
  <c r="AE28" i="32"/>
  <c r="AD28" i="32"/>
  <c r="F63" i="32"/>
  <c r="G63" i="32" s="1"/>
  <c r="Z63" i="32" s="1"/>
  <c r="B39" i="32"/>
  <c r="C39" i="32"/>
  <c r="I33" i="17"/>
  <c r="E33" i="17" s="1"/>
  <c r="F36" i="73" s="1"/>
  <c r="I36" i="73" s="1"/>
  <c r="K29" i="75" l="1"/>
  <c r="D31" i="76"/>
  <c r="D32" i="76"/>
  <c r="D54" i="76"/>
  <c r="D53" i="76"/>
  <c r="I57" i="49"/>
  <c r="F2" i="49"/>
  <c r="G12" i="52"/>
  <c r="B14" i="52"/>
  <c r="I10" i="52" s="1"/>
  <c r="G35" i="50"/>
  <c r="D39" i="32"/>
  <c r="G39" i="32" s="1"/>
  <c r="Z39" i="32" s="1"/>
  <c r="D37" i="58"/>
  <c r="G37" i="58" s="1"/>
  <c r="B16" i="52"/>
  <c r="I29" i="52" s="1"/>
  <c r="B15" i="52"/>
  <c r="I20" i="52" s="1"/>
  <c r="L31" i="60"/>
  <c r="O31" i="60"/>
  <c r="D36" i="73"/>
  <c r="D29" i="73"/>
  <c r="G14" i="37"/>
  <c r="G22" i="37"/>
  <c r="K24" i="37"/>
  <c r="K25" i="37" s="1"/>
  <c r="G25" i="65"/>
  <c r="E25" i="65"/>
  <c r="D25" i="65"/>
  <c r="C25" i="65"/>
  <c r="G24" i="65"/>
  <c r="F24" i="65"/>
  <c r="E24" i="65"/>
  <c r="D24" i="65"/>
  <c r="C24" i="65"/>
  <c r="G23" i="65"/>
  <c r="E23" i="65"/>
  <c r="D23" i="65"/>
  <c r="C23" i="65"/>
  <c r="G22" i="65"/>
  <c r="F22" i="65"/>
  <c r="E22" i="65"/>
  <c r="D22" i="65"/>
  <c r="C22" i="65"/>
  <c r="G21" i="65"/>
  <c r="F21" i="65"/>
  <c r="E21" i="65"/>
  <c r="D21" i="65"/>
  <c r="C21" i="65"/>
  <c r="G20" i="65"/>
  <c r="E20" i="65"/>
  <c r="D20" i="65"/>
  <c r="C20" i="65"/>
  <c r="G19" i="65"/>
  <c r="F19" i="65"/>
  <c r="E19" i="65"/>
  <c r="D19" i="65"/>
  <c r="C19" i="65"/>
  <c r="G18" i="65"/>
  <c r="F18" i="65"/>
  <c r="E18" i="65"/>
  <c r="D18" i="65"/>
  <c r="C18" i="65"/>
  <c r="G17" i="65"/>
  <c r="F17" i="65"/>
  <c r="E17" i="65"/>
  <c r="D17" i="65"/>
  <c r="C17" i="65"/>
  <c r="G16" i="65"/>
  <c r="E16" i="65"/>
  <c r="D16" i="65"/>
  <c r="C16" i="65"/>
  <c r="G15" i="65"/>
  <c r="F15" i="65"/>
  <c r="E15" i="65"/>
  <c r="D15" i="65"/>
  <c r="C15" i="65"/>
  <c r="G14" i="65"/>
  <c r="F14" i="65"/>
  <c r="E14" i="65"/>
  <c r="D14" i="65"/>
  <c r="C14" i="65"/>
  <c r="G13" i="65"/>
  <c r="F13" i="65"/>
  <c r="E13" i="65"/>
  <c r="D13" i="65"/>
  <c r="C13" i="65"/>
  <c r="G12" i="65"/>
  <c r="F12" i="65"/>
  <c r="E12" i="65"/>
  <c r="D12" i="65"/>
  <c r="C12" i="65"/>
  <c r="G11" i="65"/>
  <c r="F11" i="65"/>
  <c r="E11" i="65"/>
  <c r="D11" i="65"/>
  <c r="C11" i="65"/>
  <c r="G10" i="65"/>
  <c r="F10" i="65"/>
  <c r="E10" i="65"/>
  <c r="D10" i="65"/>
  <c r="C10" i="65"/>
  <c r="G9" i="65"/>
  <c r="F9" i="65"/>
  <c r="E9" i="65"/>
  <c r="D9" i="65"/>
  <c r="C9" i="65"/>
  <c r="D25" i="37"/>
  <c r="Z74" i="32" l="1"/>
  <c r="K9" i="65"/>
  <c r="K24" i="65"/>
  <c r="L24" i="65"/>
  <c r="K22" i="65"/>
  <c r="K14" i="65"/>
  <c r="K19" i="65"/>
  <c r="K11" i="65"/>
  <c r="K21" i="65"/>
  <c r="L21" i="65"/>
  <c r="K17" i="65"/>
  <c r="L17" i="65"/>
  <c r="K16" i="65"/>
  <c r="L16" i="65"/>
  <c r="K18" i="65"/>
  <c r="K23" i="65"/>
  <c r="L23" i="65"/>
  <c r="K12" i="65"/>
  <c r="K33" i="65" s="1"/>
  <c r="L12" i="65"/>
  <c r="K10" i="65"/>
  <c r="K32" i="65" s="1"/>
  <c r="K25" i="65"/>
  <c r="L25" i="65"/>
  <c r="K13" i="65"/>
  <c r="K15" i="65"/>
  <c r="L15" i="65"/>
  <c r="K20" i="65"/>
  <c r="L20" i="65"/>
  <c r="C25" i="37"/>
  <c r="B24" i="37"/>
  <c r="B62" i="32" s="1"/>
  <c r="B23" i="37"/>
  <c r="B61" i="32" s="1"/>
  <c r="B22" i="37"/>
  <c r="B60" i="32" s="1"/>
  <c r="B21" i="37"/>
  <c r="B59" i="32" s="1"/>
  <c r="B20" i="37"/>
  <c r="B58" i="32" s="1"/>
  <c r="B19" i="37"/>
  <c r="B57" i="32" s="1"/>
  <c r="B18" i="37"/>
  <c r="B56" i="32" s="1"/>
  <c r="B17" i="37"/>
  <c r="B55" i="32" s="1"/>
  <c r="B16" i="37"/>
  <c r="B54" i="32" s="1"/>
  <c r="B15" i="37"/>
  <c r="B53" i="32" s="1"/>
  <c r="B14" i="37"/>
  <c r="B52" i="32" s="1"/>
  <c r="B13" i="37"/>
  <c r="B51" i="32" s="1"/>
  <c r="B12" i="37"/>
  <c r="B50" i="32" s="1"/>
  <c r="B11" i="37"/>
  <c r="B49" i="32" s="1"/>
  <c r="B10" i="37"/>
  <c r="B48" i="32" s="1"/>
  <c r="B9" i="37"/>
  <c r="L26" i="14"/>
  <c r="S11" i="75" s="1"/>
  <c r="Z72" i="32" l="1"/>
  <c r="B47" i="32"/>
  <c r="H62" i="73"/>
  <c r="I62" i="73" s="1"/>
  <c r="F109" i="58"/>
  <c r="G109" i="58" s="1"/>
  <c r="Z73" i="32"/>
  <c r="H63" i="76"/>
  <c r="F93" i="58"/>
  <c r="F108" i="58"/>
  <c r="F117" i="58"/>
  <c r="F107" i="58"/>
  <c r="F52" i="49"/>
  <c r="M16" i="49" s="1"/>
  <c r="F114" i="58"/>
  <c r="F116" i="58"/>
  <c r="F51" i="49"/>
  <c r="M48" i="49" s="1"/>
  <c r="N48" i="49" s="1"/>
  <c r="H61" i="73"/>
  <c r="I61" i="73" s="1"/>
  <c r="F50" i="49"/>
  <c r="M71" i="49" s="1"/>
  <c r="F95" i="58"/>
  <c r="N42" i="14"/>
  <c r="N41" i="14"/>
  <c r="N34" i="75" s="1"/>
  <c r="N39" i="14"/>
  <c r="N35" i="75" s="1"/>
  <c r="N26" i="14"/>
  <c r="H60" i="73"/>
  <c r="H51" i="73"/>
  <c r="H49" i="73"/>
  <c r="N37" i="75" l="1"/>
  <c r="O26" i="14"/>
  <c r="N11" i="75"/>
  <c r="P26" i="14"/>
  <c r="R11" i="75" s="1"/>
  <c r="N25" i="14"/>
  <c r="N12" i="75" s="1"/>
  <c r="N13" i="14"/>
  <c r="N20" i="75" s="1"/>
  <c r="N11" i="14"/>
  <c r="N25" i="75" s="1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E45" i="50"/>
  <c r="E44" i="50"/>
  <c r="G44" i="50"/>
  <c r="G43" i="50"/>
  <c r="E43" i="50"/>
  <c r="G78" i="50"/>
  <c r="G74" i="50"/>
  <c r="G71" i="50"/>
  <c r="G59" i="50"/>
  <c r="G57" i="50"/>
  <c r="G53" i="50"/>
  <c r="G50" i="50"/>
  <c r="E89" i="50"/>
  <c r="E88" i="50"/>
  <c r="E87" i="50"/>
  <c r="E86" i="50"/>
  <c r="E85" i="50"/>
  <c r="E84" i="50"/>
  <c r="E81" i="50"/>
  <c r="E80" i="50"/>
  <c r="E79" i="50"/>
  <c r="E78" i="50"/>
  <c r="E77" i="50"/>
  <c r="E76" i="50"/>
  <c r="E75" i="50"/>
  <c r="E74" i="50"/>
  <c r="E73" i="50"/>
  <c r="E72" i="50"/>
  <c r="E71" i="50"/>
  <c r="E70" i="50"/>
  <c r="E69" i="50"/>
  <c r="E68" i="50"/>
  <c r="E67" i="50"/>
  <c r="E66" i="50"/>
  <c r="E65" i="50"/>
  <c r="E64" i="50"/>
  <c r="E63" i="50"/>
  <c r="E59" i="50"/>
  <c r="E58" i="50"/>
  <c r="E57" i="50"/>
  <c r="E56" i="50"/>
  <c r="E55" i="50"/>
  <c r="E54" i="50"/>
  <c r="E53" i="50"/>
  <c r="E52" i="50"/>
  <c r="E51" i="50"/>
  <c r="E50" i="50"/>
  <c r="E49" i="50"/>
  <c r="E48" i="50"/>
  <c r="C89" i="50"/>
  <c r="C88" i="50"/>
  <c r="C87" i="50"/>
  <c r="C86" i="50"/>
  <c r="C85" i="50"/>
  <c r="C84" i="50"/>
  <c r="C81" i="50"/>
  <c r="C80" i="50"/>
  <c r="C79" i="50"/>
  <c r="C78" i="50"/>
  <c r="C77" i="50"/>
  <c r="C76" i="50"/>
  <c r="C75" i="50"/>
  <c r="C74" i="50"/>
  <c r="C73" i="50"/>
  <c r="C72" i="50"/>
  <c r="C71" i="50"/>
  <c r="C70" i="50"/>
  <c r="C69" i="50"/>
  <c r="C68" i="50"/>
  <c r="C67" i="50"/>
  <c r="C66" i="50"/>
  <c r="C65" i="50"/>
  <c r="C64" i="50"/>
  <c r="C63" i="50"/>
  <c r="C59" i="50"/>
  <c r="C58" i="50"/>
  <c r="C57" i="50"/>
  <c r="C56" i="50"/>
  <c r="C55" i="50"/>
  <c r="C54" i="50"/>
  <c r="C53" i="50"/>
  <c r="C52" i="50"/>
  <c r="C51" i="50"/>
  <c r="C50" i="50"/>
  <c r="C49" i="50"/>
  <c r="E34" i="50"/>
  <c r="E33" i="50"/>
  <c r="F33" i="50" s="1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C48" i="50"/>
  <c r="C44" i="50"/>
  <c r="C45" i="50"/>
  <c r="C43" i="50"/>
  <c r="C33" i="50"/>
  <c r="C34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C28" i="50"/>
  <c r="C29" i="50"/>
  <c r="C30" i="50"/>
  <c r="C31" i="50"/>
  <c r="C32" i="50"/>
  <c r="C6" i="50"/>
  <c r="D59" i="73"/>
  <c r="C59" i="73"/>
  <c r="E33" i="73"/>
  <c r="B33" i="73"/>
  <c r="D33" i="73" s="1"/>
  <c r="O11" i="75" l="1"/>
  <c r="F19" i="60"/>
  <c r="C33" i="73"/>
  <c r="L14" i="73"/>
  <c r="E18" i="76"/>
  <c r="B18" i="76"/>
  <c r="D18" i="76" s="1"/>
  <c r="C35" i="58"/>
  <c r="B35" i="58"/>
  <c r="C18" i="76" l="1"/>
  <c r="C37" i="32"/>
  <c r="B37" i="32"/>
  <c r="I31" i="17"/>
  <c r="E31" i="17" s="1"/>
  <c r="E15" i="37"/>
  <c r="F98" i="58" s="1"/>
  <c r="F106" i="58"/>
  <c r="G33" i="50" l="1"/>
  <c r="D35" i="58"/>
  <c r="G35" i="58" s="1"/>
  <c r="F18" i="76"/>
  <c r="I18" i="76" s="1"/>
  <c r="D37" i="32"/>
  <c r="G37" i="32" s="1"/>
  <c r="H54" i="73"/>
  <c r="N16" i="14"/>
  <c r="N21" i="75" s="1"/>
  <c r="N24" i="14"/>
  <c r="N31" i="75" s="1"/>
  <c r="O41" i="14"/>
  <c r="O33" i="14"/>
  <c r="X37" i="32" l="1"/>
  <c r="O34" i="75"/>
  <c r="F15" i="60"/>
  <c r="O26" i="75"/>
  <c r="F11" i="60"/>
  <c r="D68" i="76"/>
  <c r="C68" i="76"/>
  <c r="D67" i="76"/>
  <c r="C67" i="76"/>
  <c r="D66" i="76"/>
  <c r="C66" i="76"/>
  <c r="D65" i="76"/>
  <c r="C65" i="76"/>
  <c r="D64" i="76"/>
  <c r="C64" i="76"/>
  <c r="D63" i="76"/>
  <c r="C63" i="76"/>
  <c r="D62" i="76"/>
  <c r="C62" i="76"/>
  <c r="D61" i="76"/>
  <c r="C61" i="76"/>
  <c r="G60" i="76"/>
  <c r="E60" i="76"/>
  <c r="B60" i="76"/>
  <c r="D60" i="76" s="1"/>
  <c r="G59" i="76"/>
  <c r="E59" i="76"/>
  <c r="B59" i="76"/>
  <c r="D59" i="76" s="1"/>
  <c r="G58" i="76"/>
  <c r="E58" i="76"/>
  <c r="B58" i="76"/>
  <c r="D58" i="76" s="1"/>
  <c r="G57" i="76"/>
  <c r="E57" i="76"/>
  <c r="B57" i="76"/>
  <c r="D57" i="76" s="1"/>
  <c r="G56" i="76"/>
  <c r="E56" i="76"/>
  <c r="B56" i="76"/>
  <c r="C56" i="76" s="1"/>
  <c r="G55" i="76"/>
  <c r="E55" i="76"/>
  <c r="B55" i="76"/>
  <c r="D55" i="76" s="1"/>
  <c r="G52" i="76"/>
  <c r="E52" i="76"/>
  <c r="B52" i="76"/>
  <c r="D52" i="76" s="1"/>
  <c r="G51" i="76"/>
  <c r="E51" i="76"/>
  <c r="B51" i="76"/>
  <c r="D51" i="76" s="1"/>
  <c r="G50" i="76"/>
  <c r="E50" i="76"/>
  <c r="B50" i="76"/>
  <c r="D50" i="76" s="1"/>
  <c r="G49" i="76"/>
  <c r="F49" i="76"/>
  <c r="E49" i="76"/>
  <c r="B49" i="76"/>
  <c r="D49" i="76" s="1"/>
  <c r="G48" i="76"/>
  <c r="E48" i="76"/>
  <c r="B48" i="76"/>
  <c r="D48" i="76" s="1"/>
  <c r="G47" i="76"/>
  <c r="E47" i="76"/>
  <c r="B47" i="76"/>
  <c r="D47" i="76" s="1"/>
  <c r="G46" i="76"/>
  <c r="E46" i="76"/>
  <c r="B46" i="76"/>
  <c r="C46" i="76" s="1"/>
  <c r="F45" i="76"/>
  <c r="E45" i="76"/>
  <c r="B45" i="76"/>
  <c r="D45" i="76" s="1"/>
  <c r="G44" i="76"/>
  <c r="E44" i="76"/>
  <c r="B44" i="76"/>
  <c r="D44" i="76" s="1"/>
  <c r="G43" i="76"/>
  <c r="E43" i="76"/>
  <c r="B43" i="76"/>
  <c r="D43" i="76" s="1"/>
  <c r="F42" i="76"/>
  <c r="E42" i="76"/>
  <c r="B42" i="76"/>
  <c r="D42" i="76" s="1"/>
  <c r="G41" i="76"/>
  <c r="E41" i="76"/>
  <c r="B41" i="76"/>
  <c r="D41" i="76" s="1"/>
  <c r="G40" i="76"/>
  <c r="E40" i="76"/>
  <c r="B40" i="76"/>
  <c r="D40" i="76" s="1"/>
  <c r="G39" i="76"/>
  <c r="E39" i="76"/>
  <c r="B39" i="76"/>
  <c r="D39" i="76" s="1"/>
  <c r="G38" i="76"/>
  <c r="E38" i="76"/>
  <c r="B38" i="76"/>
  <c r="C38" i="76" s="1"/>
  <c r="G37" i="76"/>
  <c r="E37" i="76"/>
  <c r="B37" i="76"/>
  <c r="D37" i="76" s="1"/>
  <c r="G36" i="76"/>
  <c r="E36" i="76"/>
  <c r="B36" i="76"/>
  <c r="D36" i="76" s="1"/>
  <c r="G35" i="76"/>
  <c r="E35" i="76"/>
  <c r="B35" i="76"/>
  <c r="D35" i="76" s="1"/>
  <c r="G34" i="76"/>
  <c r="E34" i="76"/>
  <c r="B34" i="76"/>
  <c r="D34" i="76" s="1"/>
  <c r="F30" i="76"/>
  <c r="E30" i="76"/>
  <c r="B30" i="76"/>
  <c r="D30" i="76" s="1"/>
  <c r="G29" i="76"/>
  <c r="E29" i="76"/>
  <c r="B29" i="76"/>
  <c r="D29" i="76" s="1"/>
  <c r="F28" i="76"/>
  <c r="E28" i="76"/>
  <c r="B28" i="76"/>
  <c r="D28" i="76" s="1"/>
  <c r="G27" i="76"/>
  <c r="E27" i="76"/>
  <c r="B27" i="76"/>
  <c r="C27" i="76" s="1"/>
  <c r="G26" i="76"/>
  <c r="E26" i="76"/>
  <c r="B26" i="76"/>
  <c r="D26" i="76" s="1"/>
  <c r="G25" i="76"/>
  <c r="E25" i="76"/>
  <c r="B25" i="76"/>
  <c r="D25" i="76" s="1"/>
  <c r="F24" i="76"/>
  <c r="E24" i="76"/>
  <c r="B24" i="76"/>
  <c r="D24" i="76" s="1"/>
  <c r="G23" i="76"/>
  <c r="E23" i="76"/>
  <c r="B23" i="76"/>
  <c r="D23" i="76" s="1"/>
  <c r="G22" i="76"/>
  <c r="E22" i="76"/>
  <c r="B22" i="76"/>
  <c r="D22" i="76" s="1"/>
  <c r="F21" i="76"/>
  <c r="E21" i="76"/>
  <c r="B21" i="76"/>
  <c r="D21" i="76" s="1"/>
  <c r="G20" i="76"/>
  <c r="E20" i="76"/>
  <c r="B20" i="76"/>
  <c r="D20" i="76" s="1"/>
  <c r="G19" i="76"/>
  <c r="E19" i="76"/>
  <c r="B19" i="76"/>
  <c r="C19" i="76" s="1"/>
  <c r="E17" i="76"/>
  <c r="B17" i="76"/>
  <c r="D17" i="76" s="1"/>
  <c r="E15" i="76"/>
  <c r="B15" i="76"/>
  <c r="D15" i="76" s="1"/>
  <c r="E14" i="76"/>
  <c r="B14" i="76"/>
  <c r="C14" i="76" s="1"/>
  <c r="E13" i="76"/>
  <c r="B13" i="76"/>
  <c r="E4" i="76"/>
  <c r="E63" i="76" s="1"/>
  <c r="D65" i="73"/>
  <c r="D64" i="73"/>
  <c r="D60" i="73"/>
  <c r="D58" i="73"/>
  <c r="D57" i="73"/>
  <c r="D56" i="73"/>
  <c r="D54" i="73"/>
  <c r="D53" i="73"/>
  <c r="D52" i="73"/>
  <c r="D51" i="73"/>
  <c r="D50" i="73"/>
  <c r="D49" i="73"/>
  <c r="D48" i="73"/>
  <c r="C65" i="73"/>
  <c r="C64" i="73"/>
  <c r="C60" i="73"/>
  <c r="C58" i="73"/>
  <c r="C57" i="73"/>
  <c r="C56" i="73"/>
  <c r="C54" i="73"/>
  <c r="C53" i="73"/>
  <c r="C52" i="73"/>
  <c r="C51" i="73"/>
  <c r="C50" i="73"/>
  <c r="C49" i="73"/>
  <c r="C48" i="73"/>
  <c r="E2" i="75"/>
  <c r="D13" i="76" l="1"/>
  <c r="H2" i="76"/>
  <c r="O35" i="14"/>
  <c r="O15" i="75" s="1"/>
  <c r="N15" i="75"/>
  <c r="I49" i="76"/>
  <c r="C37" i="76"/>
  <c r="D27" i="76"/>
  <c r="C50" i="76"/>
  <c r="C26" i="76"/>
  <c r="D19" i="76"/>
  <c r="D56" i="76"/>
  <c r="C60" i="76"/>
  <c r="C34" i="76"/>
  <c r="D46" i="76"/>
  <c r="C55" i="76"/>
  <c r="C23" i="76"/>
  <c r="D38" i="76"/>
  <c r="C45" i="76"/>
  <c r="C42" i="76"/>
  <c r="D14" i="76"/>
  <c r="C17" i="76"/>
  <c r="C15" i="76"/>
  <c r="C25" i="76"/>
  <c r="C36" i="76"/>
  <c r="C44" i="76"/>
  <c r="C52" i="76"/>
  <c r="E67" i="76"/>
  <c r="C13" i="76"/>
  <c r="C24" i="76"/>
  <c r="C35" i="76"/>
  <c r="C43" i="76"/>
  <c r="C51" i="76"/>
  <c r="E64" i="76"/>
  <c r="C22" i="76"/>
  <c r="C30" i="76"/>
  <c r="C41" i="76"/>
  <c r="C49" i="76"/>
  <c r="C59" i="76"/>
  <c r="E62" i="76"/>
  <c r="E66" i="76"/>
  <c r="C21" i="76"/>
  <c r="C29" i="76"/>
  <c r="C40" i="76"/>
  <c r="C48" i="76"/>
  <c r="C58" i="76"/>
  <c r="C20" i="76"/>
  <c r="C28" i="76"/>
  <c r="C39" i="76"/>
  <c r="C47" i="76"/>
  <c r="C57" i="76"/>
  <c r="E68" i="76"/>
  <c r="E61" i="76"/>
  <c r="E65" i="76"/>
  <c r="E45" i="73" l="1"/>
  <c r="B45" i="73"/>
  <c r="F44" i="73"/>
  <c r="I44" i="73" s="1"/>
  <c r="E44" i="73"/>
  <c r="B44" i="73"/>
  <c r="F43" i="73"/>
  <c r="I43" i="73" s="1"/>
  <c r="E43" i="73"/>
  <c r="B43" i="73"/>
  <c r="E35" i="73"/>
  <c r="B35" i="73"/>
  <c r="F34" i="73"/>
  <c r="I34" i="73" s="1"/>
  <c r="E34" i="73"/>
  <c r="B34" i="73"/>
  <c r="E32" i="73"/>
  <c r="B32" i="73"/>
  <c r="E31" i="73"/>
  <c r="B31" i="73"/>
  <c r="E30" i="73"/>
  <c r="B30" i="73"/>
  <c r="E28" i="73"/>
  <c r="B28" i="73"/>
  <c r="E27" i="73"/>
  <c r="B27" i="73"/>
  <c r="E26" i="73"/>
  <c r="B26" i="73"/>
  <c r="E25" i="73"/>
  <c r="B25" i="73"/>
  <c r="E24" i="73"/>
  <c r="B24" i="73"/>
  <c r="E23" i="73"/>
  <c r="B23" i="73"/>
  <c r="E22" i="73"/>
  <c r="B22" i="73"/>
  <c r="E21" i="73"/>
  <c r="B21" i="73"/>
  <c r="E20" i="73"/>
  <c r="B20" i="73"/>
  <c r="E19" i="73"/>
  <c r="B19" i="73"/>
  <c r="E18" i="73"/>
  <c r="B18" i="73"/>
  <c r="E17" i="73"/>
  <c r="B17" i="73"/>
  <c r="E16" i="73"/>
  <c r="B16" i="73"/>
  <c r="E15" i="73"/>
  <c r="B15" i="73"/>
  <c r="E14" i="73"/>
  <c r="B14" i="73"/>
  <c r="E13" i="73"/>
  <c r="B13" i="73"/>
  <c r="E12" i="73"/>
  <c r="B12" i="73"/>
  <c r="E4" i="73"/>
  <c r="E62" i="73" s="1"/>
  <c r="E59" i="73" l="1"/>
  <c r="E61" i="73"/>
  <c r="E55" i="73"/>
  <c r="C18" i="73"/>
  <c r="D18" i="73"/>
  <c r="C26" i="73"/>
  <c r="D26" i="73"/>
  <c r="C45" i="73"/>
  <c r="D45" i="73"/>
  <c r="C13" i="73"/>
  <c r="D13" i="73"/>
  <c r="C21" i="73"/>
  <c r="D21" i="73"/>
  <c r="C35" i="73"/>
  <c r="D35" i="73"/>
  <c r="C16" i="73"/>
  <c r="D16" i="73"/>
  <c r="C24" i="73"/>
  <c r="D24" i="73"/>
  <c r="C32" i="73"/>
  <c r="D32" i="73"/>
  <c r="C43" i="73"/>
  <c r="D43" i="73"/>
  <c r="C19" i="73"/>
  <c r="D19" i="73"/>
  <c r="C27" i="73"/>
  <c r="D27" i="73"/>
  <c r="C15" i="73"/>
  <c r="D15" i="73"/>
  <c r="C14" i="73"/>
  <c r="D14" i="73"/>
  <c r="C22" i="73"/>
  <c r="D22" i="73"/>
  <c r="C30" i="73"/>
  <c r="D30" i="73"/>
  <c r="C23" i="73"/>
  <c r="D23" i="73"/>
  <c r="C31" i="73"/>
  <c r="D31" i="73"/>
  <c r="C17" i="73"/>
  <c r="D17" i="73"/>
  <c r="C25" i="73"/>
  <c r="D25" i="73"/>
  <c r="C44" i="73"/>
  <c r="D44" i="73"/>
  <c r="C12" i="73"/>
  <c r="D12" i="73"/>
  <c r="C20" i="73"/>
  <c r="D20" i="73"/>
  <c r="C28" i="73"/>
  <c r="D28" i="73"/>
  <c r="C34" i="73"/>
  <c r="D34" i="73"/>
  <c r="M9" i="73"/>
  <c r="E57" i="73"/>
  <c r="E48" i="73"/>
  <c r="E56" i="73"/>
  <c r="E64" i="73"/>
  <c r="E51" i="73"/>
  <c r="E49" i="73"/>
  <c r="E65" i="73"/>
  <c r="E54" i="73"/>
  <c r="E52" i="73"/>
  <c r="E60" i="73"/>
  <c r="E50" i="73"/>
  <c r="E58" i="73"/>
  <c r="E53" i="73"/>
  <c r="J14" i="70" l="1"/>
  <c r="C3" i="70"/>
  <c r="G10" i="70"/>
  <c r="D14" i="70"/>
  <c r="F14" i="70"/>
  <c r="I14" i="70"/>
  <c r="F89" i="50"/>
  <c r="F34" i="50"/>
  <c r="G37" i="69"/>
  <c r="E30" i="69"/>
  <c r="E28" i="69"/>
  <c r="S26" i="69"/>
  <c r="E26" i="69"/>
  <c r="D24" i="69"/>
  <c r="D14" i="69"/>
  <c r="G11" i="69"/>
  <c r="D11" i="69"/>
  <c r="D8" i="69"/>
  <c r="E91" i="58"/>
  <c r="C91" i="58"/>
  <c r="B91" i="58"/>
  <c r="C36" i="58"/>
  <c r="B36" i="58"/>
  <c r="Q40" i="14"/>
  <c r="Q36" i="75" s="1"/>
  <c r="H14" i="70" l="1"/>
  <c r="D17" i="69"/>
  <c r="AE27" i="32"/>
  <c r="AD27" i="32"/>
  <c r="AD26" i="32"/>
  <c r="AD25" i="32"/>
  <c r="AD24" i="32"/>
  <c r="AD23" i="32"/>
  <c r="AD22" i="32"/>
  <c r="AD21" i="32"/>
  <c r="AD20" i="32"/>
  <c r="AD19" i="32"/>
  <c r="AD18" i="32"/>
  <c r="AD17" i="32"/>
  <c r="AD16" i="32"/>
  <c r="AD15" i="32"/>
  <c r="AD14" i="32"/>
  <c r="AD13" i="32"/>
  <c r="AD12" i="32"/>
  <c r="F62" i="32"/>
  <c r="G62" i="32" s="1"/>
  <c r="I32" i="17"/>
  <c r="E32" i="17" s="1"/>
  <c r="B38" i="32"/>
  <c r="C38" i="32"/>
  <c r="L43" i="14"/>
  <c r="S38" i="75" s="1"/>
  <c r="D24" i="37"/>
  <c r="L25" i="14"/>
  <c r="S12" i="75" s="1"/>
  <c r="S29" i="75" s="1"/>
  <c r="D44" i="40"/>
  <c r="D49" i="49" l="1"/>
  <c r="G89" i="50"/>
  <c r="F60" i="76"/>
  <c r="I60" i="76" s="1"/>
  <c r="D91" i="58"/>
  <c r="G91" i="58" s="1"/>
  <c r="G34" i="50"/>
  <c r="F35" i="73"/>
  <c r="I35" i="73" s="1"/>
  <c r="D36" i="58"/>
  <c r="G36" i="58" s="1"/>
  <c r="D38" i="32"/>
  <c r="G38" i="32" s="1"/>
  <c r="I60" i="73"/>
  <c r="G107" i="58"/>
  <c r="Y62" i="32"/>
  <c r="Y71" i="32" s="1"/>
  <c r="K82" i="49" l="1"/>
  <c r="N82" i="49" s="1"/>
  <c r="G49" i="49"/>
  <c r="F54" i="49"/>
  <c r="M83" i="49" s="1"/>
  <c r="F118" i="58"/>
  <c r="N43" i="14"/>
  <c r="Y38" i="32"/>
  <c r="O25" i="14"/>
  <c r="P25" i="14"/>
  <c r="R12" i="75" s="1"/>
  <c r="I21" i="14"/>
  <c r="N38" i="75" l="1"/>
  <c r="O43" i="14"/>
  <c r="O12" i="75"/>
  <c r="F18" i="60"/>
  <c r="E14" i="37"/>
  <c r="Y72" i="32" l="1"/>
  <c r="Y74" i="32"/>
  <c r="Y73" i="32"/>
  <c r="O38" i="75"/>
  <c r="F14" i="60"/>
  <c r="F97" i="58"/>
  <c r="H53" i="73"/>
  <c r="N15" i="14"/>
  <c r="N23" i="75" s="1"/>
  <c r="D2" i="14"/>
  <c r="C2" i="37" s="1"/>
  <c r="K6" i="37" s="1"/>
  <c r="G7" i="37" l="1"/>
  <c r="E7" i="37"/>
  <c r="D2" i="65"/>
  <c r="D3" i="44"/>
  <c r="K18" i="63"/>
  <c r="P96" i="62"/>
  <c r="P95" i="62"/>
  <c r="P94" i="62"/>
  <c r="P93" i="62"/>
  <c r="P92" i="62"/>
  <c r="P91" i="62"/>
  <c r="P90" i="62"/>
  <c r="P89" i="62"/>
  <c r="P88" i="62"/>
  <c r="P87" i="62"/>
  <c r="P86" i="62"/>
  <c r="P85" i="62"/>
  <c r="P84" i="62"/>
  <c r="P83" i="62"/>
  <c r="P82" i="62"/>
  <c r="P81" i="62"/>
  <c r="P80" i="62"/>
  <c r="P79" i="62"/>
  <c r="P78" i="62"/>
  <c r="P77" i="62"/>
  <c r="P76" i="62"/>
  <c r="P75" i="62"/>
  <c r="P74" i="62"/>
  <c r="P73" i="62"/>
  <c r="P72" i="62"/>
  <c r="P71" i="62"/>
  <c r="P70" i="62"/>
  <c r="P69" i="62"/>
  <c r="P68" i="62"/>
  <c r="P67" i="62"/>
  <c r="P66" i="62"/>
  <c r="P65" i="62"/>
  <c r="P64" i="62"/>
  <c r="P63" i="62"/>
  <c r="P62" i="62"/>
  <c r="P61" i="62"/>
  <c r="P60" i="62"/>
  <c r="P59" i="62"/>
  <c r="P58" i="62"/>
  <c r="P57" i="62"/>
  <c r="P56" i="62"/>
  <c r="P55" i="62"/>
  <c r="P54" i="62"/>
  <c r="P53" i="62"/>
  <c r="P52" i="62"/>
  <c r="P51" i="62"/>
  <c r="P50" i="62"/>
  <c r="P49" i="62"/>
  <c r="P48" i="62"/>
  <c r="P47" i="62"/>
  <c r="P46" i="62"/>
  <c r="P45" i="62"/>
  <c r="P44" i="62"/>
  <c r="P43" i="62"/>
  <c r="P42" i="62"/>
  <c r="P41" i="62"/>
  <c r="P40" i="62"/>
  <c r="P39" i="62"/>
  <c r="P38" i="62"/>
  <c r="P37" i="62"/>
  <c r="P36" i="62"/>
  <c r="P35" i="62"/>
  <c r="P34" i="62"/>
  <c r="P33" i="62"/>
  <c r="P32" i="62"/>
  <c r="P31" i="62"/>
  <c r="P30" i="62"/>
  <c r="P29" i="62"/>
  <c r="P28" i="62"/>
  <c r="P27" i="62"/>
  <c r="P26" i="62"/>
  <c r="P25" i="62"/>
  <c r="P24" i="62"/>
  <c r="P23" i="62"/>
  <c r="P22" i="62"/>
  <c r="P21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AE13" i="32"/>
  <c r="AE14" i="32"/>
  <c r="AE15" i="32"/>
  <c r="AE16" i="32"/>
  <c r="AE17" i="32"/>
  <c r="AE18" i="32"/>
  <c r="AE19" i="32"/>
  <c r="AE20" i="32"/>
  <c r="AE21" i="32"/>
  <c r="AE22" i="32"/>
  <c r="AE23" i="32"/>
  <c r="AE24" i="32"/>
  <c r="AE12" i="32"/>
  <c r="L73" i="62"/>
  <c r="L72" i="62"/>
  <c r="L71" i="62"/>
  <c r="L70" i="62"/>
  <c r="L69" i="62"/>
  <c r="L68" i="62"/>
  <c r="L67" i="62"/>
  <c r="L66" i="62"/>
  <c r="L65" i="62"/>
  <c r="L64" i="62"/>
  <c r="L63" i="62"/>
  <c r="L62" i="62"/>
  <c r="L60" i="62"/>
  <c r="L59" i="62"/>
  <c r="L57" i="62"/>
  <c r="L56" i="62"/>
  <c r="L55" i="62"/>
  <c r="L54" i="62"/>
  <c r="L53" i="62"/>
  <c r="L52" i="62"/>
  <c r="L51" i="62"/>
  <c r="L50" i="62"/>
  <c r="L48" i="62"/>
  <c r="L46" i="62"/>
  <c r="L45" i="62"/>
  <c r="L44" i="62"/>
  <c r="L42" i="62"/>
  <c r="L41" i="62"/>
  <c r="L39" i="62"/>
  <c r="L38" i="62"/>
  <c r="L37" i="62"/>
  <c r="L36" i="62"/>
  <c r="L35" i="62"/>
  <c r="L34" i="62"/>
  <c r="L33" i="62"/>
  <c r="L32" i="62"/>
  <c r="L31" i="62"/>
  <c r="L30" i="62"/>
  <c r="L29" i="62"/>
  <c r="L28" i="62"/>
  <c r="L27" i="62"/>
  <c r="L26" i="62"/>
  <c r="L25" i="62"/>
  <c r="L24" i="62"/>
  <c r="L23" i="62"/>
  <c r="L22" i="62"/>
  <c r="L21" i="62"/>
  <c r="L20" i="62"/>
  <c r="L19" i="62"/>
  <c r="L18" i="62"/>
  <c r="L17" i="62"/>
  <c r="L16" i="62"/>
  <c r="L15" i="62"/>
  <c r="L14" i="62"/>
  <c r="L13" i="62"/>
  <c r="L12" i="62"/>
  <c r="L11" i="62"/>
  <c r="L10" i="62"/>
  <c r="L9" i="62"/>
  <c r="L8" i="62"/>
  <c r="K65" i="62"/>
  <c r="K61" i="62"/>
  <c r="K58" i="62"/>
  <c r="K49" i="62"/>
  <c r="K47" i="62"/>
  <c r="K43" i="62"/>
  <c r="K40" i="62"/>
  <c r="K36" i="62"/>
  <c r="K35" i="62"/>
  <c r="K32" i="62"/>
  <c r="E90" i="58"/>
  <c r="C90" i="58"/>
  <c r="B90" i="58"/>
  <c r="E89" i="58"/>
  <c r="C89" i="58"/>
  <c r="B89" i="58"/>
  <c r="E88" i="58"/>
  <c r="C88" i="58"/>
  <c r="B88" i="58"/>
  <c r="E87" i="58"/>
  <c r="C87" i="58"/>
  <c r="B87" i="58"/>
  <c r="E86" i="58"/>
  <c r="C86" i="58"/>
  <c r="B86" i="58"/>
  <c r="E83" i="58"/>
  <c r="C83" i="58"/>
  <c r="B83" i="58"/>
  <c r="E82" i="58"/>
  <c r="C82" i="58"/>
  <c r="B82" i="58"/>
  <c r="E81" i="58"/>
  <c r="C81" i="58"/>
  <c r="B81" i="58"/>
  <c r="E80" i="58"/>
  <c r="D80" i="58"/>
  <c r="C80" i="58"/>
  <c r="B80" i="58"/>
  <c r="E79" i="58"/>
  <c r="C79" i="58"/>
  <c r="B79" i="58"/>
  <c r="E78" i="58"/>
  <c r="C78" i="58"/>
  <c r="B78" i="58"/>
  <c r="E77" i="58"/>
  <c r="C77" i="58"/>
  <c r="B77" i="58"/>
  <c r="D76" i="58"/>
  <c r="C76" i="58"/>
  <c r="B76" i="58"/>
  <c r="E75" i="58"/>
  <c r="C75" i="58"/>
  <c r="B75" i="58"/>
  <c r="E74" i="58"/>
  <c r="C74" i="58"/>
  <c r="B74" i="58"/>
  <c r="D73" i="58"/>
  <c r="C73" i="58"/>
  <c r="B73" i="58"/>
  <c r="E72" i="58"/>
  <c r="C72" i="58"/>
  <c r="B72" i="58"/>
  <c r="E71" i="58"/>
  <c r="C71" i="58"/>
  <c r="B71" i="58"/>
  <c r="E70" i="58"/>
  <c r="C70" i="58"/>
  <c r="B70" i="58"/>
  <c r="E69" i="58"/>
  <c r="C69" i="58"/>
  <c r="B69" i="58"/>
  <c r="E68" i="58"/>
  <c r="C68" i="58"/>
  <c r="B68" i="58"/>
  <c r="E67" i="58"/>
  <c r="C67" i="58"/>
  <c r="B67" i="58"/>
  <c r="E66" i="58"/>
  <c r="C66" i="58"/>
  <c r="B66" i="58"/>
  <c r="E65" i="58"/>
  <c r="C65" i="58"/>
  <c r="B65" i="58"/>
  <c r="D61" i="58"/>
  <c r="C61" i="58"/>
  <c r="B61" i="58"/>
  <c r="E60" i="58"/>
  <c r="C60" i="58"/>
  <c r="B60" i="58"/>
  <c r="D59" i="58"/>
  <c r="C59" i="58"/>
  <c r="B59" i="58"/>
  <c r="E58" i="58"/>
  <c r="C58" i="58"/>
  <c r="B58" i="58"/>
  <c r="E57" i="58"/>
  <c r="C57" i="58"/>
  <c r="B57" i="58"/>
  <c r="E56" i="58"/>
  <c r="C56" i="58"/>
  <c r="B56" i="58"/>
  <c r="D55" i="58"/>
  <c r="C55" i="58"/>
  <c r="B55" i="58"/>
  <c r="E54" i="58"/>
  <c r="C54" i="58"/>
  <c r="B54" i="58"/>
  <c r="E53" i="58"/>
  <c r="C53" i="58"/>
  <c r="B53" i="58"/>
  <c r="D52" i="58"/>
  <c r="C52" i="58"/>
  <c r="B52" i="58"/>
  <c r="E51" i="58"/>
  <c r="C51" i="58"/>
  <c r="B51" i="58"/>
  <c r="E50" i="58"/>
  <c r="C50" i="58"/>
  <c r="B50" i="58"/>
  <c r="C47" i="58"/>
  <c r="B47" i="58"/>
  <c r="D46" i="58"/>
  <c r="C46" i="58"/>
  <c r="B46" i="58"/>
  <c r="D45" i="58"/>
  <c r="C45" i="58"/>
  <c r="B45" i="58"/>
  <c r="C34" i="58"/>
  <c r="B34" i="58"/>
  <c r="C33" i="58"/>
  <c r="B33" i="58"/>
  <c r="D32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D48" i="39"/>
  <c r="C48" i="39"/>
  <c r="D47" i="39"/>
  <c r="C47" i="39"/>
  <c r="E46" i="39"/>
  <c r="D46" i="39"/>
  <c r="C46" i="39"/>
  <c r="D45" i="39"/>
  <c r="C45" i="39"/>
  <c r="D44" i="39"/>
  <c r="C44" i="39"/>
  <c r="D43" i="39"/>
  <c r="C43" i="39"/>
  <c r="D42" i="39"/>
  <c r="C42" i="39"/>
  <c r="D41" i="39"/>
  <c r="C41" i="39"/>
  <c r="D40" i="39"/>
  <c r="C40" i="39"/>
  <c r="D39" i="39"/>
  <c r="C39" i="39"/>
  <c r="D38" i="39"/>
  <c r="C38" i="39"/>
  <c r="D37" i="39"/>
  <c r="C37" i="39"/>
  <c r="D36" i="39"/>
  <c r="C36" i="39"/>
  <c r="D35" i="39"/>
  <c r="C35" i="39"/>
  <c r="D34" i="39"/>
  <c r="C34" i="39"/>
  <c r="D33" i="39"/>
  <c r="C33" i="39"/>
  <c r="D32" i="39"/>
  <c r="C32" i="39"/>
  <c r="D31" i="39"/>
  <c r="C31" i="39"/>
  <c r="D30" i="39"/>
  <c r="C30" i="39"/>
  <c r="D29" i="39"/>
  <c r="C29" i="39"/>
  <c r="D28" i="39"/>
  <c r="C28" i="39"/>
  <c r="D27" i="39"/>
  <c r="C27" i="39"/>
  <c r="D26" i="39"/>
  <c r="C26" i="39"/>
  <c r="D25" i="39"/>
  <c r="C25" i="39"/>
  <c r="D24" i="39"/>
  <c r="C24" i="39"/>
  <c r="D23" i="39"/>
  <c r="C23" i="39"/>
  <c r="D22" i="39"/>
  <c r="C22" i="39"/>
  <c r="C36" i="32"/>
  <c r="B36" i="32"/>
  <c r="C35" i="32"/>
  <c r="B35" i="32"/>
  <c r="D34" i="32"/>
  <c r="C34" i="32"/>
  <c r="B34" i="32"/>
  <c r="C33" i="32"/>
  <c r="B33" i="32"/>
  <c r="C32" i="32"/>
  <c r="B32" i="32"/>
  <c r="C31" i="32"/>
  <c r="B31" i="32"/>
  <c r="C30" i="32"/>
  <c r="B30" i="32"/>
  <c r="C29" i="32"/>
  <c r="B29" i="32"/>
  <c r="C28" i="32"/>
  <c r="B28" i="32"/>
  <c r="C27" i="32"/>
  <c r="B27" i="32"/>
  <c r="C26" i="32"/>
  <c r="B26" i="32"/>
  <c r="C25" i="32"/>
  <c r="B25" i="32"/>
  <c r="C24" i="32"/>
  <c r="B24" i="32"/>
  <c r="C23" i="32"/>
  <c r="B23" i="32"/>
  <c r="C22" i="32"/>
  <c r="B22" i="32"/>
  <c r="C21" i="32"/>
  <c r="B21" i="32"/>
  <c r="C20" i="32"/>
  <c r="B20" i="32"/>
  <c r="C19" i="32"/>
  <c r="B19" i="32"/>
  <c r="C18" i="32"/>
  <c r="B18" i="32"/>
  <c r="C17" i="32"/>
  <c r="B17" i="32"/>
  <c r="C16" i="32"/>
  <c r="B16" i="32"/>
  <c r="C15" i="32"/>
  <c r="B15" i="32"/>
  <c r="C14" i="32"/>
  <c r="B14" i="32"/>
  <c r="C13" i="32"/>
  <c r="B13" i="32"/>
  <c r="C12" i="32"/>
  <c r="B12" i="32"/>
  <c r="C11" i="32"/>
  <c r="B11" i="32"/>
  <c r="C10" i="32"/>
  <c r="B10" i="32"/>
  <c r="I2" i="58" l="1"/>
  <c r="N5" i="63"/>
  <c r="J28" i="63" l="1"/>
  <c r="K28" i="63"/>
  <c r="I28" i="63"/>
  <c r="H28" i="63"/>
  <c r="G28" i="63"/>
  <c r="I96" i="62"/>
  <c r="I95" i="62"/>
  <c r="I94" i="62"/>
  <c r="I93" i="62"/>
  <c r="I92" i="62"/>
  <c r="I91" i="62"/>
  <c r="I90" i="62"/>
  <c r="I89" i="62"/>
  <c r="I88" i="62"/>
  <c r="I87" i="62"/>
  <c r="I86" i="62"/>
  <c r="I85" i="62"/>
  <c r="I84" i="62"/>
  <c r="I83" i="62"/>
  <c r="I82" i="62"/>
  <c r="I81" i="62"/>
  <c r="I80" i="62"/>
  <c r="I79" i="62"/>
  <c r="I78" i="62"/>
  <c r="I77" i="62"/>
  <c r="I76" i="62"/>
  <c r="I75" i="62"/>
  <c r="I74" i="62"/>
  <c r="I73" i="62"/>
  <c r="I72" i="62"/>
  <c r="I71" i="62"/>
  <c r="I70" i="62"/>
  <c r="I69" i="62"/>
  <c r="I68" i="62"/>
  <c r="I67" i="62"/>
  <c r="I66" i="62"/>
  <c r="I65" i="62"/>
  <c r="I64" i="62"/>
  <c r="I63" i="62"/>
  <c r="I62" i="62"/>
  <c r="I61" i="62"/>
  <c r="I60" i="62"/>
  <c r="I59" i="62"/>
  <c r="I58" i="62"/>
  <c r="I57" i="62"/>
  <c r="I56" i="62"/>
  <c r="I55" i="62"/>
  <c r="I54" i="62"/>
  <c r="I53" i="62"/>
  <c r="I52" i="62"/>
  <c r="I51" i="62"/>
  <c r="I50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I17" i="62"/>
  <c r="I16" i="62"/>
  <c r="I15" i="62"/>
  <c r="I14" i="62"/>
  <c r="I13" i="62"/>
  <c r="I12" i="62"/>
  <c r="I11" i="62"/>
  <c r="I10" i="62"/>
  <c r="I9" i="62"/>
  <c r="I8" i="62"/>
  <c r="H8" i="62"/>
  <c r="H96" i="62"/>
  <c r="H95" i="62"/>
  <c r="H94" i="62"/>
  <c r="H93" i="62"/>
  <c r="H92" i="62"/>
  <c r="H91" i="62"/>
  <c r="H90" i="62"/>
  <c r="H89" i="62"/>
  <c r="H88" i="62"/>
  <c r="H87" i="62"/>
  <c r="H86" i="62"/>
  <c r="H85" i="62"/>
  <c r="H84" i="62"/>
  <c r="H83" i="62"/>
  <c r="H82" i="62"/>
  <c r="H81" i="62"/>
  <c r="H80" i="62"/>
  <c r="H79" i="62"/>
  <c r="H78" i="62"/>
  <c r="H77" i="62"/>
  <c r="H76" i="62"/>
  <c r="H75" i="62"/>
  <c r="H74" i="62"/>
  <c r="H73" i="62"/>
  <c r="H72" i="62"/>
  <c r="H71" i="62"/>
  <c r="H70" i="62"/>
  <c r="H69" i="62"/>
  <c r="H68" i="62"/>
  <c r="H67" i="62"/>
  <c r="H66" i="62"/>
  <c r="H65" i="62"/>
  <c r="H64" i="62"/>
  <c r="H63" i="62"/>
  <c r="H62" i="62"/>
  <c r="H61" i="62"/>
  <c r="H60" i="62"/>
  <c r="H59" i="62"/>
  <c r="H58" i="62"/>
  <c r="H57" i="62"/>
  <c r="H56" i="62"/>
  <c r="H55" i="62"/>
  <c r="H54" i="62"/>
  <c r="H53" i="62"/>
  <c r="H52" i="62"/>
  <c r="H51" i="62"/>
  <c r="H50" i="62"/>
  <c r="H49" i="62"/>
  <c r="H48" i="62"/>
  <c r="H47" i="62"/>
  <c r="H46" i="62"/>
  <c r="H45" i="62"/>
  <c r="H44" i="62"/>
  <c r="H43" i="62"/>
  <c r="H42" i="62"/>
  <c r="H41" i="62"/>
  <c r="H40" i="62"/>
  <c r="H39" i="62"/>
  <c r="H38" i="62"/>
  <c r="H37" i="62"/>
  <c r="H36" i="62"/>
  <c r="H35" i="62"/>
  <c r="H34" i="62"/>
  <c r="H33" i="62"/>
  <c r="H32" i="62"/>
  <c r="H31" i="62"/>
  <c r="H30" i="62"/>
  <c r="H29" i="62"/>
  <c r="H28" i="62"/>
  <c r="H27" i="62"/>
  <c r="H26" i="62"/>
  <c r="H25" i="62"/>
  <c r="H24" i="62"/>
  <c r="H23" i="62"/>
  <c r="H22" i="62"/>
  <c r="H21" i="62"/>
  <c r="H20" i="62"/>
  <c r="H19" i="62"/>
  <c r="H18" i="62"/>
  <c r="H17" i="62"/>
  <c r="H16" i="62"/>
  <c r="H15" i="62"/>
  <c r="H14" i="62"/>
  <c r="H13" i="62"/>
  <c r="H12" i="62"/>
  <c r="H11" i="62"/>
  <c r="H10" i="62"/>
  <c r="H9" i="62"/>
  <c r="K49" i="39"/>
  <c r="K48" i="39"/>
  <c r="K47" i="39"/>
  <c r="K46" i="39"/>
  <c r="K45" i="39"/>
  <c r="K44" i="39"/>
  <c r="K43" i="39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6" i="39"/>
  <c r="X9" i="62" l="1"/>
  <c r="T13" i="62"/>
  <c r="S13" i="62"/>
  <c r="T61" i="62"/>
  <c r="R61" i="62"/>
  <c r="T11" i="62"/>
  <c r="S11" i="62"/>
  <c r="T19" i="62"/>
  <c r="S19" i="62"/>
  <c r="T27" i="62"/>
  <c r="S27" i="62"/>
  <c r="T35" i="62"/>
  <c r="S35" i="62"/>
  <c r="R35" i="62"/>
  <c r="T43" i="62"/>
  <c r="R43" i="62"/>
  <c r="T51" i="62"/>
  <c r="S51" i="62"/>
  <c r="T59" i="62"/>
  <c r="S59" i="62"/>
  <c r="T67" i="62"/>
  <c r="S67" i="62"/>
  <c r="S75" i="62"/>
  <c r="R75" i="62"/>
  <c r="S83" i="62"/>
  <c r="R83" i="62"/>
  <c r="S91" i="62"/>
  <c r="R91" i="62"/>
  <c r="T29" i="62"/>
  <c r="S29" i="62"/>
  <c r="S85" i="62"/>
  <c r="R85" i="62"/>
  <c r="T12" i="62"/>
  <c r="S12" i="62"/>
  <c r="T20" i="62"/>
  <c r="S20" i="62"/>
  <c r="T28" i="62"/>
  <c r="S28" i="62"/>
  <c r="R36" i="62"/>
  <c r="T36" i="62"/>
  <c r="S36" i="62"/>
  <c r="T44" i="62"/>
  <c r="S44" i="62"/>
  <c r="T52" i="62"/>
  <c r="S52" i="62"/>
  <c r="T60" i="62"/>
  <c r="S60" i="62"/>
  <c r="T68" i="62"/>
  <c r="S68" i="62"/>
  <c r="R76" i="62"/>
  <c r="S76" i="62"/>
  <c r="R84" i="62"/>
  <c r="S84" i="62"/>
  <c r="T53" i="62"/>
  <c r="S53" i="62"/>
  <c r="T14" i="62"/>
  <c r="S14" i="62"/>
  <c r="T22" i="62"/>
  <c r="S22" i="62"/>
  <c r="T30" i="62"/>
  <c r="S30" i="62"/>
  <c r="T38" i="62"/>
  <c r="S38" i="62"/>
  <c r="T46" i="62"/>
  <c r="S46" i="62"/>
  <c r="T54" i="62"/>
  <c r="S54" i="62"/>
  <c r="T62" i="62"/>
  <c r="S62" i="62"/>
  <c r="T70" i="62"/>
  <c r="S70" i="62"/>
  <c r="R78" i="62"/>
  <c r="S78" i="62"/>
  <c r="R86" i="62"/>
  <c r="S86" i="62"/>
  <c r="S94" i="62"/>
  <c r="R94" i="62"/>
  <c r="T45" i="62"/>
  <c r="S45" i="62"/>
  <c r="T15" i="62"/>
  <c r="S15" i="62"/>
  <c r="T23" i="62"/>
  <c r="S23" i="62"/>
  <c r="T31" i="62"/>
  <c r="S31" i="62"/>
  <c r="T39" i="62"/>
  <c r="S39" i="62"/>
  <c r="T47" i="62"/>
  <c r="R47" i="62"/>
  <c r="T55" i="62"/>
  <c r="S55" i="62"/>
  <c r="T63" i="62"/>
  <c r="S63" i="62"/>
  <c r="T71" i="62"/>
  <c r="S71" i="62"/>
  <c r="S79" i="62"/>
  <c r="R79" i="62"/>
  <c r="S87" i="62"/>
  <c r="R87" i="62"/>
  <c r="R95" i="62"/>
  <c r="S95" i="62"/>
  <c r="T37" i="62"/>
  <c r="S37" i="62"/>
  <c r="R93" i="62"/>
  <c r="S93" i="62"/>
  <c r="T16" i="62"/>
  <c r="S16" i="62"/>
  <c r="T24" i="62"/>
  <c r="S24" i="62"/>
  <c r="R32" i="62"/>
  <c r="T32" i="62"/>
  <c r="S32" i="62"/>
  <c r="R40" i="62"/>
  <c r="T40" i="62"/>
  <c r="T48" i="62"/>
  <c r="S48" i="62"/>
  <c r="T56" i="62"/>
  <c r="S56" i="62"/>
  <c r="T64" i="62"/>
  <c r="S64" i="62"/>
  <c r="T72" i="62"/>
  <c r="S72" i="62"/>
  <c r="R80" i="62"/>
  <c r="S80" i="62"/>
  <c r="R88" i="62"/>
  <c r="S88" i="62"/>
  <c r="S96" i="62"/>
  <c r="R96" i="62"/>
  <c r="T21" i="62"/>
  <c r="S21" i="62"/>
  <c r="S77" i="62"/>
  <c r="R77" i="62"/>
  <c r="T9" i="62"/>
  <c r="S9" i="62"/>
  <c r="T17" i="62"/>
  <c r="S17" i="62"/>
  <c r="T25" i="62"/>
  <c r="S25" i="62"/>
  <c r="T33" i="62"/>
  <c r="S33" i="62"/>
  <c r="T41" i="62"/>
  <c r="S41" i="62"/>
  <c r="T49" i="62"/>
  <c r="R49" i="62"/>
  <c r="T57" i="62"/>
  <c r="S57" i="62"/>
  <c r="T65" i="62"/>
  <c r="S65" i="62"/>
  <c r="R65" i="62"/>
  <c r="T73" i="62"/>
  <c r="S73" i="62"/>
  <c r="S81" i="62"/>
  <c r="R81" i="62"/>
  <c r="S89" i="62"/>
  <c r="R89" i="62"/>
  <c r="T69" i="62"/>
  <c r="S69" i="62"/>
  <c r="T10" i="62"/>
  <c r="S10" i="62"/>
  <c r="T18" i="62"/>
  <c r="S18" i="62"/>
  <c r="T26" i="62"/>
  <c r="S26" i="62"/>
  <c r="T34" i="62"/>
  <c r="S34" i="62"/>
  <c r="T42" i="62"/>
  <c r="S42" i="62"/>
  <c r="T50" i="62"/>
  <c r="S50" i="62"/>
  <c r="R58" i="62"/>
  <c r="T58" i="62"/>
  <c r="T66" i="62"/>
  <c r="S66" i="62"/>
  <c r="R74" i="62"/>
  <c r="S74" i="62"/>
  <c r="R82" i="62"/>
  <c r="S82" i="62"/>
  <c r="R90" i="62"/>
  <c r="S90" i="62"/>
  <c r="R92" i="62"/>
  <c r="S92" i="62"/>
  <c r="F10" i="44"/>
  <c r="I11" i="14" l="1"/>
  <c r="L10" i="65"/>
  <c r="N65" i="62"/>
  <c r="U65" i="62" s="1"/>
  <c r="N36" i="62"/>
  <c r="U36" i="62" s="1"/>
  <c r="N35" i="62"/>
  <c r="U35" i="62" s="1"/>
  <c r="N32" i="62"/>
  <c r="U32" i="62" s="1"/>
  <c r="G4" i="62"/>
  <c r="J96" i="62" s="1"/>
  <c r="T8" i="62" l="1"/>
  <c r="S8" i="62"/>
  <c r="J77" i="62"/>
  <c r="J81" i="62"/>
  <c r="J85" i="62"/>
  <c r="J89" i="62"/>
  <c r="J93" i="62"/>
  <c r="J74" i="62"/>
  <c r="J78" i="62"/>
  <c r="J82" i="62"/>
  <c r="J86" i="62"/>
  <c r="J90" i="62"/>
  <c r="J94" i="62"/>
  <c r="J75" i="62"/>
  <c r="J79" i="62"/>
  <c r="J83" i="62"/>
  <c r="J87" i="62"/>
  <c r="J91" i="62"/>
  <c r="J95" i="62"/>
  <c r="J76" i="62"/>
  <c r="J80" i="62"/>
  <c r="J84" i="62"/>
  <c r="J88" i="62"/>
  <c r="J92" i="62"/>
  <c r="G80" i="58"/>
  <c r="G46" i="58"/>
  <c r="G45" i="58"/>
  <c r="G32" i="58"/>
  <c r="C4" i="58"/>
  <c r="C110" i="58" s="1"/>
  <c r="L49" i="39"/>
  <c r="O23" i="39"/>
  <c r="D14" i="51"/>
  <c r="D11" i="51"/>
  <c r="F88" i="50"/>
  <c r="F87" i="50"/>
  <c r="F86" i="50"/>
  <c r="F85" i="50"/>
  <c r="F84" i="50"/>
  <c r="F81" i="50"/>
  <c r="F80" i="50"/>
  <c r="F79" i="50"/>
  <c r="F78" i="50"/>
  <c r="F77" i="50"/>
  <c r="F76" i="50"/>
  <c r="F75" i="50"/>
  <c r="F74" i="50"/>
  <c r="F73" i="50"/>
  <c r="F72" i="50"/>
  <c r="F71" i="50"/>
  <c r="F70" i="50"/>
  <c r="F69" i="50"/>
  <c r="F68" i="50"/>
  <c r="F67" i="50"/>
  <c r="F66" i="50"/>
  <c r="F65" i="50"/>
  <c r="F64" i="50"/>
  <c r="F63" i="50"/>
  <c r="F59" i="50"/>
  <c r="F58" i="50"/>
  <c r="F57" i="50"/>
  <c r="F56" i="50"/>
  <c r="F55" i="50"/>
  <c r="F54" i="50"/>
  <c r="F53" i="50"/>
  <c r="F52" i="50"/>
  <c r="F51" i="50"/>
  <c r="F50" i="50"/>
  <c r="F49" i="50"/>
  <c r="F48" i="50"/>
  <c r="F45" i="50"/>
  <c r="F44" i="50"/>
  <c r="F43" i="50"/>
  <c r="F32" i="50"/>
  <c r="F31" i="50"/>
  <c r="F30" i="50"/>
  <c r="F29" i="50"/>
  <c r="F28" i="50"/>
  <c r="F27" i="50"/>
  <c r="F26" i="50"/>
  <c r="F25" i="50"/>
  <c r="F24" i="50"/>
  <c r="F23" i="50"/>
  <c r="F22" i="50"/>
  <c r="F21" i="50"/>
  <c r="F20" i="50"/>
  <c r="F19" i="50"/>
  <c r="F18" i="50"/>
  <c r="F17" i="50"/>
  <c r="F16" i="50"/>
  <c r="F15" i="50"/>
  <c r="F14" i="50"/>
  <c r="F13" i="50"/>
  <c r="F12" i="50"/>
  <c r="F11" i="50"/>
  <c r="F10" i="50"/>
  <c r="F9" i="50"/>
  <c r="F8" i="50"/>
  <c r="F7" i="50"/>
  <c r="F6" i="50"/>
  <c r="G34" i="32"/>
  <c r="F61" i="32"/>
  <c r="G61" i="32" s="1"/>
  <c r="F53" i="32"/>
  <c r="G53" i="32" s="1"/>
  <c r="F50" i="32"/>
  <c r="G50" i="32" s="1"/>
  <c r="F48" i="32"/>
  <c r="G48" i="32" s="1"/>
  <c r="H34" i="32"/>
  <c r="G10" i="52"/>
  <c r="G9" i="52"/>
  <c r="S12" i="52"/>
  <c r="G11" i="51" s="1"/>
  <c r="T10" i="52"/>
  <c r="T9" i="52"/>
  <c r="R10" i="52"/>
  <c r="Q10" i="52" s="1"/>
  <c r="R9" i="52"/>
  <c r="Q9" i="52" s="1"/>
  <c r="J34" i="52"/>
  <c r="J33" i="52"/>
  <c r="J32" i="52"/>
  <c r="N29" i="52"/>
  <c r="N28" i="52"/>
  <c r="N20" i="52"/>
  <c r="N19" i="52"/>
  <c r="N9" i="52"/>
  <c r="J25" i="52"/>
  <c r="J24" i="52"/>
  <c r="J23" i="52"/>
  <c r="J15" i="52"/>
  <c r="E44" i="17"/>
  <c r="M29" i="49"/>
  <c r="M86" i="49"/>
  <c r="M19" i="49"/>
  <c r="N16" i="49"/>
  <c r="N10" i="49"/>
  <c r="G50" i="49"/>
  <c r="G51" i="49"/>
  <c r="G52" i="49"/>
  <c r="G38" i="49"/>
  <c r="G36" i="40"/>
  <c r="D36" i="40" s="1"/>
  <c r="D41" i="49" s="1"/>
  <c r="G35" i="40"/>
  <c r="D35" i="40" s="1"/>
  <c r="D40" i="49" s="1"/>
  <c r="G34" i="40"/>
  <c r="D34" i="40" s="1"/>
  <c r="G41" i="49" l="1"/>
  <c r="K13" i="49"/>
  <c r="N13" i="49" s="1"/>
  <c r="K12" i="49"/>
  <c r="N12" i="49" s="1"/>
  <c r="G40" i="49"/>
  <c r="C111" i="58"/>
  <c r="C109" i="58"/>
  <c r="M24" i="50"/>
  <c r="S24" i="50"/>
  <c r="R24" i="50"/>
  <c r="L24" i="50"/>
  <c r="Q24" i="50"/>
  <c r="K24" i="50"/>
  <c r="K23" i="50"/>
  <c r="Q23" i="50"/>
  <c r="R23" i="50"/>
  <c r="L23" i="50"/>
  <c r="S23" i="50"/>
  <c r="M23" i="50"/>
  <c r="G81" i="50"/>
  <c r="M21" i="50" s="1"/>
  <c r="F52" i="76"/>
  <c r="I52" i="76" s="1"/>
  <c r="D39" i="49"/>
  <c r="K11" i="49" s="1"/>
  <c r="N11" i="49" s="1"/>
  <c r="G79" i="50"/>
  <c r="F50" i="76"/>
  <c r="I50" i="76" s="1"/>
  <c r="G80" i="50"/>
  <c r="F51" i="76"/>
  <c r="I51" i="76" s="1"/>
  <c r="D11" i="52"/>
  <c r="G45" i="50"/>
  <c r="F45" i="73"/>
  <c r="D47" i="58"/>
  <c r="G47" i="58" s="1"/>
  <c r="K37" i="62"/>
  <c r="L13" i="50"/>
  <c r="R22" i="50"/>
  <c r="L22" i="50"/>
  <c r="S22" i="50"/>
  <c r="M22" i="50"/>
  <c r="Q22" i="50"/>
  <c r="K22" i="50"/>
  <c r="M10" i="50"/>
  <c r="M8" i="50"/>
  <c r="M7" i="50"/>
  <c r="Q14" i="50"/>
  <c r="C108" i="58"/>
  <c r="C107" i="58"/>
  <c r="K68" i="62"/>
  <c r="D83" i="58"/>
  <c r="G83" i="58" s="1"/>
  <c r="K66" i="62"/>
  <c r="D81" i="58"/>
  <c r="G81" i="58" s="1"/>
  <c r="D82" i="58"/>
  <c r="G82" i="58" s="1"/>
  <c r="K67" i="62"/>
  <c r="S13" i="50"/>
  <c r="Q15" i="50"/>
  <c r="R14" i="50"/>
  <c r="L21" i="50"/>
  <c r="R21" i="50"/>
  <c r="R29" i="50" s="1"/>
  <c r="R13" i="50"/>
  <c r="C99" i="58"/>
  <c r="C117" i="58"/>
  <c r="C92" i="58"/>
  <c r="C106" i="58"/>
  <c r="C98" i="58"/>
  <c r="C116" i="58"/>
  <c r="C105" i="58"/>
  <c r="C97" i="58"/>
  <c r="C115" i="58"/>
  <c r="C104" i="58"/>
  <c r="C96" i="58"/>
  <c r="C114" i="58"/>
  <c r="C103" i="58"/>
  <c r="C95" i="58"/>
  <c r="C102" i="58"/>
  <c r="C94" i="58"/>
  <c r="C113" i="58"/>
  <c r="C101" i="58"/>
  <c r="C93" i="58"/>
  <c r="C112" i="58"/>
  <c r="C100" i="58"/>
  <c r="C118" i="58"/>
  <c r="S12" i="50"/>
  <c r="L14" i="50"/>
  <c r="Q21" i="50"/>
  <c r="Q29" i="50" s="1"/>
  <c r="Q13" i="50"/>
  <c r="R20" i="50"/>
  <c r="R12" i="50"/>
  <c r="S19" i="50"/>
  <c r="S11" i="50"/>
  <c r="Q7" i="50"/>
  <c r="L7" i="50"/>
  <c r="L15" i="50"/>
  <c r="Q20" i="50"/>
  <c r="Q12" i="50"/>
  <c r="R19" i="50"/>
  <c r="R11" i="50"/>
  <c r="S10" i="50"/>
  <c r="K15" i="50"/>
  <c r="L8" i="50"/>
  <c r="L16" i="50"/>
  <c r="Q19" i="50"/>
  <c r="Q11" i="50"/>
  <c r="R18" i="50"/>
  <c r="R10" i="50"/>
  <c r="S9" i="50"/>
  <c r="L9" i="50"/>
  <c r="L17" i="50"/>
  <c r="Q18" i="50"/>
  <c r="Q10" i="50"/>
  <c r="R17" i="50"/>
  <c r="R9" i="50"/>
  <c r="S16" i="50"/>
  <c r="S8" i="50"/>
  <c r="K17" i="50"/>
  <c r="L10" i="50"/>
  <c r="L18" i="50"/>
  <c r="Q17" i="50"/>
  <c r="Q9" i="50"/>
  <c r="R16" i="50"/>
  <c r="R8" i="50"/>
  <c r="K10" i="50"/>
  <c r="L11" i="50"/>
  <c r="L19" i="50"/>
  <c r="Q16" i="50"/>
  <c r="Q8" i="50"/>
  <c r="R15" i="50"/>
  <c r="S7" i="50"/>
  <c r="L12" i="50"/>
  <c r="L20" i="50"/>
  <c r="R7" i="50"/>
  <c r="S21" i="50"/>
  <c r="S29" i="50" s="1"/>
  <c r="D17" i="51"/>
  <c r="Y9" i="52"/>
  <c r="Y10" i="52"/>
  <c r="T12" i="52"/>
  <c r="H11" i="69" s="1"/>
  <c r="G39" i="49" l="1"/>
  <c r="R37" i="62"/>
  <c r="N37" i="62"/>
  <c r="U37" i="62" s="1"/>
  <c r="I45" i="73"/>
  <c r="R11" i="52"/>
  <c r="G11" i="52"/>
  <c r="L27" i="50"/>
  <c r="R27" i="50"/>
  <c r="Q27" i="50"/>
  <c r="R67" i="62"/>
  <c r="N67" i="62"/>
  <c r="U67" i="62" s="1"/>
  <c r="R66" i="62"/>
  <c r="N66" i="62"/>
  <c r="U66" i="62" s="1"/>
  <c r="R68" i="62"/>
  <c r="N68" i="62"/>
  <c r="U68" i="62" s="1"/>
  <c r="H11" i="51"/>
  <c r="Q11" i="52" l="1"/>
  <c r="Q12" i="52" s="1"/>
  <c r="Y11" i="52"/>
  <c r="R12" i="52"/>
  <c r="Q18" i="52"/>
  <c r="N71" i="49"/>
  <c r="F11" i="69" l="1"/>
  <c r="Y12" i="52"/>
  <c r="F11" i="51"/>
  <c r="E11" i="51"/>
  <c r="E11" i="69"/>
  <c r="D39" i="40"/>
  <c r="D44" i="49" s="1"/>
  <c r="G44" i="49" s="1"/>
  <c r="J40" i="14"/>
  <c r="D32" i="40"/>
  <c r="O28" i="10"/>
  <c r="P27" i="10"/>
  <c r="K20" i="10"/>
  <c r="L22" i="10" s="1"/>
  <c r="L15" i="10"/>
  <c r="L20" i="10" s="1"/>
  <c r="L23" i="10" s="1"/>
  <c r="P12" i="10"/>
  <c r="P15" i="10" s="1"/>
  <c r="L11" i="10"/>
  <c r="T8" i="10"/>
  <c r="J32" i="75"/>
  <c r="J13" i="75"/>
  <c r="J18" i="75"/>
  <c r="J16" i="75"/>
  <c r="J21" i="75"/>
  <c r="J20" i="75"/>
  <c r="J25" i="75"/>
  <c r="E15" i="44"/>
  <c r="L18" i="65"/>
  <c r="K36" i="75" l="1"/>
  <c r="Q10" i="49"/>
  <c r="K39" i="14"/>
  <c r="K48" i="37"/>
  <c r="K47" i="37" s="1"/>
  <c r="I19" i="14"/>
  <c r="J19" i="75" s="1"/>
  <c r="J31" i="75"/>
  <c r="D37" i="49"/>
  <c r="G77" i="50"/>
  <c r="F48" i="76"/>
  <c r="I48" i="76" s="1"/>
  <c r="M11" i="51"/>
  <c r="M11" i="69"/>
  <c r="K25" i="49"/>
  <c r="F55" i="76"/>
  <c r="I55" i="76" s="1"/>
  <c r="G84" i="50"/>
  <c r="K64" i="62"/>
  <c r="D79" i="58"/>
  <c r="G79" i="58" s="1"/>
  <c r="D86" i="58"/>
  <c r="K69" i="62"/>
  <c r="P21" i="10"/>
  <c r="P22" i="10" s="1"/>
  <c r="J39" i="14" l="1"/>
  <c r="L35" i="75"/>
  <c r="E40" i="37" s="1"/>
  <c r="O39" i="14"/>
  <c r="K9" i="49"/>
  <c r="G37" i="49"/>
  <c r="N25" i="49"/>
  <c r="M28" i="49"/>
  <c r="J31" i="49"/>
  <c r="M13" i="50"/>
  <c r="R64" i="62"/>
  <c r="N64" i="62"/>
  <c r="U64" i="62" s="1"/>
  <c r="R69" i="62"/>
  <c r="N69" i="62"/>
  <c r="U69" i="62" s="1"/>
  <c r="G86" i="58"/>
  <c r="P28" i="10"/>
  <c r="P23" i="10"/>
  <c r="O35" i="75" l="1"/>
  <c r="F30" i="60"/>
  <c r="O9" i="37"/>
  <c r="N40" i="14"/>
  <c r="F115" i="58"/>
  <c r="F53" i="49"/>
  <c r="Q9" i="49"/>
  <c r="Q15" i="49" s="1"/>
  <c r="K35" i="75"/>
  <c r="M18" i="49"/>
  <c r="J21" i="49"/>
  <c r="J20" i="49"/>
  <c r="J19" i="49"/>
  <c r="N9" i="49"/>
  <c r="P31" i="10"/>
  <c r="P30" i="10"/>
  <c r="E14" i="51" l="1"/>
  <c r="E14" i="69"/>
  <c r="M26" i="49"/>
  <c r="G53" i="49"/>
  <c r="N36" i="75"/>
  <c r="O40" i="14"/>
  <c r="F19" i="44"/>
  <c r="L19" i="65" s="1"/>
  <c r="O36" i="75" l="1"/>
  <c r="F25" i="60"/>
  <c r="N26" i="49"/>
  <c r="J30" i="49"/>
  <c r="J29" i="49"/>
  <c r="I20" i="14"/>
  <c r="J17" i="75" s="1"/>
  <c r="E22" i="44"/>
  <c r="F22" i="44" s="1"/>
  <c r="L22" i="65" s="1"/>
  <c r="I23" i="14" l="1"/>
  <c r="J33" i="75" s="1"/>
  <c r="F13" i="44"/>
  <c r="L13" i="65" s="1"/>
  <c r="I14" i="14" l="1"/>
  <c r="J22" i="75" s="1"/>
  <c r="F11" i="44"/>
  <c r="L11" i="65" s="1"/>
  <c r="F14" i="44"/>
  <c r="L14" i="65" s="1"/>
  <c r="F9" i="44"/>
  <c r="I10" i="14" l="1"/>
  <c r="J27" i="75" s="1"/>
  <c r="L9" i="65"/>
  <c r="I15" i="14"/>
  <c r="J23" i="75" s="1"/>
  <c r="I12" i="14"/>
  <c r="J24" i="75" s="1"/>
  <c r="K34" i="14"/>
  <c r="N34" i="14" l="1"/>
  <c r="O34" i="14" s="1"/>
  <c r="L14" i="75"/>
  <c r="E11" i="37"/>
  <c r="F94" i="58" s="1"/>
  <c r="O14" i="75" l="1"/>
  <c r="N14" i="75"/>
  <c r="H50" i="73"/>
  <c r="N12" i="14"/>
  <c r="N24" i="75" s="1"/>
  <c r="F49" i="32"/>
  <c r="G49" i="32" s="1"/>
  <c r="D28" i="40"/>
  <c r="D9" i="40"/>
  <c r="D43" i="40"/>
  <c r="D42" i="40"/>
  <c r="D41" i="40"/>
  <c r="D40" i="40"/>
  <c r="D31" i="40"/>
  <c r="D30" i="40"/>
  <c r="E29" i="40"/>
  <c r="D27" i="40"/>
  <c r="E26" i="40"/>
  <c r="D25" i="40"/>
  <c r="D24" i="40"/>
  <c r="D23" i="40"/>
  <c r="D22" i="40"/>
  <c r="D21" i="40"/>
  <c r="D20" i="40"/>
  <c r="D19" i="40"/>
  <c r="D18" i="40"/>
  <c r="E14" i="40"/>
  <c r="D13" i="40"/>
  <c r="E12" i="40"/>
  <c r="D11" i="40"/>
  <c r="D10" i="40"/>
  <c r="E8" i="40"/>
  <c r="D7" i="40"/>
  <c r="D6" i="40"/>
  <c r="E5" i="40"/>
  <c r="D4" i="40"/>
  <c r="D3" i="40"/>
  <c r="K42" i="14" l="1"/>
  <c r="H50" i="50"/>
  <c r="S15" i="50" s="1"/>
  <c r="E10" i="49"/>
  <c r="G21" i="76"/>
  <c r="D14" i="49"/>
  <c r="G54" i="50"/>
  <c r="F25" i="76"/>
  <c r="I25" i="76" s="1"/>
  <c r="D23" i="49"/>
  <c r="G63" i="50"/>
  <c r="M9" i="50" s="1"/>
  <c r="F34" i="76"/>
  <c r="I34" i="76" s="1"/>
  <c r="H71" i="50"/>
  <c r="S14" i="50" s="1"/>
  <c r="E31" i="49"/>
  <c r="G42" i="76"/>
  <c r="I42" i="76" s="1"/>
  <c r="D12" i="49"/>
  <c r="G52" i="50"/>
  <c r="F23" i="76"/>
  <c r="I23" i="76" s="1"/>
  <c r="D24" i="49"/>
  <c r="G64" i="50"/>
  <c r="M12" i="50" s="1"/>
  <c r="F35" i="76"/>
  <c r="I35" i="76" s="1"/>
  <c r="H53" i="50"/>
  <c r="E13" i="49"/>
  <c r="G24" i="76"/>
  <c r="I24" i="76" s="1"/>
  <c r="D25" i="49"/>
  <c r="G65" i="50"/>
  <c r="M11" i="50" s="1"/>
  <c r="F36" i="76"/>
  <c r="I36" i="76" s="1"/>
  <c r="E34" i="49"/>
  <c r="H74" i="50"/>
  <c r="S17" i="50" s="1"/>
  <c r="G45" i="76"/>
  <c r="I45" i="76" s="1"/>
  <c r="D33" i="49"/>
  <c r="G73" i="50"/>
  <c r="M17" i="50" s="1"/>
  <c r="F44" i="76"/>
  <c r="I44" i="76" s="1"/>
  <c r="D11" i="49"/>
  <c r="G51" i="50"/>
  <c r="F22" i="76"/>
  <c r="I22" i="76" s="1"/>
  <c r="D48" i="49"/>
  <c r="G88" i="50"/>
  <c r="F59" i="76"/>
  <c r="I59" i="76" s="1"/>
  <c r="D32" i="49"/>
  <c r="G72" i="50"/>
  <c r="M16" i="50" s="1"/>
  <c r="F43" i="76"/>
  <c r="I43" i="76" s="1"/>
  <c r="D15" i="49"/>
  <c r="G55" i="50"/>
  <c r="F26" i="76"/>
  <c r="I26" i="76" s="1"/>
  <c r="D26" i="49"/>
  <c r="G66" i="50"/>
  <c r="F37" i="76"/>
  <c r="I37" i="76" s="1"/>
  <c r="D35" i="49"/>
  <c r="G75" i="50"/>
  <c r="F46" i="76"/>
  <c r="I46" i="76" s="1"/>
  <c r="D16" i="49"/>
  <c r="G56" i="50"/>
  <c r="F27" i="76"/>
  <c r="I27" i="76" s="1"/>
  <c r="D36" i="49"/>
  <c r="G76" i="50"/>
  <c r="F47" i="76"/>
  <c r="I47" i="76" s="1"/>
  <c r="D8" i="49"/>
  <c r="G48" i="50"/>
  <c r="F19" i="76"/>
  <c r="I19" i="76" s="1"/>
  <c r="D28" i="49"/>
  <c r="G68" i="50"/>
  <c r="F39" i="76"/>
  <c r="I39" i="76" s="1"/>
  <c r="D45" i="49"/>
  <c r="G85" i="50"/>
  <c r="F56" i="76"/>
  <c r="I56" i="76" s="1"/>
  <c r="D27" i="49"/>
  <c r="G67" i="50"/>
  <c r="F38" i="76"/>
  <c r="I38" i="76" s="1"/>
  <c r="E17" i="49"/>
  <c r="H57" i="50"/>
  <c r="S18" i="50" s="1"/>
  <c r="G28" i="76"/>
  <c r="I28" i="76" s="1"/>
  <c r="D9" i="49"/>
  <c r="G49" i="50"/>
  <c r="F20" i="76"/>
  <c r="I20" i="76" s="1"/>
  <c r="D18" i="49"/>
  <c r="G58" i="50"/>
  <c r="M20" i="50" s="1"/>
  <c r="F29" i="76"/>
  <c r="I29" i="76" s="1"/>
  <c r="D29" i="49"/>
  <c r="G69" i="50"/>
  <c r="F40" i="76"/>
  <c r="I40" i="76" s="1"/>
  <c r="D46" i="49"/>
  <c r="G86" i="50"/>
  <c r="M19" i="50" s="1"/>
  <c r="F57" i="76"/>
  <c r="I57" i="76" s="1"/>
  <c r="E19" i="49"/>
  <c r="H59" i="50"/>
  <c r="S20" i="50" s="1"/>
  <c r="G30" i="76"/>
  <c r="I30" i="76" s="1"/>
  <c r="D30" i="49"/>
  <c r="G70" i="50"/>
  <c r="F41" i="76"/>
  <c r="I41" i="76" s="1"/>
  <c r="D47" i="49"/>
  <c r="G87" i="50"/>
  <c r="F58" i="76"/>
  <c r="I58" i="76" s="1"/>
  <c r="K42" i="62"/>
  <c r="D54" i="58"/>
  <c r="G54" i="58" s="1"/>
  <c r="K53" i="62"/>
  <c r="D68" i="58"/>
  <c r="G68" i="58" s="1"/>
  <c r="K63" i="62"/>
  <c r="D78" i="58"/>
  <c r="G78" i="58" s="1"/>
  <c r="D74" i="58"/>
  <c r="G74" i="58" s="1"/>
  <c r="K59" i="62"/>
  <c r="K60" i="62"/>
  <c r="D75" i="58"/>
  <c r="G75" i="58" s="1"/>
  <c r="K54" i="62"/>
  <c r="D69" i="58"/>
  <c r="G69" i="58" s="1"/>
  <c r="L47" i="62"/>
  <c r="E59" i="58"/>
  <c r="G59" i="58" s="1"/>
  <c r="K55" i="62"/>
  <c r="D70" i="58"/>
  <c r="G70" i="58" s="1"/>
  <c r="D87" i="58"/>
  <c r="G87" i="58" s="1"/>
  <c r="K70" i="62"/>
  <c r="D67" i="58"/>
  <c r="G67" i="58" s="1"/>
  <c r="K52" i="62"/>
  <c r="K45" i="62"/>
  <c r="D57" i="58"/>
  <c r="G57" i="58" s="1"/>
  <c r="K39" i="62"/>
  <c r="D51" i="58"/>
  <c r="G51" i="58" s="1"/>
  <c r="K71" i="62"/>
  <c r="D88" i="58"/>
  <c r="G88" i="58" s="1"/>
  <c r="D66" i="58"/>
  <c r="G66" i="58" s="1"/>
  <c r="K51" i="62"/>
  <c r="E55" i="58"/>
  <c r="G55" i="58" s="1"/>
  <c r="L43" i="62"/>
  <c r="K62" i="62"/>
  <c r="D77" i="58"/>
  <c r="G77" i="58" s="1"/>
  <c r="K38" i="62"/>
  <c r="D50" i="58"/>
  <c r="K56" i="62"/>
  <c r="D71" i="58"/>
  <c r="G71" i="58" s="1"/>
  <c r="L40" i="62"/>
  <c r="E52" i="58"/>
  <c r="L49" i="62"/>
  <c r="E61" i="58"/>
  <c r="G61" i="58" s="1"/>
  <c r="K57" i="62"/>
  <c r="D72" i="58"/>
  <c r="G72" i="58" s="1"/>
  <c r="D89" i="58"/>
  <c r="G89" i="58" s="1"/>
  <c r="K72" i="62"/>
  <c r="D56" i="58"/>
  <c r="G56" i="58" s="1"/>
  <c r="K44" i="62"/>
  <c r="E76" i="58"/>
  <c r="G76" i="58" s="1"/>
  <c r="L61" i="62"/>
  <c r="K46" i="62"/>
  <c r="D58" i="58"/>
  <c r="G58" i="58" s="1"/>
  <c r="K48" i="62"/>
  <c r="D60" i="58"/>
  <c r="G60" i="58" s="1"/>
  <c r="K41" i="62"/>
  <c r="D53" i="58"/>
  <c r="G53" i="58" s="1"/>
  <c r="K50" i="62"/>
  <c r="D65" i="58"/>
  <c r="G65" i="58" s="1"/>
  <c r="E73" i="58"/>
  <c r="G73" i="58" s="1"/>
  <c r="L58" i="62"/>
  <c r="K73" i="62"/>
  <c r="D90" i="58"/>
  <c r="G90" i="58" s="1"/>
  <c r="M34" i="32"/>
  <c r="X61" i="32"/>
  <c r="P53" i="32"/>
  <c r="L49" i="32"/>
  <c r="K48" i="32"/>
  <c r="L42" i="14" l="1"/>
  <c r="S37" i="75" s="1"/>
  <c r="L37" i="75"/>
  <c r="W43" i="75" s="1"/>
  <c r="O42" i="14"/>
  <c r="M14" i="50"/>
  <c r="L67" i="49"/>
  <c r="N67" i="49" s="1"/>
  <c r="G19" i="49"/>
  <c r="M15" i="50"/>
  <c r="K56" i="49"/>
  <c r="G8" i="49"/>
  <c r="K59" i="49"/>
  <c r="N59" i="49" s="1"/>
  <c r="G11" i="49"/>
  <c r="K34" i="49"/>
  <c r="G23" i="49"/>
  <c r="K79" i="49"/>
  <c r="N79" i="49" s="1"/>
  <c r="G46" i="49"/>
  <c r="K57" i="49"/>
  <c r="N57" i="49" s="1"/>
  <c r="G9" i="49"/>
  <c r="K46" i="49"/>
  <c r="N46" i="49" s="1"/>
  <c r="G35" i="49"/>
  <c r="K36" i="49"/>
  <c r="N36" i="49" s="1"/>
  <c r="G25" i="49"/>
  <c r="K63" i="49"/>
  <c r="N63" i="49" s="1"/>
  <c r="G15" i="49"/>
  <c r="K78" i="49"/>
  <c r="G45" i="49"/>
  <c r="K43" i="49"/>
  <c r="N43" i="49" s="1"/>
  <c r="G32" i="49"/>
  <c r="K60" i="49"/>
  <c r="N60" i="49" s="1"/>
  <c r="G12" i="49"/>
  <c r="M18" i="50"/>
  <c r="K41" i="49"/>
  <c r="N41" i="49" s="1"/>
  <c r="G30" i="49"/>
  <c r="K40" i="49"/>
  <c r="N40" i="49" s="1"/>
  <c r="G29" i="49"/>
  <c r="K47" i="49"/>
  <c r="N47" i="49" s="1"/>
  <c r="G36" i="49"/>
  <c r="K44" i="49"/>
  <c r="N44" i="49" s="1"/>
  <c r="G33" i="49"/>
  <c r="L61" i="49"/>
  <c r="N61" i="49" s="1"/>
  <c r="G13" i="49"/>
  <c r="K62" i="49"/>
  <c r="N62" i="49" s="1"/>
  <c r="G14" i="49"/>
  <c r="K80" i="49"/>
  <c r="N80" i="49" s="1"/>
  <c r="G47" i="49"/>
  <c r="K38" i="49"/>
  <c r="N38" i="49" s="1"/>
  <c r="G27" i="49"/>
  <c r="K35" i="49"/>
  <c r="N35" i="49" s="1"/>
  <c r="G24" i="49"/>
  <c r="L65" i="49"/>
  <c r="N65" i="49" s="1"/>
  <c r="G17" i="49"/>
  <c r="K37" i="49"/>
  <c r="N37" i="49" s="1"/>
  <c r="G26" i="49"/>
  <c r="L42" i="49"/>
  <c r="G31" i="49"/>
  <c r="I21" i="76"/>
  <c r="M9" i="76"/>
  <c r="L14" i="76"/>
  <c r="K39" i="49"/>
  <c r="N39" i="49" s="1"/>
  <c r="G28" i="49"/>
  <c r="K81" i="49"/>
  <c r="N81" i="49" s="1"/>
  <c r="G48" i="49"/>
  <c r="S27" i="50"/>
  <c r="L58" i="49"/>
  <c r="G10" i="49"/>
  <c r="K66" i="49"/>
  <c r="N66" i="49" s="1"/>
  <c r="G18" i="49"/>
  <c r="K64" i="49"/>
  <c r="N64" i="49" s="1"/>
  <c r="G16" i="49"/>
  <c r="L45" i="49"/>
  <c r="N45" i="49" s="1"/>
  <c r="G34" i="49"/>
  <c r="R44" i="62"/>
  <c r="N44" i="62"/>
  <c r="U44" i="62" s="1"/>
  <c r="G52" i="58"/>
  <c r="L9" i="58"/>
  <c r="S43" i="62"/>
  <c r="N43" i="62"/>
  <c r="U43" i="62" s="1"/>
  <c r="R39" i="62"/>
  <c r="N39" i="62"/>
  <c r="U39" i="62" s="1"/>
  <c r="S40" i="62"/>
  <c r="N40" i="62"/>
  <c r="U40" i="62" s="1"/>
  <c r="R45" i="62"/>
  <c r="N45" i="62"/>
  <c r="U45" i="62" s="1"/>
  <c r="S47" i="62"/>
  <c r="N47" i="62"/>
  <c r="U47" i="62" s="1"/>
  <c r="R63" i="62"/>
  <c r="N63" i="62"/>
  <c r="U63" i="62" s="1"/>
  <c r="R50" i="62"/>
  <c r="N50" i="62"/>
  <c r="U50" i="62" s="1"/>
  <c r="S49" i="62"/>
  <c r="N49" i="62"/>
  <c r="U49" i="62" s="1"/>
  <c r="R41" i="62"/>
  <c r="N41" i="62"/>
  <c r="U41" i="62" s="1"/>
  <c r="R72" i="62"/>
  <c r="N72" i="62"/>
  <c r="U72" i="62" s="1"/>
  <c r="R51" i="62"/>
  <c r="N51" i="62"/>
  <c r="U51" i="62" s="1"/>
  <c r="R52" i="62"/>
  <c r="N52" i="62"/>
  <c r="U52" i="62" s="1"/>
  <c r="R62" i="62"/>
  <c r="N62" i="62"/>
  <c r="U62" i="62" s="1"/>
  <c r="R56" i="62"/>
  <c r="N56" i="62"/>
  <c r="U56" i="62" s="1"/>
  <c r="R54" i="62"/>
  <c r="N54" i="62"/>
  <c r="U54" i="62" s="1"/>
  <c r="R53" i="62"/>
  <c r="N53" i="62"/>
  <c r="U53" i="62" s="1"/>
  <c r="S61" i="62"/>
  <c r="N61" i="62"/>
  <c r="U61" i="62" s="1"/>
  <c r="R48" i="62"/>
  <c r="N48" i="62"/>
  <c r="U48" i="62" s="1"/>
  <c r="S58" i="62"/>
  <c r="N58" i="62"/>
  <c r="U58" i="62" s="1"/>
  <c r="G50" i="58"/>
  <c r="R70" i="62"/>
  <c r="N70" i="62"/>
  <c r="U70" i="62" s="1"/>
  <c r="R59" i="62"/>
  <c r="N59" i="62"/>
  <c r="U59" i="62" s="1"/>
  <c r="R55" i="62"/>
  <c r="N55" i="62"/>
  <c r="U55" i="62" s="1"/>
  <c r="R73" i="62"/>
  <c r="N73" i="62"/>
  <c r="U73" i="62" s="1"/>
  <c r="R46" i="62"/>
  <c r="N46" i="62"/>
  <c r="U46" i="62" s="1"/>
  <c r="R57" i="62"/>
  <c r="N57" i="62"/>
  <c r="U57" i="62" s="1"/>
  <c r="R38" i="62"/>
  <c r="N38" i="62"/>
  <c r="U38" i="62" s="1"/>
  <c r="R71" i="62"/>
  <c r="N71" i="62"/>
  <c r="U71" i="62" s="1"/>
  <c r="R60" i="62"/>
  <c r="N60" i="62"/>
  <c r="U60" i="62" s="1"/>
  <c r="R42" i="62"/>
  <c r="N42" i="62"/>
  <c r="U42" i="62" s="1"/>
  <c r="L46" i="39"/>
  <c r="S23" i="39"/>
  <c r="H24" i="69" s="1"/>
  <c r="O37" i="75" l="1"/>
  <c r="F13" i="60"/>
  <c r="M73" i="49"/>
  <c r="M27" i="50"/>
  <c r="M50" i="49"/>
  <c r="J52" i="49"/>
  <c r="N34" i="49"/>
  <c r="M74" i="49"/>
  <c r="J76" i="49"/>
  <c r="J74" i="49"/>
  <c r="N58" i="49"/>
  <c r="M85" i="49"/>
  <c r="J88" i="49"/>
  <c r="N78" i="49"/>
  <c r="J75" i="49"/>
  <c r="N56" i="49"/>
  <c r="M51" i="49"/>
  <c r="J53" i="49"/>
  <c r="J51" i="49"/>
  <c r="N42" i="49"/>
  <c r="AB9" i="62"/>
  <c r="E25" i="17"/>
  <c r="E24" i="17"/>
  <c r="E17" i="17"/>
  <c r="E16" i="17"/>
  <c r="I30" i="17"/>
  <c r="E30" i="17" s="1"/>
  <c r="G32" i="50" s="1"/>
  <c r="K21" i="50" s="1"/>
  <c r="I29" i="17"/>
  <c r="E29" i="17" s="1"/>
  <c r="I27" i="17"/>
  <c r="E27" i="17" s="1"/>
  <c r="I26" i="17"/>
  <c r="E26" i="17" s="1"/>
  <c r="I23" i="17"/>
  <c r="E23" i="17" s="1"/>
  <c r="I22" i="17"/>
  <c r="E22" i="17" s="1"/>
  <c r="I21" i="17"/>
  <c r="E21" i="17" s="1"/>
  <c r="I20" i="17"/>
  <c r="E20" i="17" s="1"/>
  <c r="I14" i="17"/>
  <c r="E14" i="17" s="1"/>
  <c r="I13" i="17"/>
  <c r="E13" i="17" s="1"/>
  <c r="I12" i="17"/>
  <c r="E12" i="17" s="1"/>
  <c r="I11" i="17"/>
  <c r="E11" i="17" s="1"/>
  <c r="E15" i="17"/>
  <c r="I10" i="17"/>
  <c r="E10" i="17" s="1"/>
  <c r="I8" i="17"/>
  <c r="E8" i="17" s="1"/>
  <c r="I7" i="17"/>
  <c r="E7" i="17" s="1"/>
  <c r="I6" i="17"/>
  <c r="E6" i="17" s="1"/>
  <c r="I5" i="17"/>
  <c r="E5" i="17" s="1"/>
  <c r="I4" i="17"/>
  <c r="E4" i="17" s="1"/>
  <c r="G10" i="50" l="1"/>
  <c r="F16" i="73"/>
  <c r="I16" i="73" s="1"/>
  <c r="D12" i="58"/>
  <c r="G12" i="58" s="1"/>
  <c r="E26" i="39"/>
  <c r="I26" i="39" s="1"/>
  <c r="L26" i="39" s="1"/>
  <c r="D14" i="32"/>
  <c r="K12" i="62"/>
  <c r="G23" i="50"/>
  <c r="F29" i="73"/>
  <c r="I29" i="73" s="1"/>
  <c r="K25" i="62"/>
  <c r="D25" i="58"/>
  <c r="G25" i="58" s="1"/>
  <c r="E39" i="39"/>
  <c r="D27" i="32"/>
  <c r="G19" i="50"/>
  <c r="F25" i="73"/>
  <c r="I25" i="73" s="1"/>
  <c r="K21" i="62"/>
  <c r="E35" i="39"/>
  <c r="I35" i="39" s="1"/>
  <c r="L35" i="39" s="1"/>
  <c r="D21" i="58"/>
  <c r="G21" i="58" s="1"/>
  <c r="D23" i="32"/>
  <c r="E17" i="37"/>
  <c r="F100" i="58" s="1"/>
  <c r="G24" i="50"/>
  <c r="F30" i="73"/>
  <c r="I30" i="73" s="1"/>
  <c r="K26" i="62"/>
  <c r="D26" i="58"/>
  <c r="G26" i="58" s="1"/>
  <c r="E40" i="39"/>
  <c r="D28" i="32"/>
  <c r="G26" i="50"/>
  <c r="F32" i="73"/>
  <c r="I32" i="73" s="1"/>
  <c r="D28" i="58"/>
  <c r="G28" i="58" s="1"/>
  <c r="E42" i="39"/>
  <c r="I42" i="39" s="1"/>
  <c r="L42" i="39" s="1"/>
  <c r="D30" i="32"/>
  <c r="K28" i="62"/>
  <c r="E18" i="37"/>
  <c r="F101" i="58" s="1"/>
  <c r="G25" i="50"/>
  <c r="F31" i="73"/>
  <c r="I31" i="73" s="1"/>
  <c r="K27" i="62"/>
  <c r="D27" i="58"/>
  <c r="G27" i="58" s="1"/>
  <c r="E41" i="39"/>
  <c r="I41" i="39" s="1"/>
  <c r="L41" i="39" s="1"/>
  <c r="D29" i="32"/>
  <c r="G27" i="50"/>
  <c r="F33" i="73"/>
  <c r="I33" i="73" s="1"/>
  <c r="D29" i="58"/>
  <c r="G29" i="58" s="1"/>
  <c r="E43" i="39"/>
  <c r="D31" i="32"/>
  <c r="H31" i="32" s="1"/>
  <c r="K29" i="62"/>
  <c r="G17" i="50"/>
  <c r="F23" i="73"/>
  <c r="I23" i="73" s="1"/>
  <c r="K19" i="62"/>
  <c r="D19" i="58"/>
  <c r="G19" i="58" s="1"/>
  <c r="E33" i="39"/>
  <c r="I33" i="39" s="1"/>
  <c r="L33" i="39" s="1"/>
  <c r="D21" i="32"/>
  <c r="G6" i="50"/>
  <c r="F12" i="73"/>
  <c r="K8" i="62"/>
  <c r="D8" i="58"/>
  <c r="G8" i="58" s="1"/>
  <c r="E22" i="39"/>
  <c r="I22" i="39" s="1"/>
  <c r="L22" i="39" s="1"/>
  <c r="D10" i="32"/>
  <c r="G14" i="50"/>
  <c r="F20" i="73"/>
  <c r="I20" i="73" s="1"/>
  <c r="K16" i="62"/>
  <c r="D16" i="58"/>
  <c r="G16" i="58" s="1"/>
  <c r="E30" i="39"/>
  <c r="I30" i="39" s="1"/>
  <c r="L30" i="39" s="1"/>
  <c r="D18" i="32"/>
  <c r="G29" i="50"/>
  <c r="F14" i="76"/>
  <c r="I14" i="76" s="1"/>
  <c r="D31" i="58"/>
  <c r="G31" i="58" s="1"/>
  <c r="E45" i="39"/>
  <c r="D33" i="32"/>
  <c r="K31" i="62"/>
  <c r="G28" i="50"/>
  <c r="F13" i="76"/>
  <c r="I13" i="76" s="1"/>
  <c r="D30" i="58"/>
  <c r="G30" i="58" s="1"/>
  <c r="E44" i="39"/>
  <c r="D32" i="32"/>
  <c r="K30" i="62"/>
  <c r="G7" i="50"/>
  <c r="F13" i="73"/>
  <c r="I13" i="73" s="1"/>
  <c r="K9" i="62"/>
  <c r="D9" i="58"/>
  <c r="G9" i="58" s="1"/>
  <c r="E23" i="39"/>
  <c r="I23" i="39" s="1"/>
  <c r="L23" i="39" s="1"/>
  <c r="D11" i="32"/>
  <c r="G15" i="50"/>
  <c r="F21" i="73"/>
  <c r="I21" i="73" s="1"/>
  <c r="K17" i="62"/>
  <c r="D17" i="58"/>
  <c r="G17" i="58" s="1"/>
  <c r="E31" i="39"/>
  <c r="I31" i="39" s="1"/>
  <c r="L31" i="39" s="1"/>
  <c r="D19" i="32"/>
  <c r="G31" i="50"/>
  <c r="F15" i="76"/>
  <c r="I15" i="76" s="1"/>
  <c r="K33" i="62"/>
  <c r="D33" i="58"/>
  <c r="G33" i="58" s="1"/>
  <c r="E47" i="39"/>
  <c r="D35" i="32"/>
  <c r="G12" i="50"/>
  <c r="F18" i="73"/>
  <c r="I18" i="73" s="1"/>
  <c r="D14" i="58"/>
  <c r="G14" i="58" s="1"/>
  <c r="E28" i="39"/>
  <c r="I28" i="39" s="1"/>
  <c r="L28" i="39" s="1"/>
  <c r="D16" i="32"/>
  <c r="K14" i="62"/>
  <c r="G13" i="50"/>
  <c r="F19" i="73"/>
  <c r="I19" i="73" s="1"/>
  <c r="D15" i="58"/>
  <c r="G15" i="58" s="1"/>
  <c r="E29" i="39"/>
  <c r="I29" i="39" s="1"/>
  <c r="L29" i="39" s="1"/>
  <c r="D17" i="32"/>
  <c r="K15" i="62"/>
  <c r="G8" i="50"/>
  <c r="F14" i="73"/>
  <c r="I14" i="73" s="1"/>
  <c r="K10" i="62"/>
  <c r="D12" i="32"/>
  <c r="D10" i="58"/>
  <c r="G10" i="58" s="1"/>
  <c r="E24" i="39"/>
  <c r="I24" i="39" s="1"/>
  <c r="L24" i="39" s="1"/>
  <c r="G16" i="50"/>
  <c r="K13" i="50" s="1"/>
  <c r="F22" i="73"/>
  <c r="I22" i="73" s="1"/>
  <c r="K18" i="62"/>
  <c r="D20" i="32"/>
  <c r="D18" i="58"/>
  <c r="G18" i="58" s="1"/>
  <c r="E32" i="39"/>
  <c r="I32" i="39" s="1"/>
  <c r="L32" i="39" s="1"/>
  <c r="G9" i="50"/>
  <c r="F15" i="73"/>
  <c r="I15" i="73" s="1"/>
  <c r="D11" i="58"/>
  <c r="G11" i="58" s="1"/>
  <c r="E25" i="39"/>
  <c r="I25" i="39" s="1"/>
  <c r="L25" i="39" s="1"/>
  <c r="D13" i="32"/>
  <c r="K11" i="62"/>
  <c r="G22" i="50"/>
  <c r="K14" i="50" s="1"/>
  <c r="F28" i="73"/>
  <c r="I28" i="73" s="1"/>
  <c r="K24" i="62"/>
  <c r="D24" i="58"/>
  <c r="G24" i="58" s="1"/>
  <c r="E38" i="39"/>
  <c r="I38" i="39" s="1"/>
  <c r="L38" i="39" s="1"/>
  <c r="D26" i="32"/>
  <c r="G18" i="50"/>
  <c r="F24" i="73"/>
  <c r="I24" i="73" s="1"/>
  <c r="D20" i="58"/>
  <c r="G20" i="58" s="1"/>
  <c r="E34" i="39"/>
  <c r="I34" i="39" s="1"/>
  <c r="L34" i="39" s="1"/>
  <c r="D22" i="32"/>
  <c r="K20" i="62"/>
  <c r="F17" i="76"/>
  <c r="E48" i="39"/>
  <c r="D36" i="32"/>
  <c r="K34" i="62"/>
  <c r="D34" i="58"/>
  <c r="E21" i="37"/>
  <c r="F104" i="58" s="1"/>
  <c r="E16" i="37"/>
  <c r="F102" i="58"/>
  <c r="D23" i="37"/>
  <c r="F22" i="37"/>
  <c r="E22" i="37" s="1"/>
  <c r="D22" i="37"/>
  <c r="D21" i="37"/>
  <c r="D20" i="37"/>
  <c r="F19" i="37"/>
  <c r="D19" i="37"/>
  <c r="F18" i="37"/>
  <c r="D18" i="37"/>
  <c r="G59" i="39" s="1"/>
  <c r="K59" i="39" s="1"/>
  <c r="L59" i="39" s="1"/>
  <c r="D17" i="37"/>
  <c r="F16" i="37"/>
  <c r="D16" i="37"/>
  <c r="F15" i="37"/>
  <c r="D15" i="37"/>
  <c r="D14" i="37"/>
  <c r="F13" i="37"/>
  <c r="E13" i="37" s="1"/>
  <c r="F96" i="58" s="1"/>
  <c r="D13" i="37"/>
  <c r="D12" i="37"/>
  <c r="D11" i="37"/>
  <c r="F10" i="37"/>
  <c r="D10" i="37"/>
  <c r="F9" i="37"/>
  <c r="E9" i="37" s="1"/>
  <c r="D9" i="37"/>
  <c r="F92" i="58" l="1"/>
  <c r="G92" i="58" s="1"/>
  <c r="O7" i="37"/>
  <c r="F55" i="32"/>
  <c r="H56" i="73"/>
  <c r="I56" i="73" s="1"/>
  <c r="K19" i="50"/>
  <c r="K8" i="50"/>
  <c r="K18" i="50"/>
  <c r="F56" i="32"/>
  <c r="G56" i="32" s="1"/>
  <c r="N19" i="14"/>
  <c r="N19" i="75" s="1"/>
  <c r="H57" i="73"/>
  <c r="I57" i="73" s="1"/>
  <c r="N18" i="14"/>
  <c r="N18" i="75" s="1"/>
  <c r="R20" i="62"/>
  <c r="N20" i="62"/>
  <c r="U20" i="62" s="1"/>
  <c r="G19" i="32"/>
  <c r="H19" i="32"/>
  <c r="N19" i="32"/>
  <c r="H18" i="32"/>
  <c r="G18" i="32"/>
  <c r="N18" i="32"/>
  <c r="I40" i="39"/>
  <c r="L40" i="39" s="1"/>
  <c r="H40" i="39"/>
  <c r="H22" i="32"/>
  <c r="G22" i="32"/>
  <c r="O22" i="32"/>
  <c r="R24" i="62"/>
  <c r="N24" i="62"/>
  <c r="U24" i="62" s="1"/>
  <c r="R9" i="62"/>
  <c r="N9" i="62"/>
  <c r="U9" i="62" s="1"/>
  <c r="R8" i="62"/>
  <c r="N8" i="62"/>
  <c r="U8" i="62" s="1"/>
  <c r="R28" i="62"/>
  <c r="N28" i="62"/>
  <c r="U28" i="62" s="1"/>
  <c r="R21" i="62"/>
  <c r="N21" i="62"/>
  <c r="U21" i="62" s="1"/>
  <c r="H12" i="32"/>
  <c r="G12" i="32"/>
  <c r="J12" i="32"/>
  <c r="H35" i="32"/>
  <c r="G35" i="32"/>
  <c r="W35" i="32"/>
  <c r="R31" i="62"/>
  <c r="N31" i="62"/>
  <c r="U31" i="62" s="1"/>
  <c r="I12" i="73"/>
  <c r="R29" i="62"/>
  <c r="N29" i="62"/>
  <c r="U29" i="62" s="1"/>
  <c r="G29" i="32"/>
  <c r="H29" i="32"/>
  <c r="S29" i="32"/>
  <c r="H30" i="32"/>
  <c r="G30" i="32"/>
  <c r="T30" i="32"/>
  <c r="R26" i="62"/>
  <c r="N26" i="62"/>
  <c r="U26" i="62" s="1"/>
  <c r="R12" i="62"/>
  <c r="N12" i="62"/>
  <c r="U12" i="62" s="1"/>
  <c r="R10" i="62"/>
  <c r="N10" i="62"/>
  <c r="U10" i="62" s="1"/>
  <c r="I47" i="39"/>
  <c r="L47" i="39" s="1"/>
  <c r="H47" i="39"/>
  <c r="N17" i="62"/>
  <c r="U17" i="62" s="1"/>
  <c r="R17" i="62"/>
  <c r="K9" i="50"/>
  <c r="H33" i="32"/>
  <c r="G33" i="32"/>
  <c r="V33" i="32"/>
  <c r="R16" i="62"/>
  <c r="N16" i="62"/>
  <c r="U16" i="62" s="1"/>
  <c r="K7" i="50"/>
  <c r="G31" i="32"/>
  <c r="U31" i="32"/>
  <c r="G14" i="32"/>
  <c r="H14" i="32"/>
  <c r="L14" i="32"/>
  <c r="R11" i="62"/>
  <c r="N11" i="62"/>
  <c r="U11" i="62" s="1"/>
  <c r="G20" i="32"/>
  <c r="H20" i="32"/>
  <c r="N20" i="32"/>
  <c r="R14" i="62"/>
  <c r="N14" i="62"/>
  <c r="U14" i="62" s="1"/>
  <c r="R30" i="62"/>
  <c r="N30" i="62"/>
  <c r="U30" i="62" s="1"/>
  <c r="I45" i="39"/>
  <c r="L45" i="39" s="1"/>
  <c r="H45" i="39"/>
  <c r="G21" i="32"/>
  <c r="H21" i="32"/>
  <c r="O21" i="32"/>
  <c r="I43" i="39"/>
  <c r="L43" i="39" s="1"/>
  <c r="H43" i="39"/>
  <c r="G27" i="32"/>
  <c r="H27" i="32"/>
  <c r="Q27" i="32"/>
  <c r="G13" i="32"/>
  <c r="H13" i="32"/>
  <c r="K13" i="32"/>
  <c r="R18" i="62"/>
  <c r="N18" i="62"/>
  <c r="U18" i="62" s="1"/>
  <c r="H16" i="32"/>
  <c r="G16" i="32"/>
  <c r="M16" i="32"/>
  <c r="R33" i="62"/>
  <c r="N33" i="62"/>
  <c r="U33" i="62" s="1"/>
  <c r="H32" i="32"/>
  <c r="G32" i="32"/>
  <c r="V32" i="32"/>
  <c r="R27" i="62"/>
  <c r="N27" i="62"/>
  <c r="U27" i="62" s="1"/>
  <c r="I39" i="39"/>
  <c r="L39" i="39" s="1"/>
  <c r="H39" i="39"/>
  <c r="H26" i="32"/>
  <c r="G26" i="32"/>
  <c r="P26" i="32"/>
  <c r="R15" i="62"/>
  <c r="N15" i="62"/>
  <c r="U15" i="62" s="1"/>
  <c r="H11" i="32"/>
  <c r="G11" i="32"/>
  <c r="J11" i="32"/>
  <c r="I44" i="39"/>
  <c r="L44" i="39" s="1"/>
  <c r="H44" i="39"/>
  <c r="H10" i="32"/>
  <c r="G10" i="32"/>
  <c r="J10" i="32"/>
  <c r="F103" i="58"/>
  <c r="H59" i="73"/>
  <c r="I59" i="73" s="1"/>
  <c r="N21" i="14"/>
  <c r="N13" i="75" s="1"/>
  <c r="G23" i="32"/>
  <c r="H23" i="32"/>
  <c r="O23" i="32"/>
  <c r="H17" i="32"/>
  <c r="G17" i="32"/>
  <c r="N17" i="32"/>
  <c r="K20" i="50"/>
  <c r="R19" i="62"/>
  <c r="N19" i="62"/>
  <c r="U19" i="62" s="1"/>
  <c r="G28" i="32"/>
  <c r="H28" i="32"/>
  <c r="R28" i="32"/>
  <c r="R25" i="62"/>
  <c r="N25" i="62"/>
  <c r="U25" i="62" s="1"/>
  <c r="F99" i="58"/>
  <c r="G99" i="58" s="1"/>
  <c r="H55" i="73"/>
  <c r="I55" i="73" s="1"/>
  <c r="G16" i="37"/>
  <c r="H52" i="73"/>
  <c r="I52" i="73" s="1"/>
  <c r="N14" i="14"/>
  <c r="N22" i="75" s="1"/>
  <c r="H58" i="73"/>
  <c r="I58" i="73" s="1"/>
  <c r="N20" i="14"/>
  <c r="H48" i="73"/>
  <c r="N10" i="14"/>
  <c r="N17" i="14"/>
  <c r="H61" i="76"/>
  <c r="I61" i="76" s="1"/>
  <c r="N22" i="14"/>
  <c r="M83" i="62"/>
  <c r="N83" i="62" s="1"/>
  <c r="U83" i="62" s="1"/>
  <c r="I51" i="73"/>
  <c r="G53" i="39"/>
  <c r="K53" i="39" s="1"/>
  <c r="L53" i="39" s="1"/>
  <c r="M91" i="62"/>
  <c r="G95" i="58"/>
  <c r="M77" i="62"/>
  <c r="G101" i="58"/>
  <c r="I63" i="76"/>
  <c r="G64" i="39"/>
  <c r="M88" i="62"/>
  <c r="G106" i="58"/>
  <c r="I53" i="73"/>
  <c r="M82" i="62"/>
  <c r="N82" i="62" s="1"/>
  <c r="U82" i="62" s="1"/>
  <c r="I54" i="73"/>
  <c r="G56" i="39"/>
  <c r="K56" i="39" s="1"/>
  <c r="L56" i="39" s="1"/>
  <c r="M80" i="62"/>
  <c r="G98" i="58"/>
  <c r="G100" i="58"/>
  <c r="G58" i="39"/>
  <c r="K58" i="39" s="1"/>
  <c r="L58" i="39" s="1"/>
  <c r="G94" i="58"/>
  <c r="I50" i="73"/>
  <c r="G52" i="39"/>
  <c r="K52" i="39" s="1"/>
  <c r="L52" i="39" s="1"/>
  <c r="M76" i="62"/>
  <c r="I49" i="73"/>
  <c r="G51" i="39"/>
  <c r="K51" i="39" s="1"/>
  <c r="L51" i="39" s="1"/>
  <c r="M90" i="62"/>
  <c r="G93" i="58"/>
  <c r="M75" i="62"/>
  <c r="I17" i="76"/>
  <c r="L12" i="76"/>
  <c r="K9" i="76"/>
  <c r="R9" i="76" s="1"/>
  <c r="I48" i="39"/>
  <c r="H48" i="39"/>
  <c r="G34" i="58"/>
  <c r="G36" i="32"/>
  <c r="X36" i="32"/>
  <c r="R34" i="62"/>
  <c r="N34" i="62"/>
  <c r="U34" i="62" s="1"/>
  <c r="H36" i="32"/>
  <c r="G61" i="39"/>
  <c r="K61" i="39" s="1"/>
  <c r="L61" i="39" s="1"/>
  <c r="G60" i="39"/>
  <c r="G102" i="58"/>
  <c r="M84" i="62"/>
  <c r="F57" i="32"/>
  <c r="G57" i="39"/>
  <c r="M81" i="62"/>
  <c r="F54" i="32"/>
  <c r="G62" i="39"/>
  <c r="G104" i="58"/>
  <c r="M86" i="62"/>
  <c r="F59" i="32"/>
  <c r="G55" i="32"/>
  <c r="R55" i="32"/>
  <c r="G55" i="39"/>
  <c r="K55" i="39" s="1"/>
  <c r="L55" i="39" s="1"/>
  <c r="M79" i="62"/>
  <c r="G97" i="58"/>
  <c r="F52" i="32"/>
  <c r="G52" i="32" s="1"/>
  <c r="G50" i="39"/>
  <c r="K50" i="39" s="1"/>
  <c r="M74" i="62"/>
  <c r="F47" i="32"/>
  <c r="G54" i="39"/>
  <c r="K54" i="39" s="1"/>
  <c r="L54" i="39" s="1"/>
  <c r="M78" i="62"/>
  <c r="G96" i="58"/>
  <c r="F51" i="32"/>
  <c r="G63" i="39"/>
  <c r="M87" i="62"/>
  <c r="M85" i="62"/>
  <c r="F58" i="32"/>
  <c r="D22" i="10"/>
  <c r="M74" i="32" l="1"/>
  <c r="S56" i="32"/>
  <c r="P74" i="32"/>
  <c r="AJ26" i="32"/>
  <c r="Q31" i="75" s="1"/>
  <c r="F105" i="58"/>
  <c r="G105" i="58" s="1"/>
  <c r="N17" i="75"/>
  <c r="N32" i="75"/>
  <c r="N16" i="75"/>
  <c r="N27" i="75"/>
  <c r="F24" i="60"/>
  <c r="T82" i="62"/>
  <c r="F60" i="32"/>
  <c r="G60" i="32" s="1"/>
  <c r="H62" i="76"/>
  <c r="I62" i="76" s="1"/>
  <c r="N23" i="14"/>
  <c r="N33" i="75" s="1"/>
  <c r="T83" i="62"/>
  <c r="H58" i="39"/>
  <c r="T77" i="62"/>
  <c r="N77" i="62"/>
  <c r="U77" i="62" s="1"/>
  <c r="T88" i="62"/>
  <c r="N88" i="62"/>
  <c r="U88" i="62" s="1"/>
  <c r="T90" i="62"/>
  <c r="N90" i="62"/>
  <c r="U90" i="62" s="1"/>
  <c r="K64" i="39"/>
  <c r="L64" i="39" s="1"/>
  <c r="H64" i="39"/>
  <c r="T91" i="62"/>
  <c r="N91" i="62"/>
  <c r="U91" i="62" s="1"/>
  <c r="N76" i="62"/>
  <c r="U76" i="62" s="1"/>
  <c r="T76" i="62"/>
  <c r="T75" i="62"/>
  <c r="N75" i="62"/>
  <c r="U75" i="62" s="1"/>
  <c r="T80" i="62"/>
  <c r="N80" i="62"/>
  <c r="U80" i="62" s="1"/>
  <c r="I48" i="73"/>
  <c r="O52" i="32"/>
  <c r="L48" i="39"/>
  <c r="H61" i="39"/>
  <c r="L50" i="39"/>
  <c r="K63" i="39"/>
  <c r="L63" i="39" s="1"/>
  <c r="H63" i="39"/>
  <c r="G51" i="32"/>
  <c r="N51" i="32"/>
  <c r="G59" i="32"/>
  <c r="V59" i="32"/>
  <c r="T81" i="62"/>
  <c r="N81" i="62"/>
  <c r="U81" i="62" s="1"/>
  <c r="T86" i="62"/>
  <c r="N86" i="62"/>
  <c r="U86" i="62" s="1"/>
  <c r="K57" i="39"/>
  <c r="L57" i="39" s="1"/>
  <c r="H57" i="39"/>
  <c r="T78" i="62"/>
  <c r="N78" i="62"/>
  <c r="U78" i="62" s="1"/>
  <c r="K62" i="39"/>
  <c r="L62" i="39" s="1"/>
  <c r="H62" i="39"/>
  <c r="G57" i="32"/>
  <c r="T57" i="32"/>
  <c r="G47" i="32"/>
  <c r="J47" i="32"/>
  <c r="T79" i="62"/>
  <c r="N79" i="62"/>
  <c r="U79" i="62" s="1"/>
  <c r="T84" i="62"/>
  <c r="N84" i="62"/>
  <c r="U84" i="62" s="1"/>
  <c r="T74" i="62"/>
  <c r="N74" i="62"/>
  <c r="U74" i="62" s="1"/>
  <c r="T87" i="62"/>
  <c r="N87" i="62"/>
  <c r="U87" i="62" s="1"/>
  <c r="G54" i="32"/>
  <c r="Q54" i="32"/>
  <c r="K60" i="39"/>
  <c r="L60" i="39" s="1"/>
  <c r="H60" i="39"/>
  <c r="G103" i="58"/>
  <c r="G58" i="32"/>
  <c r="U58" i="32"/>
  <c r="T85" i="62"/>
  <c r="N85" i="62"/>
  <c r="U85" i="62" s="1"/>
  <c r="D25" i="10"/>
  <c r="D24" i="10"/>
  <c r="R74" i="32" l="1"/>
  <c r="X73" i="32"/>
  <c r="N29" i="75"/>
  <c r="X12" i="75" s="1"/>
  <c r="N30" i="14"/>
  <c r="G71" i="32" s="1"/>
  <c r="Q72" i="32"/>
  <c r="V72" i="32"/>
  <c r="T74" i="32"/>
  <c r="N74" i="32"/>
  <c r="S74" i="32"/>
  <c r="U74" i="32"/>
  <c r="R73" i="32"/>
  <c r="V73" i="32"/>
  <c r="T73" i="32"/>
  <c r="N73" i="32"/>
  <c r="K73" i="32"/>
  <c r="W73" i="32"/>
  <c r="M73" i="32"/>
  <c r="M72" i="32"/>
  <c r="R72" i="32"/>
  <c r="J73" i="32"/>
  <c r="K72" i="32"/>
  <c r="K74" i="32"/>
  <c r="Q73" i="32"/>
  <c r="S73" i="32"/>
  <c r="X74" i="32"/>
  <c r="U73" i="32"/>
  <c r="P73" i="32"/>
  <c r="P72" i="32"/>
  <c r="X72" i="32"/>
  <c r="W60" i="32"/>
  <c r="F16" i="60"/>
  <c r="T23" i="39"/>
  <c r="I24" i="69" s="1"/>
  <c r="E19" i="17"/>
  <c r="E18" i="17"/>
  <c r="H9" i="17"/>
  <c r="I9" i="17" s="1"/>
  <c r="E9" i="17" s="1"/>
  <c r="H71" i="32" l="1"/>
  <c r="Q74" i="32"/>
  <c r="T72" i="32"/>
  <c r="N72" i="32"/>
  <c r="S72" i="32"/>
  <c r="V74" i="32"/>
  <c r="U72" i="32"/>
  <c r="J72" i="32"/>
  <c r="J74" i="32"/>
  <c r="G20" i="50"/>
  <c r="K12" i="50" s="1"/>
  <c r="F26" i="73"/>
  <c r="I26" i="73" s="1"/>
  <c r="D22" i="58"/>
  <c r="G22" i="58" s="1"/>
  <c r="E36" i="39"/>
  <c r="I36" i="39" s="1"/>
  <c r="L36" i="39" s="1"/>
  <c r="D24" i="32"/>
  <c r="K22" i="62"/>
  <c r="G21" i="50"/>
  <c r="K16" i="50" s="1"/>
  <c r="F27" i="73"/>
  <c r="I27" i="73" s="1"/>
  <c r="D23" i="58"/>
  <c r="G23" i="58" s="1"/>
  <c r="E37" i="39"/>
  <c r="I37" i="39" s="1"/>
  <c r="L37" i="39" s="1"/>
  <c r="D25" i="32"/>
  <c r="K23" i="62"/>
  <c r="G11" i="50"/>
  <c r="F17" i="73"/>
  <c r="D13" i="58"/>
  <c r="D15" i="32"/>
  <c r="E27" i="39"/>
  <c r="I27" i="39" s="1"/>
  <c r="K13" i="62"/>
  <c r="K10" i="14"/>
  <c r="K30" i="14" s="1"/>
  <c r="G69" i="32" s="1"/>
  <c r="M23" i="14"/>
  <c r="M21" i="14"/>
  <c r="M18" i="14"/>
  <c r="M15" i="14"/>
  <c r="M10" i="14"/>
  <c r="M13" i="14"/>
  <c r="M24" i="14"/>
  <c r="M12" i="14"/>
  <c r="M19" i="14"/>
  <c r="M20" i="14"/>
  <c r="M16" i="14"/>
  <c r="M22" i="14"/>
  <c r="M11" i="14"/>
  <c r="M14" i="14"/>
  <c r="M17" i="14"/>
  <c r="T27" i="10"/>
  <c r="T30" i="10" s="1"/>
  <c r="H10" i="10"/>
  <c r="H20" i="10"/>
  <c r="T19" i="10"/>
  <c r="H11" i="10"/>
  <c r="H21" i="10"/>
  <c r="T20" i="10"/>
  <c r="L22" i="14"/>
  <c r="S32" i="75" s="1"/>
  <c r="J36" i="14"/>
  <c r="K36" i="14"/>
  <c r="L36" i="14"/>
  <c r="M36" i="14"/>
  <c r="H69" i="32" l="1"/>
  <c r="M30" i="14"/>
  <c r="G70" i="32" s="1"/>
  <c r="W74" i="32"/>
  <c r="W72" i="32"/>
  <c r="T24" i="50"/>
  <c r="N24" i="50"/>
  <c r="L25" i="75"/>
  <c r="L13" i="75"/>
  <c r="L23" i="75"/>
  <c r="L22" i="75"/>
  <c r="L32" i="75"/>
  <c r="L21" i="75"/>
  <c r="L20" i="75"/>
  <c r="L18" i="75"/>
  <c r="L17" i="75"/>
  <c r="L19" i="75"/>
  <c r="L24" i="75"/>
  <c r="L16" i="75"/>
  <c r="L33" i="75"/>
  <c r="J23" i="14"/>
  <c r="T23" i="50"/>
  <c r="N23" i="50"/>
  <c r="P16" i="14"/>
  <c r="M16" i="75"/>
  <c r="P17" i="14"/>
  <c r="O17" i="14"/>
  <c r="M22" i="75"/>
  <c r="O14" i="14"/>
  <c r="P14" i="14"/>
  <c r="M17" i="75"/>
  <c r="O20" i="14"/>
  <c r="P20" i="14"/>
  <c r="M27" i="75"/>
  <c r="O10" i="14"/>
  <c r="P10" i="14"/>
  <c r="L27" i="75"/>
  <c r="R23" i="62"/>
  <c r="N23" i="62"/>
  <c r="U23" i="62" s="1"/>
  <c r="J24" i="14"/>
  <c r="L31" i="75"/>
  <c r="M19" i="75"/>
  <c r="O19" i="14"/>
  <c r="P19" i="14"/>
  <c r="M23" i="75"/>
  <c r="P15" i="14"/>
  <c r="O15" i="14"/>
  <c r="H25" i="32"/>
  <c r="G25" i="32"/>
  <c r="O25" i="32"/>
  <c r="M25" i="75"/>
  <c r="P11" i="14"/>
  <c r="O11" i="14"/>
  <c r="R13" i="62"/>
  <c r="N13" i="62"/>
  <c r="U13" i="62" s="1"/>
  <c r="P12" i="14"/>
  <c r="M24" i="75"/>
  <c r="O12" i="14"/>
  <c r="P18" i="14"/>
  <c r="M18" i="75"/>
  <c r="O18" i="14"/>
  <c r="L27" i="39"/>
  <c r="J70" i="39" s="1"/>
  <c r="U23" i="39" s="1"/>
  <c r="J24" i="69" s="1"/>
  <c r="K73" i="39"/>
  <c r="J73" i="39"/>
  <c r="X23" i="39" s="1"/>
  <c r="M24" i="69" s="1"/>
  <c r="K70" i="39"/>
  <c r="K72" i="39"/>
  <c r="K71" i="39"/>
  <c r="Q23" i="39"/>
  <c r="J72" i="39"/>
  <c r="W23" i="39" s="1"/>
  <c r="L24" i="69" s="1"/>
  <c r="J71" i="39"/>
  <c r="V23" i="39" s="1"/>
  <c r="K24" i="69" s="1"/>
  <c r="P24" i="14"/>
  <c r="O24" i="14"/>
  <c r="M31" i="75"/>
  <c r="M13" i="75"/>
  <c r="O21" i="14"/>
  <c r="P21" i="14"/>
  <c r="G15" i="32"/>
  <c r="H15" i="32"/>
  <c r="L15" i="32"/>
  <c r="G13" i="58"/>
  <c r="J9" i="58"/>
  <c r="Q9" i="58" s="1"/>
  <c r="M32" i="75"/>
  <c r="P22" i="14"/>
  <c r="O22" i="14"/>
  <c r="M20" i="75"/>
  <c r="P13" i="14"/>
  <c r="O13" i="14"/>
  <c r="M33" i="75"/>
  <c r="O23" i="14"/>
  <c r="P23" i="14"/>
  <c r="I17" i="73"/>
  <c r="K9" i="73"/>
  <c r="L12" i="73"/>
  <c r="R22" i="62"/>
  <c r="N22" i="62"/>
  <c r="U22" i="62" s="1"/>
  <c r="O16" i="14"/>
  <c r="M21" i="75"/>
  <c r="K11" i="50"/>
  <c r="K27" i="50" s="1"/>
  <c r="T21" i="50"/>
  <c r="T29" i="50" s="1"/>
  <c r="N17" i="50"/>
  <c r="N7" i="50"/>
  <c r="N22" i="50"/>
  <c r="N18" i="50"/>
  <c r="T13" i="50"/>
  <c r="T14" i="50"/>
  <c r="N12" i="50"/>
  <c r="T12" i="50"/>
  <c r="T8" i="50"/>
  <c r="T15" i="50"/>
  <c r="N20" i="50"/>
  <c r="N9" i="50"/>
  <c r="N8" i="50"/>
  <c r="N13" i="50"/>
  <c r="T7" i="50"/>
  <c r="N19" i="50"/>
  <c r="T20" i="50"/>
  <c r="T19" i="50"/>
  <c r="N11" i="50"/>
  <c r="T22" i="50"/>
  <c r="N15" i="50"/>
  <c r="T11" i="50"/>
  <c r="T9" i="50"/>
  <c r="N21" i="50"/>
  <c r="T16" i="50"/>
  <c r="N14" i="50"/>
  <c r="T17" i="50"/>
  <c r="T18" i="50"/>
  <c r="T10" i="50"/>
  <c r="N10" i="50"/>
  <c r="N16" i="50"/>
  <c r="G24" i="32"/>
  <c r="H24" i="32"/>
  <c r="O24" i="32"/>
  <c r="T29" i="10"/>
  <c r="J44" i="14"/>
  <c r="L44" i="14"/>
  <c r="K44" i="14"/>
  <c r="M44" i="14"/>
  <c r="H70" i="32" l="1"/>
  <c r="M29" i="75"/>
  <c r="L29" i="75"/>
  <c r="J30" i="14"/>
  <c r="O30" i="14"/>
  <c r="O74" i="32"/>
  <c r="R32" i="75"/>
  <c r="R18" i="75"/>
  <c r="R27" i="75"/>
  <c r="L23" i="14"/>
  <c r="R22" i="75"/>
  <c r="R33" i="75"/>
  <c r="R13" i="75"/>
  <c r="R19" i="75"/>
  <c r="R24" i="75"/>
  <c r="R16" i="75"/>
  <c r="R25" i="75"/>
  <c r="R31" i="75"/>
  <c r="R17" i="75"/>
  <c r="R20" i="75"/>
  <c r="R23" i="75"/>
  <c r="R21" i="75"/>
  <c r="K33" i="75"/>
  <c r="AE25" i="32"/>
  <c r="M46" i="14"/>
  <c r="L11" i="58" s="1"/>
  <c r="W42" i="75"/>
  <c r="L40" i="75"/>
  <c r="X33" i="75" s="1"/>
  <c r="M40" i="75"/>
  <c r="N27" i="50"/>
  <c r="O18" i="75"/>
  <c r="F20" i="60"/>
  <c r="O17" i="75"/>
  <c r="F27" i="60"/>
  <c r="R9" i="73"/>
  <c r="O32" i="75"/>
  <c r="F22" i="60"/>
  <c r="F24" i="69"/>
  <c r="P23" i="39"/>
  <c r="O25" i="75"/>
  <c r="F12" i="60"/>
  <c r="O13" i="75"/>
  <c r="F8" i="60"/>
  <c r="T27" i="50"/>
  <c r="O24" i="75"/>
  <c r="F32" i="60"/>
  <c r="F21" i="60"/>
  <c r="O19" i="75"/>
  <c r="O22" i="75"/>
  <c r="F26" i="60"/>
  <c r="O27" i="75"/>
  <c r="F9" i="60"/>
  <c r="O33" i="75"/>
  <c r="F10" i="60"/>
  <c r="O21" i="75"/>
  <c r="F33" i="60"/>
  <c r="O31" i="75"/>
  <c r="F31" i="60"/>
  <c r="O16" i="75"/>
  <c r="F17" i="60"/>
  <c r="O20" i="75"/>
  <c r="F29" i="60"/>
  <c r="K31" i="75"/>
  <c r="Z9" i="62"/>
  <c r="AG9" i="62" s="1"/>
  <c r="F28" i="60"/>
  <c r="O23" i="75"/>
  <c r="K46" i="14"/>
  <c r="O29" i="75" l="1"/>
  <c r="W39" i="75" s="1"/>
  <c r="K5" i="73"/>
  <c r="L42" i="75"/>
  <c r="L45" i="75" s="1"/>
  <c r="X11" i="75"/>
  <c r="S33" i="75"/>
  <c r="M12" i="73"/>
  <c r="K40" i="75"/>
  <c r="W40" i="75" s="1"/>
  <c r="M13" i="76"/>
  <c r="M47" i="14"/>
  <c r="M12" i="76"/>
  <c r="R23" i="39"/>
  <c r="G24" i="69" s="1"/>
  <c r="E24" i="69"/>
  <c r="M5" i="73"/>
  <c r="M42" i="75"/>
  <c r="M45" i="75" s="1"/>
  <c r="L72" i="32"/>
  <c r="L74" i="32"/>
  <c r="L73" i="32"/>
  <c r="O73" i="32"/>
  <c r="O72" i="32"/>
  <c r="J11" i="58"/>
  <c r="K47" i="14"/>
  <c r="C4" i="32"/>
  <c r="C64" i="32" s="1"/>
  <c r="W44" i="75" l="1"/>
  <c r="K42" i="75"/>
  <c r="X13" i="75"/>
  <c r="X14" i="75" s="1"/>
  <c r="C62" i="32"/>
  <c r="C63" i="32"/>
  <c r="P30" i="14"/>
  <c r="C51" i="32"/>
  <c r="C58" i="32"/>
  <c r="C50" i="32"/>
  <c r="C57" i="32"/>
  <c r="C49" i="32"/>
  <c r="C56" i="32"/>
  <c r="C48" i="32"/>
  <c r="C59" i="32"/>
  <c r="C55" i="32"/>
  <c r="C47" i="32"/>
  <c r="C54" i="32"/>
  <c r="C60" i="32"/>
  <c r="C52" i="32"/>
  <c r="C61" i="32"/>
  <c r="C53" i="32"/>
  <c r="C4" i="49"/>
  <c r="J26" i="49" s="1"/>
  <c r="J28" i="49" s="1"/>
  <c r="C4" i="52"/>
  <c r="AJ29" i="32" l="1"/>
  <c r="Q27" i="14" s="1"/>
  <c r="Q10" i="75" s="1"/>
  <c r="Z68" i="32"/>
  <c r="Y68" i="32"/>
  <c r="K68" i="32"/>
  <c r="P68" i="32"/>
  <c r="M68" i="32"/>
  <c r="R68" i="32"/>
  <c r="AJ23" i="32"/>
  <c r="Q13" i="75" s="1"/>
  <c r="T68" i="32"/>
  <c r="S68" i="32"/>
  <c r="J68" i="32"/>
  <c r="Q68" i="32"/>
  <c r="N68" i="32"/>
  <c r="AJ24" i="32"/>
  <c r="Q32" i="75" s="1"/>
  <c r="AJ25" i="32"/>
  <c r="Q33" i="75" s="1"/>
  <c r="L68" i="32"/>
  <c r="O68" i="32"/>
  <c r="AF29" i="32"/>
  <c r="AG29" i="32" s="1"/>
  <c r="AI29" i="32"/>
  <c r="AH29" i="32"/>
  <c r="AE38" i="32"/>
  <c r="AH28" i="32"/>
  <c r="AF28" i="32"/>
  <c r="AI28" i="32"/>
  <c r="AI27" i="32"/>
  <c r="AH27" i="32"/>
  <c r="AF27" i="32"/>
  <c r="AG27" i="32" s="1"/>
  <c r="AF12" i="32"/>
  <c r="AH15" i="32"/>
  <c r="AH19" i="32"/>
  <c r="AH23" i="32"/>
  <c r="AH12" i="32"/>
  <c r="AF16" i="32"/>
  <c r="AG16" i="32" s="1"/>
  <c r="AF20" i="32"/>
  <c r="AG20" i="32" s="1"/>
  <c r="AF24" i="32"/>
  <c r="AG24" i="32" s="1"/>
  <c r="AF13" i="32"/>
  <c r="AG13" i="32" s="1"/>
  <c r="AH16" i="32"/>
  <c r="AH20" i="32"/>
  <c r="AH24" i="32"/>
  <c r="AH13" i="32"/>
  <c r="AF17" i="32"/>
  <c r="AG17" i="32" s="1"/>
  <c r="AF21" i="32"/>
  <c r="AG21" i="32" s="1"/>
  <c r="AF25" i="32"/>
  <c r="AG25" i="32" s="1"/>
  <c r="AF15" i="32"/>
  <c r="AG15" i="32" s="1"/>
  <c r="AH26" i="32"/>
  <c r="AF23" i="32"/>
  <c r="AG23" i="32" s="1"/>
  <c r="AF14" i="32"/>
  <c r="AG14" i="32" s="1"/>
  <c r="AH17" i="32"/>
  <c r="AH21" i="32"/>
  <c r="AH25" i="32"/>
  <c r="AH18" i="32"/>
  <c r="AH22" i="32"/>
  <c r="AF19" i="32"/>
  <c r="AG19" i="32" s="1"/>
  <c r="AH14" i="32"/>
  <c r="AF18" i="32"/>
  <c r="AG18" i="32" s="1"/>
  <c r="AF22" i="32"/>
  <c r="AG22" i="32" s="1"/>
  <c r="AF26" i="32"/>
  <c r="J83" i="49"/>
  <c r="J71" i="49"/>
  <c r="J73" i="49" s="1"/>
  <c r="V12" i="49" s="1"/>
  <c r="J48" i="49"/>
  <c r="AI20" i="32"/>
  <c r="AI13" i="32"/>
  <c r="AI21" i="32"/>
  <c r="AI14" i="32"/>
  <c r="AI22" i="32"/>
  <c r="AI15" i="32"/>
  <c r="AI23" i="32"/>
  <c r="AI12" i="32"/>
  <c r="AI16" i="32"/>
  <c r="AI24" i="32"/>
  <c r="AI17" i="32"/>
  <c r="AI25" i="32"/>
  <c r="AI18" i="32"/>
  <c r="AI26" i="32"/>
  <c r="AI19" i="32"/>
  <c r="C52" i="49"/>
  <c r="J16" i="49"/>
  <c r="J18" i="49" s="1"/>
  <c r="V9" i="49" s="1"/>
  <c r="C50" i="49"/>
  <c r="C54" i="49"/>
  <c r="C51" i="49"/>
  <c r="C53" i="49"/>
  <c r="C15" i="52"/>
  <c r="J20" i="52" s="1"/>
  <c r="C14" i="52"/>
  <c r="J10" i="52" s="1"/>
  <c r="C16" i="52"/>
  <c r="J31" i="52" s="1"/>
  <c r="V11" i="52" s="1"/>
  <c r="Q35" i="14" s="1"/>
  <c r="Q15" i="75" s="1"/>
  <c r="J22" i="52"/>
  <c r="V10" i="52" s="1"/>
  <c r="Q34" i="14" s="1"/>
  <c r="Q14" i="75" s="1"/>
  <c r="AI33" i="32" l="1"/>
  <c r="AI34" i="32" s="1"/>
  <c r="AH33" i="32"/>
  <c r="AH34" i="32" s="1"/>
  <c r="AF33" i="32"/>
  <c r="AF34" i="32" s="1"/>
  <c r="AL29" i="32"/>
  <c r="AK29" i="32"/>
  <c r="AM29" i="32"/>
  <c r="J50" i="49"/>
  <c r="V11" i="49" s="1"/>
  <c r="Q41" i="14" s="1"/>
  <c r="Q34" i="75" s="1"/>
  <c r="AJ22" i="32"/>
  <c r="Q17" i="75" s="1"/>
  <c r="AJ16" i="32"/>
  <c r="Q22" i="75" s="1"/>
  <c r="AJ14" i="32"/>
  <c r="Q24" i="75" s="1"/>
  <c r="AJ13" i="32"/>
  <c r="Q25" i="75" s="1"/>
  <c r="AJ19" i="32"/>
  <c r="Q16" i="75" s="1"/>
  <c r="AJ12" i="32"/>
  <c r="Q27" i="75" s="1"/>
  <c r="AJ21" i="32"/>
  <c r="Q19" i="75" s="1"/>
  <c r="AJ15" i="32"/>
  <c r="Q20" i="75" s="1"/>
  <c r="AJ18" i="32"/>
  <c r="Q21" i="75" s="1"/>
  <c r="AJ20" i="32"/>
  <c r="Q18" i="75" s="1"/>
  <c r="AJ27" i="32"/>
  <c r="Q12" i="75" s="1"/>
  <c r="AJ17" i="32"/>
  <c r="Q23" i="75" s="1"/>
  <c r="AJ28" i="32"/>
  <c r="Q11" i="75" s="1"/>
  <c r="AE41" i="32"/>
  <c r="AE40" i="32"/>
  <c r="AE39" i="32"/>
  <c r="AG12" i="32"/>
  <c r="AK28" i="32"/>
  <c r="AM28" i="32"/>
  <c r="AG28" i="32"/>
  <c r="AL28" i="32"/>
  <c r="Q39" i="14"/>
  <c r="Q35" i="75" s="1"/>
  <c r="Q42" i="14"/>
  <c r="Q37" i="75" s="1"/>
  <c r="AJ33" i="32"/>
  <c r="J8" i="51" s="1"/>
  <c r="Q30" i="14"/>
  <c r="AM27" i="32"/>
  <c r="AK27" i="32"/>
  <c r="AL27" i="32"/>
  <c r="AL16" i="32"/>
  <c r="AL23" i="32"/>
  <c r="AL24" i="32"/>
  <c r="AL14" i="32"/>
  <c r="AL21" i="32"/>
  <c r="AL13" i="32"/>
  <c r="AL19" i="32"/>
  <c r="AL17" i="32"/>
  <c r="AL15" i="32"/>
  <c r="AL22" i="32"/>
  <c r="AM20" i="32"/>
  <c r="AK20" i="32"/>
  <c r="AK22" i="32"/>
  <c r="AM22" i="32"/>
  <c r="AL26" i="32"/>
  <c r="AM13" i="32"/>
  <c r="AK13" i="32"/>
  <c r="AM15" i="32"/>
  <c r="AK15" i="32"/>
  <c r="AK18" i="32"/>
  <c r="AM18" i="32"/>
  <c r="AM14" i="32"/>
  <c r="AK14" i="32"/>
  <c r="AK12" i="32"/>
  <c r="AM12" i="32"/>
  <c r="AK19" i="32"/>
  <c r="AM19" i="32"/>
  <c r="AL18" i="32"/>
  <c r="AK21" i="32"/>
  <c r="AM21" i="32"/>
  <c r="AK23" i="32"/>
  <c r="AM23" i="32"/>
  <c r="AK26" i="32"/>
  <c r="AM26" i="32"/>
  <c r="AL25" i="32"/>
  <c r="AK16" i="32"/>
  <c r="AM16" i="32"/>
  <c r="AL20" i="32"/>
  <c r="AM24" i="32"/>
  <c r="AK24" i="32"/>
  <c r="AK17" i="32"/>
  <c r="AM17" i="32"/>
  <c r="AL12" i="32"/>
  <c r="AK25" i="32"/>
  <c r="AM25" i="32"/>
  <c r="AJ34" i="32" l="1"/>
  <c r="J8" i="69"/>
  <c r="H8" i="51"/>
  <c r="H8" i="69"/>
  <c r="F8" i="51"/>
  <c r="F8" i="69"/>
  <c r="I8" i="51"/>
  <c r="I8" i="69"/>
  <c r="AL33" i="32"/>
  <c r="AM33" i="32"/>
  <c r="AK33" i="32"/>
  <c r="AF41" i="32" l="1"/>
  <c r="AF40" i="32"/>
  <c r="AF39" i="32"/>
  <c r="AK34" i="32"/>
  <c r="M8" i="51"/>
  <c r="M8" i="69"/>
  <c r="L8" i="51"/>
  <c r="L8" i="69"/>
  <c r="K8" i="51"/>
  <c r="K8" i="69"/>
  <c r="L24" i="14" l="1"/>
  <c r="L30" i="14" s="1"/>
  <c r="J46" i="14"/>
  <c r="AE26" i="32"/>
  <c r="AE33" i="32" s="1"/>
  <c r="S45" i="75" l="1"/>
  <c r="K45" i="75"/>
  <c r="S31" i="75"/>
  <c r="S40" i="75" s="1"/>
  <c r="S42" i="75" s="1"/>
  <c r="AG26" i="32"/>
  <c r="AG33" i="32" s="1"/>
  <c r="AE34" i="32"/>
  <c r="AG34" i="32" l="1"/>
  <c r="L46" i="14"/>
  <c r="E8" i="51"/>
  <c r="E17" i="51" s="1"/>
  <c r="E19" i="51" s="1"/>
  <c r="E8" i="69"/>
  <c r="E17" i="69" s="1"/>
  <c r="E19" i="69" s="1"/>
  <c r="P34" i="14"/>
  <c r="R14" i="75" s="1"/>
  <c r="P33" i="14"/>
  <c r="R26" i="75" s="1"/>
  <c r="P35" i="14"/>
  <c r="R15" i="75" s="1"/>
  <c r="E33" i="37"/>
  <c r="N36" i="14"/>
  <c r="O36" i="14" s="1"/>
  <c r="E32" i="37"/>
  <c r="M89" i="62"/>
  <c r="T89" i="62" s="1"/>
  <c r="G8" i="69" l="1"/>
  <c r="G8" i="51"/>
  <c r="F15" i="52"/>
  <c r="F112" i="58"/>
  <c r="G112" i="58" s="1"/>
  <c r="O8" i="37"/>
  <c r="O10" i="37" s="1"/>
  <c r="F14" i="52"/>
  <c r="F111" i="58"/>
  <c r="G111" i="58" s="1"/>
  <c r="F16" i="52"/>
  <c r="F113" i="58"/>
  <c r="G113" i="58" s="1"/>
  <c r="P36" i="14"/>
  <c r="H65" i="73"/>
  <c r="I65" i="73" s="1"/>
  <c r="H64" i="73"/>
  <c r="G108" i="58"/>
  <c r="N89" i="62"/>
  <c r="U89" i="62" s="1"/>
  <c r="U11" i="52" l="1"/>
  <c r="G16" i="52"/>
  <c r="M10" i="52"/>
  <c r="U9" i="52"/>
  <c r="G14" i="52"/>
  <c r="U10" i="52"/>
  <c r="G15" i="52"/>
  <c r="I64" i="73"/>
  <c r="O9" i="73" s="1"/>
  <c r="L16" i="73" s="1"/>
  <c r="Q29" i="75" s="1"/>
  <c r="G47" i="37" s="1"/>
  <c r="L13" i="73"/>
  <c r="L15" i="73" s="1"/>
  <c r="L32" i="60"/>
  <c r="L33" i="60" s="1"/>
  <c r="N9" i="73"/>
  <c r="M20" i="49"/>
  <c r="M30" i="49"/>
  <c r="M52" i="49"/>
  <c r="M75" i="49"/>
  <c r="M92" i="62"/>
  <c r="T92" i="62" s="1"/>
  <c r="N44" i="14"/>
  <c r="P44" i="14" s="1"/>
  <c r="G114" i="58"/>
  <c r="R12" i="49"/>
  <c r="S12" i="49" s="1"/>
  <c r="M94" i="62"/>
  <c r="N94" i="62" s="1"/>
  <c r="U94" i="62" s="1"/>
  <c r="U11" i="49"/>
  <c r="X15" i="75" l="1"/>
  <c r="N5" i="73"/>
  <c r="X10" i="52"/>
  <c r="W10" i="52"/>
  <c r="V12" i="52"/>
  <c r="Q15" i="52"/>
  <c r="Q36" i="14" s="1"/>
  <c r="Q16" i="52"/>
  <c r="X9" i="52"/>
  <c r="W9" i="52"/>
  <c r="U12" i="52"/>
  <c r="Q17" i="52"/>
  <c r="J14" i="52"/>
  <c r="J13" i="52"/>
  <c r="N10" i="52"/>
  <c r="J12" i="52" s="1"/>
  <c r="V9" i="52" s="1"/>
  <c r="Q33" i="14" s="1"/>
  <c r="Q26" i="75" s="1"/>
  <c r="X11" i="52"/>
  <c r="W11" i="52"/>
  <c r="H64" i="76"/>
  <c r="I64" i="76" s="1"/>
  <c r="H68" i="76"/>
  <c r="I68" i="76" s="1"/>
  <c r="N46" i="14"/>
  <c r="O11" i="37" s="1"/>
  <c r="O44" i="14"/>
  <c r="H65" i="76"/>
  <c r="I65" i="76" s="1"/>
  <c r="H67" i="76"/>
  <c r="I67" i="76" s="1"/>
  <c r="H66" i="76"/>
  <c r="I66" i="76" s="1"/>
  <c r="P9" i="73"/>
  <c r="Q9" i="73"/>
  <c r="T12" i="49"/>
  <c r="Y12" i="49" s="1"/>
  <c r="G118" i="58"/>
  <c r="G116" i="58"/>
  <c r="T11" i="49"/>
  <c r="M93" i="62"/>
  <c r="N93" i="62" s="1"/>
  <c r="U93" i="62" s="1"/>
  <c r="R13" i="49"/>
  <c r="S13" i="49" s="1"/>
  <c r="R11" i="49"/>
  <c r="X11" i="49" s="1"/>
  <c r="U9" i="49"/>
  <c r="R9" i="49"/>
  <c r="S9" i="49" s="1"/>
  <c r="J86" i="49"/>
  <c r="M95" i="62"/>
  <c r="U13" i="49"/>
  <c r="R29" i="75"/>
  <c r="G117" i="58"/>
  <c r="U12" i="49"/>
  <c r="X12" i="49" s="1"/>
  <c r="T94" i="62"/>
  <c r="M96" i="62"/>
  <c r="G54" i="49"/>
  <c r="T9" i="49"/>
  <c r="T10" i="49"/>
  <c r="N92" i="62"/>
  <c r="U92" i="62" s="1"/>
  <c r="R10" i="49"/>
  <c r="U10" i="49"/>
  <c r="T13" i="49"/>
  <c r="P46" i="14" l="1"/>
  <c r="O9" i="76"/>
  <c r="L16" i="76" s="1"/>
  <c r="Q40" i="75" s="1"/>
  <c r="G48" i="37" s="1"/>
  <c r="W12" i="52"/>
  <c r="X12" i="52"/>
  <c r="I11" i="51"/>
  <c r="I11" i="69"/>
  <c r="J11" i="51"/>
  <c r="J11" i="69"/>
  <c r="O46" i="14"/>
  <c r="J87" i="49"/>
  <c r="T93" i="62"/>
  <c r="X13" i="49"/>
  <c r="Y11" i="49"/>
  <c r="X9" i="49"/>
  <c r="W11" i="49"/>
  <c r="M87" i="49"/>
  <c r="N83" i="49"/>
  <c r="J85" i="49" s="1"/>
  <c r="V13" i="49" s="1"/>
  <c r="W12" i="49"/>
  <c r="N40" i="75"/>
  <c r="L13" i="76"/>
  <c r="L15" i="76" s="1"/>
  <c r="L19" i="76" s="1"/>
  <c r="S11" i="49"/>
  <c r="T95" i="62"/>
  <c r="N95" i="62"/>
  <c r="U95" i="62" s="1"/>
  <c r="X10" i="49"/>
  <c r="Q20" i="49"/>
  <c r="Y10" i="49"/>
  <c r="W10" i="49"/>
  <c r="N9" i="76"/>
  <c r="Q21" i="49"/>
  <c r="Y9" i="49"/>
  <c r="W9" i="49"/>
  <c r="T15" i="49"/>
  <c r="Q19" i="49"/>
  <c r="N96" i="62"/>
  <c r="U96" i="62" s="1"/>
  <c r="T96" i="62"/>
  <c r="AC9" i="62" s="1"/>
  <c r="W13" i="49"/>
  <c r="Y13" i="49"/>
  <c r="Q18" i="49"/>
  <c r="Q44" i="14" s="1"/>
  <c r="V15" i="49"/>
  <c r="U15" i="49"/>
  <c r="S10" i="49"/>
  <c r="R15" i="49"/>
  <c r="G115" i="58"/>
  <c r="N9" i="58" s="1"/>
  <c r="Q42" i="75" s="1"/>
  <c r="G49" i="37" s="1"/>
  <c r="M9" i="58"/>
  <c r="X37" i="75" l="1"/>
  <c r="X34" i="75"/>
  <c r="O40" i="75"/>
  <c r="X36" i="75" s="1"/>
  <c r="O12" i="37"/>
  <c r="M11" i="58"/>
  <c r="M14" i="76"/>
  <c r="L11" i="51"/>
  <c r="L11" i="69"/>
  <c r="K11" i="51"/>
  <c r="K11" i="69"/>
  <c r="AD9" i="62"/>
  <c r="N42" i="75"/>
  <c r="S15" i="49"/>
  <c r="G14" i="69" s="1"/>
  <c r="G17" i="69" s="1"/>
  <c r="G19" i="69" s="1"/>
  <c r="T40" i="75"/>
  <c r="R40" i="75"/>
  <c r="Q43" i="14"/>
  <c r="Q38" i="75" s="1"/>
  <c r="I14" i="51"/>
  <c r="I17" i="51" s="1"/>
  <c r="I14" i="69"/>
  <c r="I17" i="69" s="1"/>
  <c r="X15" i="49"/>
  <c r="P9" i="58"/>
  <c r="O9" i="58"/>
  <c r="N47" i="14"/>
  <c r="J14" i="51"/>
  <c r="J14" i="69"/>
  <c r="Y15" i="49"/>
  <c r="W15" i="49"/>
  <c r="H14" i="69"/>
  <c r="H17" i="69" s="1"/>
  <c r="H14" i="51"/>
  <c r="H17" i="51" s="1"/>
  <c r="AF9" i="62"/>
  <c r="AE9" i="62"/>
  <c r="Q46" i="14"/>
  <c r="J17" i="69"/>
  <c r="J17" i="51"/>
  <c r="Q9" i="76"/>
  <c r="P9" i="76"/>
  <c r="F14" i="69"/>
  <c r="F17" i="69" s="1"/>
  <c r="F19" i="69" s="1"/>
  <c r="F14" i="51"/>
  <c r="F17" i="51" s="1"/>
  <c r="F19" i="51" s="1"/>
  <c r="W41" i="75" l="1"/>
  <c r="O47" i="75"/>
  <c r="O42" i="75"/>
  <c r="O45" i="75" s="1"/>
  <c r="X35" i="75"/>
  <c r="R42" i="75"/>
  <c r="N45" i="75"/>
  <c r="G14" i="51"/>
  <c r="G17" i="51" s="1"/>
  <c r="G19" i="51" s="1"/>
  <c r="L17" i="51"/>
  <c r="I19" i="51"/>
  <c r="K17" i="69"/>
  <c r="H19" i="69"/>
  <c r="M17" i="69"/>
  <c r="K14" i="69"/>
  <c r="K14" i="51"/>
  <c r="L14" i="51"/>
  <c r="L14" i="69"/>
  <c r="K17" i="51"/>
  <c r="M17" i="51"/>
  <c r="H19" i="51"/>
  <c r="M14" i="69"/>
  <c r="M14" i="51"/>
  <c r="L17" i="69"/>
  <c r="I19" i="69"/>
  <c r="G14" i="70"/>
  <c r="F26" i="44"/>
  <c r="I27" i="14" l="1"/>
  <c r="J10" i="75" s="1"/>
  <c r="L26" i="6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41" authorId="0" shapeId="0" xr:uid="{DE6B8698-9001-48BA-9B84-47022CC05361}">
      <text>
        <r>
          <rPr>
            <sz val="9"/>
            <color indexed="81"/>
            <rFont val="Tahoma"/>
            <family val="2"/>
          </rPr>
          <t xml:space="preserve">Includes recallable distributions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9" authorId="0" shapeId="0" xr:uid="{00B11B00-EA20-4864-A8FD-6BD74519276B}">
      <text>
        <r>
          <rPr>
            <b/>
            <sz val="9"/>
            <color indexed="81"/>
            <rFont val="Tahoma"/>
            <family val="2"/>
          </rPr>
          <t>Fully exited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1" authorId="0" shapeId="0" xr:uid="{B35834EA-8000-4678-8AF6-97D832114BC5}">
      <text>
        <r>
          <rPr>
            <sz val="9"/>
            <color indexed="81"/>
            <rFont val="Tahoma"/>
            <family val="2"/>
          </rPr>
          <t xml:space="preserve">The distributions are recallable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9" authorId="0" shapeId="0" xr:uid="{8506D4D9-7C7A-4DFF-AA14-F3F292C493EF}">
      <text>
        <r>
          <rPr>
            <b/>
            <sz val="9"/>
            <color indexed="81"/>
            <rFont val="Tahoma"/>
            <family val="2"/>
          </rPr>
          <t>Jollychic Holding Ltd</t>
        </r>
        <r>
          <rPr>
            <sz val="9"/>
            <color indexed="81"/>
            <rFont val="Tahoma"/>
            <family val="2"/>
          </rPr>
          <t xml:space="preserve"> is incoporated underst the laws of the Cayman Islands and Mozn Holding  Series C Preferred Shares. Refer to the 'Register of Members' Document.
</t>
        </r>
      </text>
    </comment>
    <comment ref="F11" authorId="0" shapeId="0" xr:uid="{680AA846-D73E-4DEB-AF42-05145259553A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3" authorId="0" shapeId="0" xr:uid="{50A8FF4E-188E-4011-AA38-6E46AD2A5113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7" authorId="0" shapeId="0" xr:uid="{3FBF9551-EE9C-4058-8477-F099C628B87F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8" authorId="0" shapeId="0" xr:uid="{4F58F2CA-959A-431A-8621-49CF7C7C6273}">
      <text>
        <r>
          <rPr>
            <b/>
            <sz val="9"/>
            <color indexed="81"/>
            <rFont val="Tahoma"/>
            <family val="2"/>
          </rPr>
          <t>Fully diluted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 xr:uid="{89A36E2B-3888-4C15-A436-15A90D763DA5}">
      <text>
        <r>
          <rPr>
            <b/>
            <sz val="9"/>
            <color indexed="81"/>
            <rFont val="Tahoma"/>
            <family val="2"/>
          </rPr>
          <t xml:space="preserve">Not estimated as Fully diluted, </t>
        </r>
        <r>
          <rPr>
            <sz val="9"/>
            <color indexed="81"/>
            <rFont val="Tahoma"/>
            <family val="2"/>
          </rPr>
          <t xml:space="preserve">as our % holding will increase in that case (due to outstanding warrants)
</t>
        </r>
      </text>
    </comment>
    <comment ref="F26" authorId="0" shapeId="0" xr:uid="{A8169CEF-26F2-4E44-8FBC-0E9128DD27CB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0" authorId="0" shapeId="0" xr:uid="{0C65EA05-CBC6-49D0-95FA-09E3E71DF2E0}">
      <text>
        <r>
          <rPr>
            <b/>
            <sz val="9"/>
            <color indexed="81"/>
            <rFont val="Tahoma"/>
            <family val="2"/>
          </rPr>
          <t xml:space="preserve">Dan: </t>
        </r>
        <r>
          <rPr>
            <sz val="9"/>
            <color indexed="81"/>
            <rFont val="Tahoma"/>
            <family val="2"/>
          </rPr>
          <t xml:space="preserve">we expect SDF's NAV to increase as some investments will be market up
</t>
        </r>
      </text>
    </comment>
  </commentList>
</comments>
</file>

<file path=xl/sharedStrings.xml><?xml version="1.0" encoding="utf-8"?>
<sst xmlns="http://schemas.openxmlformats.org/spreadsheetml/2006/main" count="2596" uniqueCount="644">
  <si>
    <t>Mena Mobile Inc</t>
  </si>
  <si>
    <t>North Summit Capital Fund</t>
  </si>
  <si>
    <t>Invested</t>
  </si>
  <si>
    <t>Value</t>
  </si>
  <si>
    <t>Comments</t>
  </si>
  <si>
    <t xml:space="preserve">Accounting entity </t>
  </si>
  <si>
    <t>Investment</t>
  </si>
  <si>
    <t>Payment date</t>
  </si>
  <si>
    <t xml:space="preserve">Description </t>
  </si>
  <si>
    <t>Mozn</t>
  </si>
  <si>
    <t>18/02/2020</t>
  </si>
  <si>
    <t>Heygears</t>
  </si>
  <si>
    <t>USD</t>
  </si>
  <si>
    <t>G42</t>
  </si>
  <si>
    <t>ONT</t>
  </si>
  <si>
    <t>Sinovation Disrupt Fund, L.P.</t>
  </si>
  <si>
    <t>18/11/2020</t>
  </si>
  <si>
    <t>1st Capital Call</t>
  </si>
  <si>
    <t>Partial return of the 1st Capital Call</t>
  </si>
  <si>
    <t>2nd Capital Calll</t>
  </si>
  <si>
    <t xml:space="preserve">Return of Capital fund </t>
  </si>
  <si>
    <t xml:space="preserve">Interest Catchup </t>
  </si>
  <si>
    <t>19/07/2019</t>
  </si>
  <si>
    <t>13/04/2020</t>
  </si>
  <si>
    <t>Jysan Technologies</t>
  </si>
  <si>
    <t>DriveNets</t>
  </si>
  <si>
    <t>31/12/2020</t>
  </si>
  <si>
    <t>GBP</t>
  </si>
  <si>
    <t>Comment</t>
  </si>
  <si>
    <t>Currency</t>
  </si>
  <si>
    <t>Instadeep</t>
  </si>
  <si>
    <t>New Space Capital</t>
  </si>
  <si>
    <t>IRR</t>
  </si>
  <si>
    <t>Status</t>
  </si>
  <si>
    <t>Exited</t>
  </si>
  <si>
    <t>vTv Therapeutics</t>
  </si>
  <si>
    <t>Carrying Value</t>
  </si>
  <si>
    <t>Direct Investments</t>
  </si>
  <si>
    <t>Debt Investments</t>
  </si>
  <si>
    <t>Funds Investments</t>
  </si>
  <si>
    <t>Investing Entity</t>
  </si>
  <si>
    <t>Committed</t>
  </si>
  <si>
    <t>Distributions</t>
  </si>
  <si>
    <t>TVPI</t>
  </si>
  <si>
    <t>Honor Device Co Ltd</t>
  </si>
  <si>
    <t>Instrument</t>
  </si>
  <si>
    <t>USD Millions</t>
  </si>
  <si>
    <t>Beyond Limits</t>
  </si>
  <si>
    <t>Flyr Inc</t>
  </si>
  <si>
    <t xml:space="preserve">Esyasoft Holding </t>
  </si>
  <si>
    <t>Cerebras Systems Inc</t>
  </si>
  <si>
    <t>Endless Studios LLC</t>
  </si>
  <si>
    <t>Instadeep Limited</t>
  </si>
  <si>
    <t>Debt</t>
  </si>
  <si>
    <t>Convertible Note</t>
  </si>
  <si>
    <t>Ordinary Shares</t>
  </si>
  <si>
    <t>Vintage</t>
  </si>
  <si>
    <t>Jollychic Holding Limited</t>
  </si>
  <si>
    <t xml:space="preserve">Glass Earth Holdings LLC </t>
  </si>
  <si>
    <t>A (Ordinary Shares)</t>
  </si>
  <si>
    <t>Remaining Commitment</t>
  </si>
  <si>
    <t>Additonal Upside</t>
  </si>
  <si>
    <t>Deals</t>
  </si>
  <si>
    <t>Fund</t>
  </si>
  <si>
    <t>%</t>
  </si>
  <si>
    <t>G42 Shares</t>
  </si>
  <si>
    <t>Fully Diluted</t>
  </si>
  <si>
    <t>FLYR</t>
  </si>
  <si>
    <t>% ownership</t>
  </si>
  <si>
    <t xml:space="preserve">LP </t>
  </si>
  <si>
    <t>Date of Investment</t>
  </si>
  <si>
    <t>Price per share</t>
  </si>
  <si>
    <t>USDAED</t>
  </si>
  <si>
    <t>GBPUSD</t>
  </si>
  <si>
    <t>Multiple</t>
  </si>
  <si>
    <t>Share Price (GBP)</t>
  </si>
  <si>
    <t>Total</t>
  </si>
  <si>
    <t>Post all transactions</t>
  </si>
  <si>
    <t>B = 599,769</t>
  </si>
  <si>
    <t>Ordinary =1,493,575</t>
  </si>
  <si>
    <t>Employee shares = 83,261</t>
  </si>
  <si>
    <t>Class A = 289,048</t>
  </si>
  <si>
    <t>LTIP shares</t>
  </si>
  <si>
    <t># shares to G42</t>
  </si>
  <si>
    <t xml:space="preserve"> Currency</t>
  </si>
  <si>
    <t>Share price</t>
  </si>
  <si>
    <t xml:space="preserve">Discount </t>
  </si>
  <si>
    <t>Carrying Value Mn</t>
  </si>
  <si>
    <t>NAV Date</t>
  </si>
  <si>
    <t>Offer Mn, GBP</t>
  </si>
  <si>
    <t># shares o/s</t>
  </si>
  <si>
    <t>Price per share | Oct 21</t>
  </si>
  <si>
    <t>Offer price per share</t>
  </si>
  <si>
    <t>Premium</t>
  </si>
  <si>
    <t>BNT Offer | 18Jul 2022</t>
  </si>
  <si>
    <t># shares</t>
  </si>
  <si>
    <t>Mena Mobile</t>
  </si>
  <si>
    <t>EsyaSoft, Equity</t>
  </si>
  <si>
    <t>EsyaSoft, Debt</t>
  </si>
  <si>
    <t>GP</t>
  </si>
  <si>
    <t>Lead</t>
  </si>
  <si>
    <t>Sushil</t>
  </si>
  <si>
    <t>Elaine</t>
  </si>
  <si>
    <t>Divyesh</t>
  </si>
  <si>
    <t>Anton</t>
  </si>
  <si>
    <t>Business Outlook</t>
  </si>
  <si>
    <t>Financial Outlook</t>
  </si>
  <si>
    <t>Valuation Outlook</t>
  </si>
  <si>
    <t xml:space="preserve">9.9% GP | Anchor </t>
  </si>
  <si>
    <t>Ignasi</t>
  </si>
  <si>
    <t>C Prefs</t>
  </si>
  <si>
    <t>B Prefs</t>
  </si>
  <si>
    <t>F Prefs</t>
  </si>
  <si>
    <t>X-fusion</t>
  </si>
  <si>
    <t>N/A</t>
  </si>
  <si>
    <t>Registered Capital</t>
  </si>
  <si>
    <t>C+ Prefs</t>
  </si>
  <si>
    <t>A Pref Units</t>
  </si>
  <si>
    <t>B-1,2 Prefs</t>
  </si>
  <si>
    <t xml:space="preserve">B Prefs </t>
  </si>
  <si>
    <t>Equity-TBC</t>
  </si>
  <si>
    <t>Unrealized</t>
  </si>
  <si>
    <t>Realized</t>
  </si>
  <si>
    <t>Geography</t>
  </si>
  <si>
    <t>Representative</t>
  </si>
  <si>
    <t>In Liquidation</t>
  </si>
  <si>
    <t>USD, Million</t>
  </si>
  <si>
    <t>Held at cost.</t>
  </si>
  <si>
    <t>#</t>
  </si>
  <si>
    <t xml:space="preserve">Investments </t>
  </si>
  <si>
    <t>Current Shares/Units</t>
  </si>
  <si>
    <t>ONT plc</t>
  </si>
  <si>
    <t>vTv Therapeutics Inc.</t>
  </si>
  <si>
    <t>Note:</t>
  </si>
  <si>
    <t>USD AED</t>
  </si>
  <si>
    <t>Contributions (in USD, Mn)</t>
  </si>
  <si>
    <t>Notes</t>
  </si>
  <si>
    <t>Remaining Value</t>
  </si>
  <si>
    <t xml:space="preserve"> (in USD, Mn)</t>
  </si>
  <si>
    <t>Contribution</t>
  </si>
  <si>
    <t>DPI</t>
  </si>
  <si>
    <t>RVPI</t>
  </si>
  <si>
    <t>Guy Harmelin (Independent Director)</t>
  </si>
  <si>
    <t>Viktor</t>
  </si>
  <si>
    <t>Peng Xiao, Elaine</t>
  </si>
  <si>
    <t xml:space="preserve">Peng Xiao </t>
  </si>
  <si>
    <t>Eric Xing</t>
  </si>
  <si>
    <t>None appointed</t>
  </si>
  <si>
    <t xml:space="preserve">Guy Harmelin </t>
  </si>
  <si>
    <t>1 Observer</t>
  </si>
  <si>
    <t>1 Board</t>
  </si>
  <si>
    <t>2 Board</t>
  </si>
  <si>
    <t>1 Board + 1 Observer</t>
  </si>
  <si>
    <t>New Space Capital SCSp</t>
  </si>
  <si>
    <t xml:space="preserve">Talal </t>
  </si>
  <si>
    <t xml:space="preserve"> 3rd Capital Call</t>
  </si>
  <si>
    <t>4th Capital Call</t>
  </si>
  <si>
    <t>16/11/2020</t>
  </si>
  <si>
    <t>5th Capital Call-Partial return of the 4th Capital Call</t>
  </si>
  <si>
    <t>5th Capital Call</t>
  </si>
  <si>
    <t>6th Capital Call-Partial return of the 4th Capital Call</t>
  </si>
  <si>
    <t>6th Capital Call</t>
  </si>
  <si>
    <t>6th Capital Call-Dividends from Project Topscore</t>
  </si>
  <si>
    <t>7th Capital Call</t>
  </si>
  <si>
    <t>8th Capital Call</t>
  </si>
  <si>
    <t>8th Capital Call-Dividends from Project Topscore</t>
  </si>
  <si>
    <t>9th Capital Call-Return of Capital Fund</t>
  </si>
  <si>
    <t xml:space="preserve">12th Capital Call </t>
  </si>
  <si>
    <t>Entity</t>
  </si>
  <si>
    <t>3rd Capital Call</t>
  </si>
  <si>
    <t>2nd Capital Call</t>
  </si>
  <si>
    <t>New Space Capital Fund I</t>
  </si>
  <si>
    <t>NOTES</t>
  </si>
  <si>
    <t>1</t>
  </si>
  <si>
    <t>2</t>
  </si>
  <si>
    <t>3</t>
  </si>
  <si>
    <t>4</t>
  </si>
  <si>
    <t>n/a</t>
  </si>
  <si>
    <t>Monty Aw represented earlier</t>
  </si>
  <si>
    <t>Promissory Note</t>
  </si>
  <si>
    <t>Loan</t>
  </si>
  <si>
    <t xml:space="preserve">Loan </t>
  </si>
  <si>
    <t>NOTES:</t>
  </si>
  <si>
    <t>In default</t>
  </si>
  <si>
    <t>Distributions (in USD, Mn)</t>
  </si>
  <si>
    <t>L O AN | P R O M I S S O R Y   N O T E S | D E B T</t>
  </si>
  <si>
    <t>EUR</t>
  </si>
  <si>
    <t>Consideration (shares)</t>
  </si>
  <si>
    <t>Drawdown1</t>
  </si>
  <si>
    <t>Drawdown2</t>
  </si>
  <si>
    <r>
      <t>Vintage</t>
    </r>
    <r>
      <rPr>
        <b/>
        <vertAlign val="superscript"/>
        <sz val="11"/>
        <color theme="0"/>
        <rFont val="Garamond"/>
        <family val="1"/>
      </rPr>
      <t>ἀ</t>
    </r>
  </si>
  <si>
    <t>NR</t>
  </si>
  <si>
    <t>Confirm appoinment</t>
  </si>
  <si>
    <t>Seeking Exit</t>
  </si>
  <si>
    <t>Exercise Warrants</t>
  </si>
  <si>
    <t xml:space="preserve">Actions </t>
  </si>
  <si>
    <t>Color Code</t>
  </si>
  <si>
    <t>Synergies / JV</t>
  </si>
  <si>
    <r>
      <rPr>
        <b/>
        <sz val="11"/>
        <color theme="1" tint="0.249977111117893"/>
        <rFont val="Garamond"/>
        <family val="1"/>
      </rPr>
      <t>NM</t>
    </r>
    <r>
      <rPr>
        <sz val="11"/>
        <color theme="1" tint="0.249977111117893"/>
        <rFont val="Garamond"/>
        <family val="1"/>
      </rPr>
      <t xml:space="preserve"> = Not meaningful</t>
    </r>
  </si>
  <si>
    <t xml:space="preserve">Sector </t>
  </si>
  <si>
    <r>
      <t xml:space="preserve">Board Representation </t>
    </r>
    <r>
      <rPr>
        <b/>
        <vertAlign val="superscript"/>
        <sz val="11"/>
        <color theme="0"/>
        <rFont val="Garamond"/>
        <family val="1"/>
      </rPr>
      <t>‡</t>
    </r>
  </si>
  <si>
    <r>
      <t xml:space="preserve">‡ Board Representation : </t>
    </r>
    <r>
      <rPr>
        <sz val="11"/>
        <color theme="1"/>
        <rFont val="Garamond"/>
        <family val="1"/>
      </rPr>
      <t>as a Board Seat, Observer, or Advisor</t>
    </r>
  </si>
  <si>
    <t>Exit plan in progress</t>
  </si>
  <si>
    <r>
      <t>Flyr Warrants</t>
    </r>
    <r>
      <rPr>
        <vertAlign val="superscript"/>
        <sz val="11"/>
        <rFont val="Garamond"/>
        <family val="1"/>
      </rPr>
      <t>a</t>
    </r>
  </si>
  <si>
    <r>
      <t xml:space="preserve">DN Warrants </t>
    </r>
    <r>
      <rPr>
        <vertAlign val="superscript"/>
        <sz val="11"/>
        <rFont val="Garamond"/>
        <family val="1"/>
      </rPr>
      <t>b</t>
    </r>
  </si>
  <si>
    <t>Additional Upside Section:</t>
  </si>
  <si>
    <t>Notes:</t>
  </si>
  <si>
    <t>Shares</t>
  </si>
  <si>
    <t>Dan Kong</t>
  </si>
  <si>
    <t>Txn docs</t>
  </si>
  <si>
    <t>Cap Table</t>
  </si>
  <si>
    <t>LSE Announcement</t>
  </si>
  <si>
    <t>Equity</t>
  </si>
  <si>
    <t>Type</t>
  </si>
  <si>
    <t>Cashflows</t>
  </si>
  <si>
    <t>Residual Value</t>
  </si>
  <si>
    <t>XIRR</t>
  </si>
  <si>
    <t>Combined</t>
  </si>
  <si>
    <t>RPI</t>
  </si>
  <si>
    <t>Contributions</t>
  </si>
  <si>
    <t>Drawdown3</t>
  </si>
  <si>
    <t>Drawdown4</t>
  </si>
  <si>
    <t>Return of Capital</t>
  </si>
  <si>
    <t>Contributions (USD, Mn)</t>
  </si>
  <si>
    <t>Distributions (USD, Mn)</t>
  </si>
  <si>
    <r>
      <t xml:space="preserve">vTv $30m milestn payment </t>
    </r>
    <r>
      <rPr>
        <vertAlign val="superscript"/>
        <sz val="11"/>
        <rFont val="Garamond"/>
        <family val="1"/>
      </rPr>
      <t>c</t>
    </r>
  </si>
  <si>
    <t>Distribution</t>
  </si>
  <si>
    <t>Date of NAV</t>
  </si>
  <si>
    <t xml:space="preserve">RPI </t>
  </si>
  <si>
    <t>Acies Investments Fund I, L.P.</t>
  </si>
  <si>
    <t>Fund Level Summary</t>
  </si>
  <si>
    <t>Overall Summary</t>
  </si>
  <si>
    <t>EQUITY</t>
  </si>
  <si>
    <t>DEBT</t>
  </si>
  <si>
    <t>FUNDS</t>
  </si>
  <si>
    <t>TOTAL</t>
  </si>
  <si>
    <t>Investtment Level Summary</t>
  </si>
  <si>
    <t xml:space="preserve">Contributions </t>
  </si>
  <si>
    <t xml:space="preserve">Distributions </t>
  </si>
  <si>
    <t># Investments</t>
  </si>
  <si>
    <t xml:space="preserve">D A S H B O A R D </t>
  </si>
  <si>
    <t>As of date</t>
  </si>
  <si>
    <t>Q1 2019</t>
  </si>
  <si>
    <t>Period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</si>
  <si>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</si>
  <si>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</si>
  <si>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</si>
  <si>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</si>
  <si>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</si>
  <si>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</si>
  <si>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</si>
  <si>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</si>
  <si>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</si>
  <si>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</si>
  <si>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</si>
  <si>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</si>
  <si>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</si>
  <si>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</si>
  <si>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Q3-2022</t>
  </si>
  <si>
    <t>Q4-2022</t>
  </si>
  <si>
    <t>Q1-2023</t>
  </si>
  <si>
    <t>Q2-2023</t>
  </si>
  <si>
    <t>Q3-2023</t>
  </si>
  <si>
    <t>Q4-2023</t>
  </si>
  <si>
    <t xml:space="preserve">No funding projected for North Summit Fund </t>
  </si>
  <si>
    <t>KEY PORTFOLIO IRR</t>
  </si>
  <si>
    <t>figures in USD Millions</t>
  </si>
  <si>
    <t>Portfolio 1</t>
  </si>
  <si>
    <t>Eliminated</t>
  </si>
  <si>
    <t xml:space="preserve">Distribution </t>
  </si>
  <si>
    <t>Gain</t>
  </si>
  <si>
    <t>TOP LOSERS</t>
  </si>
  <si>
    <t>TOP GAINERS</t>
  </si>
  <si>
    <t>TOTAL MOVEMENT</t>
  </si>
  <si>
    <t>ATTRIBUTION SUMMARY</t>
  </si>
  <si>
    <t xml:space="preserve">A T T R I B U T I O N    S U M M A R Y </t>
  </si>
  <si>
    <t>CASHFLOW REQUIREMENT</t>
  </si>
  <si>
    <t>CASH DEPLOYED OVER TIME…</t>
  </si>
  <si>
    <t>IRR - Debt</t>
  </si>
  <si>
    <t>IRR - FUNDS</t>
  </si>
  <si>
    <t>IRR - Equity (Individual Investments)</t>
  </si>
  <si>
    <t>IRR - Equity (Select Investments)</t>
  </si>
  <si>
    <t>Select Portfolio1 IRR</t>
  </si>
  <si>
    <t>Portfolio</t>
  </si>
  <si>
    <t>Vintage 2019 | Equity</t>
  </si>
  <si>
    <t>Vintage 2020 | Equity</t>
  </si>
  <si>
    <t>Vintage 2021 | Equity</t>
  </si>
  <si>
    <t>Vintage 2020 includes Esyasoft, BL, ONT, Heygears</t>
  </si>
  <si>
    <t>Vintage 2019 includes Jollychic, Mena Mobile, Flyr</t>
  </si>
  <si>
    <t>Vintage 2021 includes Endless, Instadeep</t>
  </si>
  <si>
    <t>Select Portfolio1 includes Jollychic, Mena Mobile, Flyr, Esyasoft, BL, ONT, Heygears, Endless, Instadeep</t>
  </si>
  <si>
    <t xml:space="preserve">Remaining </t>
  </si>
  <si>
    <t>Negative outlook</t>
  </si>
  <si>
    <t>% OWNERSHIP</t>
  </si>
  <si>
    <t>No particular view on this</t>
  </si>
  <si>
    <t>No action / under investigation</t>
  </si>
  <si>
    <t xml:space="preserve">Positive outlook </t>
  </si>
  <si>
    <t>No improvement or decline</t>
  </si>
  <si>
    <t>Geograhpy</t>
  </si>
  <si>
    <t>USA</t>
  </si>
  <si>
    <t>IRR - All Investments (Equity, Debt, Funds)</t>
  </si>
  <si>
    <t>Asia-China</t>
  </si>
  <si>
    <t>MiddleEast</t>
  </si>
  <si>
    <t>Rest of Asia</t>
  </si>
  <si>
    <t>Europe</t>
  </si>
  <si>
    <t>Mobile Gaming</t>
  </si>
  <si>
    <t>Utilities-Tech</t>
  </si>
  <si>
    <t xml:space="preserve">3D Printing </t>
  </si>
  <si>
    <t>Fintech</t>
  </si>
  <si>
    <t>Semiconductor</t>
  </si>
  <si>
    <t>Hardware-SmartDevices</t>
  </si>
  <si>
    <t>Ecommerce</t>
  </si>
  <si>
    <t>Oil &amp; Gas AI</t>
  </si>
  <si>
    <t>Cloud Computing</t>
  </si>
  <si>
    <t>Computer Networks</t>
  </si>
  <si>
    <t>BioTechnology</t>
  </si>
  <si>
    <t>Edutech</t>
  </si>
  <si>
    <t>B2B SaaS</t>
  </si>
  <si>
    <t>Consulting</t>
  </si>
  <si>
    <t>Select Cashflow for</t>
  </si>
  <si>
    <t>Sector</t>
  </si>
  <si>
    <t>Geogrpahy</t>
  </si>
  <si>
    <t>Asset Class Type</t>
  </si>
  <si>
    <t>Count</t>
  </si>
  <si>
    <t>Middle East</t>
  </si>
  <si>
    <t>Equity Only</t>
  </si>
  <si>
    <t>Includes Equity, Debt, Funds</t>
  </si>
  <si>
    <t>IRR - Select (All Investments, includes Equity, Debt, Funds)</t>
  </si>
  <si>
    <t>Exited / or seeking exit</t>
  </si>
  <si>
    <r>
      <rPr>
        <b/>
        <sz val="11"/>
        <color theme="1"/>
        <rFont val="Garamond"/>
        <family val="1"/>
      </rPr>
      <t xml:space="preserve">a) Flyr: </t>
    </r>
    <r>
      <rPr>
        <sz val="11"/>
        <color theme="1"/>
        <rFont val="Garamond"/>
        <family val="1"/>
      </rPr>
      <t>For every $1m of revenue, 194,477 shares, capped at 1,264,1000 (B-1) shares shall be issued to Mozn</t>
    </r>
  </si>
  <si>
    <r>
      <t>b) DriveNets:</t>
    </r>
    <r>
      <rPr>
        <sz val="11"/>
        <color theme="1"/>
        <rFont val="Garamond"/>
        <family val="1"/>
      </rPr>
      <t xml:space="preserve"> Share warrants exercisable upon the achievement of target revenue of clients referred by G42, and corresponding milestones</t>
    </r>
  </si>
  <si>
    <r>
      <rPr>
        <b/>
        <sz val="11"/>
        <color theme="1"/>
        <rFont val="Garamond"/>
        <family val="1"/>
      </rPr>
      <t xml:space="preserve">TBC </t>
    </r>
    <r>
      <rPr>
        <sz val="11"/>
        <color theme="1"/>
        <rFont val="Garamond"/>
        <family val="1"/>
      </rPr>
      <t>= to be confirmed</t>
    </r>
  </si>
  <si>
    <r>
      <t xml:space="preserve">c) vTv Therapeutics: </t>
    </r>
    <r>
      <rPr>
        <sz val="11"/>
        <color theme="1"/>
        <rFont val="Garamond"/>
        <family val="1"/>
      </rPr>
      <t>Potential issuance of $30m in additional shares, if FDA approval received for the drug TTP399</t>
    </r>
  </si>
  <si>
    <t>Investment type</t>
  </si>
  <si>
    <r>
      <t>Quarterly (1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April, July and October)</t>
    </r>
  </si>
  <si>
    <t>Listed securities on a recognised exchange</t>
  </si>
  <si>
    <t>1. Number of securities held, including:</t>
  </si>
  <si>
    <t>details of any movement in number of securities held</t>
  </si>
  <si>
    <t>exercise of conversion rights</t>
  </si>
  <si>
    <t>changes to the terms of the instrument</t>
  </si>
  <si>
    <t>amalgamation/ splitting of instrument classes</t>
  </si>
  <si>
    <t>bonus shares</t>
  </si>
  <si>
    <t>additional instruments subscribed</t>
  </si>
  <si>
    <t>dividend, etc.</t>
  </si>
  <si>
    <t xml:space="preserve">2. Fair value of the listed portfolio based on quoted stock exchange (MTM) price </t>
  </si>
  <si>
    <t>Unlisted corporate investments held</t>
  </si>
  <si>
    <t>2. Any events or conditions that indicate significant increase/ decrease in the fair value previously recorded for individual investments</t>
  </si>
  <si>
    <t>3. Refresh the valuation at which each investment in the portfolio is previously carried</t>
  </si>
  <si>
    <t>Investments in Funds (closed ended)</t>
  </si>
  <si>
    <t>1. Any events or conditions that indicate significant increase/ decrease in the fair value previously recorded for individual investments</t>
  </si>
  <si>
    <t>2. Fair value of investment in each Fund based on Fund Manager’s/ General Partner’s report for the previous quarter</t>
  </si>
  <si>
    <t>At Series C PPS $18.75/share with 20% discount</t>
  </si>
  <si>
    <t>Held at cost (as per revised management guidance)</t>
  </si>
  <si>
    <t>Listed &amp; marked to market</t>
  </si>
  <si>
    <t>1a</t>
  </si>
  <si>
    <t>1b</t>
  </si>
  <si>
    <t>1c</t>
  </si>
  <si>
    <r>
      <t>Monthly (25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of each month other than quarter-end)</t>
    </r>
  </si>
  <si>
    <r>
      <t>Annually (2</t>
    </r>
    <r>
      <rPr>
        <b/>
        <vertAlign val="superscript"/>
        <sz val="11"/>
        <color theme="1"/>
        <rFont val="Calibri"/>
        <family val="2"/>
      </rPr>
      <t>nd</t>
    </r>
    <r>
      <rPr>
        <b/>
        <sz val="11"/>
        <color theme="1"/>
        <rFont val="Calibri"/>
        <family val="2"/>
      </rPr>
      <t xml:space="preserve"> January following year-end)</t>
    </r>
  </si>
  <si>
    <t>Ref. to summary</t>
  </si>
  <si>
    <t>1b, 1c, 1d</t>
  </si>
  <si>
    <t>2. Any events or conditions that indicate significant decrease in the fair value previously recorded for individual investments</t>
  </si>
  <si>
    <r>
      <t xml:space="preserve">4. Obtain an external valuer’s report of fair value of each investment in the portfolio as at 30th September </t>
    </r>
    <r>
      <rPr>
        <b/>
        <sz val="11"/>
        <color theme="1"/>
        <rFont val="Calibri"/>
        <family val="2"/>
      </rPr>
      <t>(by 30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November)</t>
    </r>
  </si>
  <si>
    <r>
      <t>5. Carry out an internal refresh as at 31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December of the external valuer’s report of fair value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</si>
  <si>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r>
      <t xml:space="preserve">2. Fair value of investment in each Fund based on Fund Manager’s/ General Partner’s report for the previous quarter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</si>
  <si>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t>Listed</t>
  </si>
  <si>
    <t>Listed / Unlisted</t>
  </si>
  <si>
    <t xml:space="preserve">vTv Therapeutics : </t>
  </si>
  <si>
    <t>North Summit Capital</t>
  </si>
  <si>
    <t>Portfolio Exit Plan in Progress</t>
  </si>
  <si>
    <t>Sinovation Disrupt Fund</t>
  </si>
  <si>
    <t>Expect valuation to rise as some of its portfolio companies are in the market to raise new funds</t>
  </si>
  <si>
    <t>Acies Investments Fund I, LP</t>
  </si>
  <si>
    <t>Drivenets</t>
  </si>
  <si>
    <t xml:space="preserve">Honor </t>
  </si>
  <si>
    <t>Jollychic</t>
  </si>
  <si>
    <t>Esyasoft Holding</t>
  </si>
  <si>
    <t>Flyr</t>
  </si>
  <si>
    <t xml:space="preserve">For Comments Refer to Note </t>
  </si>
  <si>
    <t>Glass Earth Holdings LLC</t>
  </si>
  <si>
    <t xml:space="preserve">RMB 80 Mn of Registered Capital for RMB 5.7 Bn </t>
  </si>
  <si>
    <t>- 50% of the investment has been financed by profit sharing loan.
- Further, in case of exit of G42’s investment, 50% of the sale proceeds shall be paid to the lender as full and final settlement of the outstanding liability 
- Exit for this investment is under process. Buyback agreement is pending for signature internally. (Relevant documents to be perused by the consolidation / reporting team for details and corresponding implications, if any)
- Dividend receivable amounting to US$ 3.2 m will be waived upon exit of this investment</t>
  </si>
  <si>
    <t>Within five years of the Initial Closing, for every USD 1mn of Qualifying Revenue generated, Flyr will issue, at no additional charge, 194,477 B-1 Prefs in the name of G42, up to a maximum of 1,264,100 B-1 Prefs.</t>
  </si>
  <si>
    <t>During 2021, Jollychic Holding Ltd has filed for its liquidation. Therefore, investment is considered to be fully impaired in Dec 21.</t>
  </si>
  <si>
    <t>Mozn's holding is RMB 4,753,356.29 of the Registered Capital.</t>
  </si>
  <si>
    <t>Share warrants excisable upon the achievement of target revenue of clients by referred G42. The milestones of each target revenue and respective conversion were stated in the Term Sheet.</t>
  </si>
  <si>
    <t>Business targeting raising funds by the end of FY2022</t>
  </si>
  <si>
    <t xml:space="preserve">The investment is currently undergoing a CFIUS review. </t>
  </si>
  <si>
    <t>17,18,19: no comments</t>
  </si>
  <si>
    <t>Mena Mobile (Debt)</t>
  </si>
  <si>
    <t>Esyasoft Holding (Debt)</t>
  </si>
  <si>
    <t>Ibid</t>
  </si>
  <si>
    <t>Written off. Debt security of Glass Earth issued in 2019 were fully provided for.</t>
  </si>
  <si>
    <t xml:space="preserve">Outstanding </t>
  </si>
  <si>
    <t>1) $4.75m Signing Payment for AAICO</t>
  </si>
  <si>
    <t>Catch up Capital Call</t>
  </si>
  <si>
    <t>Applied AI Corporation Limited</t>
  </si>
  <si>
    <r>
      <rPr>
        <b/>
        <sz val="11"/>
        <color theme="1" tint="0.249977111117893"/>
        <rFont val="Garamond"/>
        <family val="1"/>
      </rPr>
      <t>n/a or NA</t>
    </r>
    <r>
      <rPr>
        <sz val="11"/>
        <color theme="1" tint="0.249977111117893"/>
        <rFont val="Garamond"/>
        <family val="1"/>
      </rPr>
      <t xml:space="preserve"> = Not applicable or Not available</t>
    </r>
  </si>
  <si>
    <t>Mena Mobile Inc (Debt)</t>
  </si>
  <si>
    <t>Q4 2022</t>
  </si>
  <si>
    <t>2)  $3.4m 4th capital call Acies</t>
  </si>
  <si>
    <r>
      <t>IRR</t>
    </r>
    <r>
      <rPr>
        <b/>
        <vertAlign val="superscript"/>
        <sz val="11"/>
        <color theme="0"/>
        <rFont val="Calibri"/>
        <family val="2"/>
      </rPr>
      <t>β</t>
    </r>
  </si>
  <si>
    <t>NAV</t>
  </si>
  <si>
    <t>Total Gain</t>
  </si>
  <si>
    <t>Post Valuation closed in June 2021 (RMB)</t>
  </si>
  <si>
    <t>G42 Stake</t>
  </si>
  <si>
    <t>G42 Valuation before Discount (RMB)</t>
  </si>
  <si>
    <t>Liquidity Discount</t>
  </si>
  <si>
    <t>Minority Holding Discount</t>
  </si>
  <si>
    <t>G42 Valuation  (RMB)</t>
  </si>
  <si>
    <t>G42 Valuation  (USD)</t>
  </si>
  <si>
    <t>Investment Cost of G42 (USD)</t>
  </si>
  <si>
    <t>Investment Multiple</t>
  </si>
  <si>
    <t>4) NAV of Heygears updated to $114.2m as of Oct 22</t>
  </si>
  <si>
    <t>Heygears Oct 22</t>
  </si>
  <si>
    <r>
      <t xml:space="preserve">Jollychic Holding : </t>
    </r>
    <r>
      <rPr>
        <sz val="11"/>
        <color theme="1"/>
        <rFont val="Garamond"/>
        <family val="1"/>
      </rPr>
      <t>Peng Xiao held the directorship until Jun 2021</t>
    </r>
  </si>
  <si>
    <r>
      <rPr>
        <b/>
        <sz val="11"/>
        <color theme="1"/>
        <rFont val="Garamond"/>
        <family val="1"/>
      </rPr>
      <t>Esyasoft:</t>
    </r>
    <r>
      <rPr>
        <sz val="11"/>
        <color theme="1"/>
        <rFont val="Garamond"/>
        <family val="1"/>
      </rPr>
      <t xml:space="preserve"> we held a Board seat, with Monty Aw as the representative, until Jun 2022</t>
    </r>
  </si>
  <si>
    <r>
      <t xml:space="preserve">Beyond Limits: </t>
    </r>
    <r>
      <rPr>
        <sz val="11"/>
        <color theme="1"/>
        <rFont val="Garamond"/>
        <family val="1"/>
      </rPr>
      <t xml:space="preserve">possibility of the 2nd Board seat in case we invest (an additional / an earlier committed) </t>
    </r>
    <r>
      <rPr>
        <b/>
        <sz val="11"/>
        <color theme="1"/>
        <rFont val="Garamond"/>
        <family val="1"/>
      </rPr>
      <t>$10m</t>
    </r>
  </si>
  <si>
    <r>
      <t xml:space="preserve">Cerebras :  </t>
    </r>
    <r>
      <rPr>
        <sz val="11"/>
        <color theme="1"/>
        <rFont val="Garamond"/>
        <family val="1"/>
      </rPr>
      <t xml:space="preserve">possibility of a Board seat, If G42 holds &gt;10% with rights to exercise at least 20% of warrant </t>
    </r>
  </si>
  <si>
    <t>1 Board, 1 Observer</t>
  </si>
  <si>
    <t>5</t>
  </si>
  <si>
    <t>Dr. Fahad (Board), Jon Nieman (Observer)</t>
  </si>
  <si>
    <r>
      <t xml:space="preserve">Honor: </t>
    </r>
    <r>
      <rPr>
        <sz val="11"/>
        <color theme="1"/>
        <rFont val="Garamond"/>
        <family val="1"/>
      </rPr>
      <t>Our board seat only kicks in once Honor is converted into a joint stock company in March 2023; there is no one appointed as yet</t>
    </r>
  </si>
  <si>
    <t>1) Updated the Board directorships info for VTVT and Honor</t>
  </si>
  <si>
    <t>3) Honor booked at $1.2B cost</t>
  </si>
  <si>
    <t>Date Log</t>
  </si>
  <si>
    <t>Update</t>
  </si>
  <si>
    <t>Funds</t>
  </si>
  <si>
    <t>IRR - G42 Investments</t>
  </si>
  <si>
    <t xml:space="preserve">IRR - Mozn Investments </t>
  </si>
  <si>
    <t xml:space="preserve"> Remaining Commitment</t>
  </si>
  <si>
    <t>$,m</t>
  </si>
  <si>
    <t>X</t>
  </si>
  <si>
    <t xml:space="preserve">eSpace </t>
  </si>
  <si>
    <t>SAFE note</t>
  </si>
  <si>
    <t>2) 10-Nov-2022 USD 3,388,275 Acies Investments capital call</t>
  </si>
  <si>
    <t>3) 27-Nov-2022 USD 15,000,000 eSpace SAFE</t>
  </si>
  <si>
    <t>Advisory Board</t>
  </si>
  <si>
    <t>Not yet appointed</t>
  </si>
  <si>
    <t>Definition:</t>
  </si>
  <si>
    <t>Mozn 1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</si>
  <si>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1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</si>
  <si>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2</t>
    </r>
  </si>
  <si>
    <t>Investing Entities:</t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</si>
  <si>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3</t>
    </r>
  </si>
  <si>
    <r>
      <rPr>
        <b/>
        <sz val="11"/>
        <color theme="1" tint="0.249977111117893"/>
        <rFont val="Garamond"/>
        <family val="1"/>
      </rPr>
      <t>G42</t>
    </r>
    <r>
      <rPr>
        <sz val="11"/>
        <color theme="1" tint="0.249977111117893"/>
        <rFont val="Garamond"/>
        <family val="1"/>
      </rPr>
      <t xml:space="preserve"> refers to G42 Investments AI Holding RSC Ltd</t>
    </r>
  </si>
  <si>
    <r>
      <rPr>
        <b/>
        <sz val="11"/>
        <color theme="1" tint="0.249977111117893"/>
        <rFont val="Garamond"/>
        <family val="1"/>
      </rPr>
      <t>Mozn</t>
    </r>
    <r>
      <rPr>
        <sz val="11"/>
        <color theme="1" tint="0.249977111117893"/>
        <rFont val="Garamond"/>
        <family val="1"/>
      </rPr>
      <t xml:space="preserve"> refers to Mozn Holding RSC Ltd</t>
    </r>
  </si>
  <si>
    <r>
      <rPr>
        <b/>
        <sz val="11"/>
        <color theme="1"/>
        <rFont val="Garamond"/>
        <family val="1"/>
      </rPr>
      <t xml:space="preserve">1 </t>
    </r>
    <r>
      <rPr>
        <sz val="11"/>
        <color theme="1"/>
        <rFont val="Garamond"/>
        <family val="1"/>
      </rPr>
      <t xml:space="preserve"> Invested via QAZ42 Investment SPV RSC Ltd (QAZ42)</t>
    </r>
  </si>
  <si>
    <r>
      <rPr>
        <b/>
        <sz val="11"/>
        <color theme="1" tint="0.249977111117893"/>
        <rFont val="Garamond"/>
        <family val="1"/>
      </rPr>
      <t xml:space="preserve">2 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</si>
  <si>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3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</si>
  <si>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4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</si>
  <si>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ἀ</t>
    </r>
    <r>
      <rPr>
        <sz val="11"/>
        <color theme="1"/>
        <rFont val="Garamond"/>
        <family val="1"/>
      </rPr>
      <t xml:space="preserve"> = Vintage corresponds to the year of the first investment made</t>
    </r>
  </si>
  <si>
    <r>
      <rPr>
        <b/>
        <sz val="11"/>
        <color theme="1"/>
        <rFont val="Calibri"/>
        <family val="2"/>
      </rPr>
      <t>β</t>
    </r>
    <r>
      <rPr>
        <sz val="11"/>
        <color theme="1"/>
        <rFont val="Garamond"/>
        <family val="1"/>
      </rPr>
      <t xml:space="preserve"> = Excludes transaction costs from the estimate of IRR, as those are not available</t>
    </r>
  </si>
  <si>
    <t>IRR is referred as NM when it is not meaningful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</si>
  <si>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4</t>
    </r>
  </si>
  <si>
    <t>Direct Investment</t>
  </si>
  <si>
    <t>Debt Investment</t>
  </si>
  <si>
    <t>Fund Investment</t>
  </si>
  <si>
    <t>Exited at $5m (10th May) | Residual value = 0</t>
  </si>
  <si>
    <t>ONT Share price</t>
  </si>
  <si>
    <t>GBP USD</t>
  </si>
  <si>
    <t>VTVT Share price</t>
  </si>
  <si>
    <t>USD RMB</t>
  </si>
  <si>
    <t>xe.com</t>
  </si>
  <si>
    <t>source</t>
  </si>
  <si>
    <t>link</t>
  </si>
  <si>
    <t>4) Moved Jysan under Mozn</t>
  </si>
  <si>
    <t>5) Revised carrying value of New Space Capital</t>
  </si>
  <si>
    <t>CHECKS</t>
  </si>
  <si>
    <t>Checks:</t>
  </si>
  <si>
    <t>For Notes, refer to Summary | 01</t>
  </si>
  <si>
    <t xml:space="preserve">Marty </t>
  </si>
  <si>
    <t>Gain till Dec 2021</t>
  </si>
  <si>
    <t>MOZN Portfolio : Gains till Dec 2021</t>
  </si>
  <si>
    <t>G42 Portfolio : Gains till Dec 2021</t>
  </si>
  <si>
    <t>Gain till Nov 2022</t>
  </si>
  <si>
    <t>Delta Gain</t>
  </si>
  <si>
    <t>Invested in Q3 2022; During Dec 22, $250m was offloaded to another investor at cost</t>
  </si>
  <si>
    <t>Received payment of $470,784.65 ($411K+$59K)</t>
  </si>
  <si>
    <t>PIC</t>
  </si>
  <si>
    <t>RV</t>
  </si>
  <si>
    <t>Dist</t>
  </si>
  <si>
    <t>Investment Level Summary</t>
  </si>
  <si>
    <t>E Q U I T Y</t>
  </si>
  <si>
    <t>Checks</t>
  </si>
  <si>
    <t>MOZN</t>
  </si>
  <si>
    <t xml:space="preserve">Gain </t>
  </si>
  <si>
    <t>YTD Gains</t>
  </si>
  <si>
    <t>2) Sell down of $250m position in Honor (received 21-Dec)</t>
  </si>
  <si>
    <t>1) Esyasoft Loan Exit (received $471K on 07-Dec)</t>
  </si>
  <si>
    <t>3) New Space Capital restructuring ongoing</t>
  </si>
  <si>
    <t>4) Instadeep exit in progress</t>
  </si>
  <si>
    <t>October 22</t>
  </si>
  <si>
    <t>November 22</t>
  </si>
  <si>
    <t>December 22</t>
  </si>
  <si>
    <t xml:space="preserve"> Exchange Rate (RMB/USD)</t>
  </si>
  <si>
    <t>Updated as on:</t>
  </si>
  <si>
    <t xml:space="preserve">Held at cost. </t>
  </si>
  <si>
    <t>Held at original cost, adjusted for currency, and ownership</t>
  </si>
  <si>
    <t>Closing a new round at RMB 310B. Adjusted for currency.</t>
  </si>
  <si>
    <t>Distribution | Actualization Interest</t>
  </si>
  <si>
    <t>Test</t>
  </si>
  <si>
    <t>TEST</t>
  </si>
  <si>
    <t>Q1 2023</t>
  </si>
  <si>
    <t>January 23</t>
  </si>
  <si>
    <t>2) Sinovation issued 6th Capital Call; funded 03-Feb</t>
  </si>
  <si>
    <t>3) Instadeep transaction 'completion' in progress</t>
  </si>
  <si>
    <t>Divyesh Mahajan</t>
  </si>
  <si>
    <t>Marty</t>
  </si>
  <si>
    <t>Investment in Esyasoft is in the form of Convertible Note which will convert to 21% interest on conversion on a fully diluted basis. As per Dec 2020 FS of Esyasoft, the CN was reflected as Debt
- Exit of US$ 2.5 Mn Convertible Note @ 2.0x (MoC) i.e. US$ 5 Mn in May 22
- US$ 0.4 Mn represents Working Capital Loan - fully exited in Dec 22</t>
  </si>
  <si>
    <t>1) Received EUR 12.5m from NewSpace Capital on 30-Jan (actualization interest); revised remaining commitment</t>
  </si>
  <si>
    <t>3Q22</t>
  </si>
  <si>
    <t>4Q22</t>
  </si>
  <si>
    <t>Commitment</t>
  </si>
  <si>
    <t xml:space="preserve">Capital Contribution </t>
  </si>
  <si>
    <t>Unfunded</t>
  </si>
  <si>
    <t>Unrealized Gain</t>
  </si>
  <si>
    <t>Capital Return</t>
  </si>
  <si>
    <t>Interest Capitalization</t>
  </si>
  <si>
    <t>Total Distribution Received</t>
  </si>
  <si>
    <t>estimated</t>
  </si>
  <si>
    <t>source: distribution letters, Gino</t>
  </si>
  <si>
    <t>EURUSD</t>
  </si>
  <si>
    <t>Capital Committed</t>
  </si>
  <si>
    <t>in USD, Mn</t>
  </si>
  <si>
    <t>Capital Called</t>
  </si>
  <si>
    <t>Remaining</t>
  </si>
  <si>
    <t>source: distribution letter</t>
  </si>
  <si>
    <t>Vintageἀ</t>
  </si>
  <si>
    <t>LP</t>
  </si>
  <si>
    <t>NewSpace Capital GP Com SCSp</t>
  </si>
  <si>
    <t>Note</t>
  </si>
  <si>
    <t>Figures in USD, Mn</t>
  </si>
  <si>
    <t>As per 3rd Party | Ardent Estimates | Equity written off</t>
  </si>
  <si>
    <t>1. In Q1'23 we converted GP interest equivalent to the LP via the GP commitment vehicle</t>
  </si>
  <si>
    <t xml:space="preserve">2. In addition, G42 also has XX units in the GP, which presently are being carried at nil value </t>
  </si>
  <si>
    <t>Adjusted for currency. Valued at the recent round</t>
  </si>
  <si>
    <t>Q4'22  pro-rated</t>
  </si>
  <si>
    <t>New Space Capital GP Com SCSp</t>
  </si>
  <si>
    <t>Tools for Humanity Corporation</t>
  </si>
  <si>
    <r>
      <t xml:space="preserve">Token Warrants </t>
    </r>
    <r>
      <rPr>
        <vertAlign val="superscript"/>
        <sz val="11"/>
        <rFont val="Garamond"/>
        <family val="1"/>
      </rPr>
      <t>d</t>
    </r>
  </si>
  <si>
    <r>
      <t xml:space="preserve">9.9% GP | Anchor </t>
    </r>
    <r>
      <rPr>
        <vertAlign val="superscript"/>
        <sz val="11"/>
        <color theme="1" tint="0.249977111117893"/>
        <rFont val="Garamond"/>
        <family val="1"/>
      </rPr>
      <t>e</t>
    </r>
  </si>
  <si>
    <r>
      <rPr>
        <b/>
        <sz val="11"/>
        <color theme="1"/>
        <rFont val="Garamond"/>
        <family val="1"/>
      </rPr>
      <t>e) Acies Investments Fund I LP:</t>
    </r>
    <r>
      <rPr>
        <sz val="11"/>
        <color theme="1"/>
        <rFont val="Garamond"/>
        <family val="1"/>
      </rPr>
      <t xml:space="preserve"> Being the Anchor investor, entitled to 9.9% of the aggregate carried interest earned by the GP</t>
    </r>
  </si>
  <si>
    <t>NM</t>
  </si>
  <si>
    <r>
      <t xml:space="preserve">d) Tools for Humanity Corporation: </t>
    </r>
    <r>
      <rPr>
        <sz val="11"/>
        <color theme="1"/>
        <rFont val="Garamond"/>
        <family val="1"/>
      </rPr>
      <t>Additional token warrants issued for acquiring 62.5M Tokens for $5,875.00. Additional provision for c$2K (the warrant price) kept for exercising the warrant rights</t>
    </r>
  </si>
  <si>
    <t>Jurisdiction</t>
  </si>
  <si>
    <t>PRC</t>
  </si>
  <si>
    <t>UK</t>
  </si>
  <si>
    <t>n/a; convertible note</t>
  </si>
  <si>
    <t>n/a; safe note</t>
  </si>
  <si>
    <t xml:space="preserve">% </t>
  </si>
  <si>
    <t>Cap table as of Dec'22</t>
  </si>
  <si>
    <t>Cap Table as of Jun'22</t>
  </si>
  <si>
    <t>Cap table as of Mar'23</t>
  </si>
  <si>
    <t>10Q report Aug'22</t>
  </si>
  <si>
    <t>Q2 2023</t>
  </si>
  <si>
    <t>Talal (Observer)</t>
  </si>
  <si>
    <t>Website link</t>
  </si>
  <si>
    <t>Pitchbook link</t>
  </si>
  <si>
    <t xml:space="preserve">Listed </t>
  </si>
  <si>
    <t>Re-structured investment in New Space Capital GP restructured – converted to GP commitment vehicle</t>
  </si>
  <si>
    <t>NAVs marked up for: Instadeep, Heygears and North Summit Capital.  Mena Mobile equity value written off</t>
  </si>
  <si>
    <t>Jusan dividend delayed</t>
  </si>
  <si>
    <t>February 23</t>
  </si>
  <si>
    <t>March 23</t>
  </si>
  <si>
    <t>April 23</t>
  </si>
  <si>
    <t>May 23</t>
  </si>
  <si>
    <t>n/a; exited</t>
  </si>
  <si>
    <t>Txn docs; exit underway</t>
  </si>
  <si>
    <t>n/a refers to information not available</t>
  </si>
  <si>
    <t>Upside (Warrants, Milestone payments, )</t>
  </si>
  <si>
    <r>
      <t>Flyr Warrants</t>
    </r>
    <r>
      <rPr>
        <vertAlign val="superscript"/>
        <sz val="11"/>
        <color theme="1" tint="0.249977111117893"/>
        <rFont val="Garamond"/>
        <family val="1"/>
      </rPr>
      <t>a</t>
    </r>
  </si>
  <si>
    <r>
      <t xml:space="preserve">DN Warrants </t>
    </r>
    <r>
      <rPr>
        <vertAlign val="superscript"/>
        <sz val="11"/>
        <color theme="1" tint="0.249977111117893"/>
        <rFont val="Garamond"/>
        <family val="1"/>
      </rPr>
      <t>b</t>
    </r>
  </si>
  <si>
    <r>
      <t xml:space="preserve">vTv $30m milestn payment </t>
    </r>
    <r>
      <rPr>
        <vertAlign val="superscript"/>
        <sz val="11"/>
        <color theme="1" tint="0.249977111117893"/>
        <rFont val="Garamond"/>
        <family val="1"/>
      </rPr>
      <t>c</t>
    </r>
  </si>
  <si>
    <r>
      <rPr>
        <b/>
        <sz val="11"/>
        <color theme="1" tint="0.249977111117893"/>
        <rFont val="Garamond"/>
        <family val="1"/>
      </rPr>
      <t xml:space="preserve">bb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</si>
  <si>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dd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</si>
  <si>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cc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</si>
  <si>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aa</t>
    </r>
    <r>
      <rPr>
        <sz val="11"/>
        <color theme="1"/>
        <rFont val="Garamond"/>
        <family val="1"/>
      </rPr>
      <t xml:space="preserve"> Invested via QAZ42 Investment SPV RSC Ltd (QAZ42)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</si>
  <si>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aa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</si>
  <si>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bb</t>
    </r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</si>
  <si>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cc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</si>
  <si>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dd</t>
    </r>
  </si>
  <si>
    <t>Cayman Islands</t>
  </si>
  <si>
    <t>Delaware Corporation</t>
  </si>
  <si>
    <t>Dubai, UAE</t>
  </si>
  <si>
    <t xml:space="preserve">DIFC </t>
  </si>
  <si>
    <t>Country</t>
  </si>
  <si>
    <t>China</t>
  </si>
  <si>
    <t>Israel</t>
  </si>
  <si>
    <t>Israeli Pvt Company</t>
  </si>
  <si>
    <t>ADGM</t>
  </si>
  <si>
    <t>Abu Dhabi, UAE</t>
  </si>
  <si>
    <t>Source for % holding</t>
  </si>
  <si>
    <t>Incorporation/Jurisdiction</t>
  </si>
  <si>
    <r>
      <t xml:space="preserve">d) Tools for Humanity Corporation: </t>
    </r>
    <r>
      <rPr>
        <sz val="11"/>
        <color theme="1"/>
        <rFont val="Garamond"/>
        <family val="1"/>
      </rPr>
      <t>Additional token warrants (for 62.5 million Tokens) for a consideration of $5,875.00. Additional provision for c$2K (the warrant price) kept for exercising the warrant rights.</t>
    </r>
  </si>
  <si>
    <t>G42 Commitment</t>
  </si>
  <si>
    <t>Fund Size</t>
  </si>
  <si>
    <t>Q1 23 Report</t>
  </si>
  <si>
    <t>Delaware LLC</t>
  </si>
  <si>
    <t>Q4'22 Report</t>
  </si>
  <si>
    <t>Q3'22 Report</t>
  </si>
  <si>
    <t xml:space="preserve">Luxembourg </t>
  </si>
  <si>
    <t>Additional token warrants (for 62.5 million Tokens) for a consideration of $5,875.00. Additional provision for c$2K (the warrant price) kept for exercising the warrant rights.</t>
  </si>
  <si>
    <t>Investment is written off based on the 3rd party valuation report</t>
  </si>
  <si>
    <t>Potential issuance of US$ 30 million in additional shares of Class A Common Stock to G42 Investments (or in cash, at the option of G42 Investments) if FDA approval is received for the marketing and the sale of a pharmaceutical product containing TTP399</t>
  </si>
  <si>
    <t>References:</t>
  </si>
  <si>
    <r>
      <t xml:space="preserve">PRC </t>
    </r>
    <r>
      <rPr>
        <sz val="11"/>
        <color theme="1"/>
        <rFont val="Garamond"/>
        <family val="1"/>
      </rPr>
      <t>refers to People's Republic of China</t>
    </r>
  </si>
  <si>
    <t xml:space="preserve">G42 negotiated conversion of €2.3m GP investment into LP investment to vote in favor of new LP proposal. </t>
  </si>
  <si>
    <t>AAICO</t>
  </si>
  <si>
    <t>New Space Capital LP (conversion / restructuring summary)</t>
  </si>
  <si>
    <t>1Q23</t>
  </si>
  <si>
    <t>• For estimating the NAV their listed share price for ONT and vTv Therapeutics is taken</t>
  </si>
  <si>
    <t>G42 % for 1st in Eur</t>
  </si>
  <si>
    <t>Fund Size in Eur</t>
  </si>
  <si>
    <t>G42 % for 2nd in Eur</t>
  </si>
  <si>
    <t>105,400,00</t>
  </si>
  <si>
    <t>Estimated as per Q1-23 NAV report</t>
  </si>
  <si>
    <t>Invested $15m in Tools for Humanity Corp equity and Worldcoin token warrants</t>
  </si>
  <si>
    <t>Q1'23  capital account statement</t>
  </si>
  <si>
    <t>NR = No Rights / No Representation</t>
  </si>
  <si>
    <t xml:space="preserve">n/a = not applicable or not available </t>
  </si>
  <si>
    <t>Gain till FY22</t>
  </si>
  <si>
    <t>WLD Tokens</t>
  </si>
  <si>
    <t>Investment / Exit Amount (USD)</t>
  </si>
  <si>
    <t>Investment / Exit Amt (investee currency)</t>
  </si>
  <si>
    <t>Tokens</t>
  </si>
  <si>
    <t>Email: Sam Thomson</t>
  </si>
  <si>
    <t>DAO | Cayman Islands</t>
  </si>
  <si>
    <t>Coinbase</t>
  </si>
  <si>
    <t xml:space="preserve">Fully Exited on 31st July with 1.5x returns. </t>
  </si>
  <si>
    <t>Received 62.5M Tokens as of Jul'23</t>
  </si>
  <si>
    <t xml:space="preserve">Equity value held at cost. </t>
  </si>
  <si>
    <t>Tokens valued at $0.3 per token taking into account the liquidity discount</t>
  </si>
  <si>
    <t>Exited at 1.56X | Residual Value = 0</t>
  </si>
  <si>
    <t>Q3 2023</t>
  </si>
  <si>
    <t>Jun 23</t>
  </si>
  <si>
    <t>Jul 23</t>
  </si>
  <si>
    <t>7 July 2023: Paid USD 1,000 towards Worldcoin token warrant exercise fee</t>
  </si>
  <si>
    <t>14 July 2023: Paid USD 2,750,000 to AAICO towards the first milestone payment</t>
  </si>
  <si>
    <t>31 July 2023: Received GBP 6,090,345.22 (USD 7,820,776.10) for sell down of Instadeep</t>
  </si>
  <si>
    <r>
      <t>Sinovation 6</t>
    </r>
    <r>
      <rPr>
        <vertAlign val="superscript"/>
        <sz val="10"/>
        <color rgb="FF004141"/>
        <rFont val="Montserrat"/>
      </rPr>
      <t>th</t>
    </r>
    <r>
      <rPr>
        <sz val="10"/>
        <color rgb="FF004141"/>
        <rFont val="Montserrat"/>
      </rPr>
      <t xml:space="preserve"> capital call $2.6m transferred on 3-Feb</t>
    </r>
  </si>
  <si>
    <r>
      <t>vTv Therapeutics 2</t>
    </r>
    <r>
      <rPr>
        <vertAlign val="superscript"/>
        <sz val="10"/>
        <color rgb="FF004141"/>
        <rFont val="Montserrat"/>
      </rPr>
      <t>nd</t>
    </r>
    <r>
      <rPr>
        <sz val="10"/>
        <color rgb="FF004141"/>
        <rFont val="Montserrat"/>
      </rPr>
      <t xml:space="preserve"> payment of $12.03m transferred on 28-Feb</t>
    </r>
  </si>
  <si>
    <t>A distribution of $1.9m as a ‘return of capital’ received from the Sinovation Fund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</si>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</sst>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8" formatCode="&quot;AED&quot;#,##0.00;[Red]\-&quot;AED&quot;#,##0.00"/>
    <numFmt numFmtId="43" formatCode="_-* #,##0.00_-;\-* #,##0.00_-;_-* &quot;-&quot;??_-;_-@_-"/>
    <numFmt numFmtId="164" formatCode="_(* #,##0.00_);_(* \(#,##0.00\);_(* &quot;-&quot;??_);_(@_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-[$£-809]* #,##0.00_-;\-[$£-809]* #,##0.00_-;_-[$£-809]* &quot;-&quot;??_-;_-@_-"/>
    <numFmt numFmtId="168" formatCode="&quot;$&quot;#,##0_);[Red]\(&quot;$&quot;#,##0\)"/>
    <numFmt numFmtId="169" formatCode="0.00\x"/>
    <numFmt numFmtId="170" formatCode="0.0%"/>
    <numFmt numFmtId="171" formatCode="0.00%_);\(0.00%\);0.00%_);@_)"/>
    <numFmt numFmtId="172" formatCode="[$$-409]#,##0.0_);\([$$-409]#,##0.0\);[$$-409]#,##0.0_);@_)"/>
    <numFmt numFmtId="173" formatCode="[$$-409]#,##0_);\([$$-409]#,##0\);[$$-409]#,##0_);@_)"/>
    <numFmt numFmtId="174" formatCode="_(* #,##0_);_(* \(#,##0\);_(* &quot;-&quot;??_);_(@_)"/>
    <numFmt numFmtId="175" formatCode="0.0\x"/>
    <numFmt numFmtId="176" formatCode="&quot;$&quot;#,##0.0_);[Red]\(&quot;$&quot;#,##0.0\)"/>
    <numFmt numFmtId="177" formatCode="[$-14C09]d\ mmm\ yyyy;@"/>
    <numFmt numFmtId="178" formatCode="#,##0.000000;[Red]#,##0.000000"/>
    <numFmt numFmtId="179" formatCode="[$$-409]#,##0.00_);\([$$-409]#,##0.00\);[$$-409]#,##0.00_);@_)"/>
    <numFmt numFmtId="180" formatCode="[$£-809]#,##0;[Red][$£-809]#,##0"/>
    <numFmt numFmtId="181" formatCode="[$£-809]#,##0"/>
    <numFmt numFmtId="182" formatCode="&quot;€&quot;#,##0.000_);[Red]\(&quot;€&quot;#,##0.000\)"/>
    <numFmt numFmtId="183" formatCode="&quot;€&quot;#,##0.0_);[Red]\(&quot;€&quot;#,##0.0\)"/>
    <numFmt numFmtId="184" formatCode="#,##0.0;[Red]#,##0.0"/>
    <numFmt numFmtId="185" formatCode="#,##0.00\x"/>
    <numFmt numFmtId="186" formatCode="#,##0.00;[Red]#,##0.00"/>
    <numFmt numFmtId="187" formatCode="[$$-409]#,##0.00_ ;[Red]\-[$$-409]#,##0.00\ "/>
    <numFmt numFmtId="188" formatCode="&quot;AED&quot;#,##0.00"/>
    <numFmt numFmtId="189" formatCode="#,##0;[Red]#,##0"/>
    <numFmt numFmtId="190" formatCode="[$$-409]#,##0.00"/>
    <numFmt numFmtId="191" formatCode="[$$-409]#,##0.0"/>
    <numFmt numFmtId="192" formatCode="_ * #,##0.00_ ;_ * \-#,##0.00_ ;_ * &quot;-&quot;??_ ;_ @_ "/>
    <numFmt numFmtId="193" formatCode="0.0000%"/>
    <numFmt numFmtId="194" formatCode="0.00000"/>
    <numFmt numFmtId="195" formatCode="\$0.0;\-0.0;;@"/>
    <numFmt numFmtId="196" formatCode="&quot;n/a&quot;"/>
    <numFmt numFmtId="197" formatCode="_ * #,##0_ ;_ * \-#,##0_ ;_ * &quot;-&quot;??_ ;_ @_ "/>
    <numFmt numFmtId="198" formatCode="&quot;€&quot;#,##0.00_);[Red]\(&quot;€&quot;#,##0.00\)"/>
    <numFmt numFmtId="199" formatCode="_-[$$-409]* #,##0.00_ ;_-[$$-409]* \-#,##0.00\ ;_-[$$-409]* &quot;-&quot;??_ ;_-@_ "/>
    <numFmt numFmtId="200" formatCode="&quot;$&quot;#,##0.0000_);[Red]\(&quot;$&quot;#,##0.0000\)"/>
    <numFmt numFmtId="201" formatCode="&quot;$&quot;#,##0.000000_);[Red]\(&quot;$&quot;#,##0.000000\)"/>
    <numFmt numFmtId="203" formatCode="[$$-409]#,##0.00_ ;\-[$$-409]#,##0.00\ "/>
  </numFmts>
  <fonts count="8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Garamond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2" tint="-9.9978637043366805E-2"/>
      <name val="Garamond"/>
      <family val="1"/>
    </font>
    <font>
      <u/>
      <sz val="11"/>
      <color theme="10"/>
      <name val="Calibri"/>
      <family val="2"/>
      <scheme val="minor"/>
    </font>
    <font>
      <b/>
      <sz val="10"/>
      <color rgb="FF0000CC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 tint="0.249977111117893"/>
      <name val="Garamond"/>
      <family val="1"/>
    </font>
    <font>
      <b/>
      <sz val="11"/>
      <color theme="1" tint="0.249977111117893"/>
      <name val="Garamond"/>
      <family val="1"/>
    </font>
    <font>
      <b/>
      <sz val="11"/>
      <color rgb="FF0000CC"/>
      <name val="Garamond"/>
      <family val="1"/>
    </font>
    <font>
      <sz val="11"/>
      <color theme="1"/>
      <name val="Garamond"/>
      <family val="1"/>
    </font>
    <font>
      <sz val="9"/>
      <color theme="1"/>
      <name val="Garamond"/>
      <family val="1"/>
    </font>
    <font>
      <b/>
      <sz val="11"/>
      <color theme="1"/>
      <name val="Garamond"/>
      <family val="1"/>
    </font>
    <font>
      <b/>
      <sz val="9"/>
      <color theme="0"/>
      <name val="Garamond"/>
      <family val="1"/>
    </font>
    <font>
      <sz val="11"/>
      <color rgb="FFFF0000"/>
      <name val="Garamond"/>
      <family val="1"/>
    </font>
    <font>
      <i/>
      <sz val="11"/>
      <color theme="1" tint="0.249977111117893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b/>
      <sz val="10"/>
      <color theme="1"/>
      <name val="Garamond"/>
      <family val="1"/>
    </font>
    <font>
      <sz val="10"/>
      <color rgb="FF1F1F1F"/>
      <name val="Garamond"/>
      <family val="1"/>
    </font>
    <font>
      <b/>
      <vertAlign val="superscript"/>
      <sz val="11"/>
      <color theme="0"/>
      <name val="Garamond"/>
      <family val="1"/>
    </font>
    <font>
      <b/>
      <i/>
      <sz val="11"/>
      <color theme="0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Garamond"/>
      <family val="1"/>
    </font>
    <font>
      <vertAlign val="superscript"/>
      <sz val="11"/>
      <name val="Garamond"/>
      <family val="1"/>
    </font>
    <font>
      <b/>
      <sz val="11"/>
      <name val="Garamond"/>
      <family val="1"/>
    </font>
    <font>
      <i/>
      <sz val="11"/>
      <color theme="1"/>
      <name val="Garamond"/>
      <family val="1"/>
    </font>
    <font>
      <i/>
      <sz val="11"/>
      <color rgb="FF0000CC"/>
      <name val="Garamond"/>
      <family val="1"/>
    </font>
    <font>
      <b/>
      <sz val="10"/>
      <color rgb="FF0000CC"/>
      <name val="Garamond"/>
      <family val="1"/>
    </font>
    <font>
      <sz val="10"/>
      <name val="Garamond"/>
      <family val="1"/>
    </font>
    <font>
      <sz val="10"/>
      <color theme="1" tint="0.249977111117893"/>
      <name val="Garamond"/>
      <family val="1"/>
    </font>
    <font>
      <b/>
      <sz val="10"/>
      <color theme="1" tint="0.249977111117893"/>
      <name val="Garamond"/>
      <family val="1"/>
    </font>
    <font>
      <i/>
      <sz val="10"/>
      <color theme="1"/>
      <name val="Garamond"/>
      <family val="1"/>
    </font>
    <font>
      <b/>
      <i/>
      <sz val="10"/>
      <color theme="1"/>
      <name val="Garamond"/>
      <family val="1"/>
    </font>
    <font>
      <b/>
      <i/>
      <sz val="11"/>
      <color theme="1"/>
      <name val="Garamond"/>
      <family val="1"/>
    </font>
    <font>
      <b/>
      <sz val="9"/>
      <color theme="1"/>
      <name val="Garamond"/>
      <family val="1"/>
    </font>
    <font>
      <b/>
      <sz val="22"/>
      <color theme="1"/>
      <name val="Garamond"/>
      <family val="1"/>
    </font>
    <font>
      <sz val="11"/>
      <color theme="1" tint="0.34998626667073579"/>
      <name val="Garamond"/>
      <family val="1"/>
    </font>
    <font>
      <sz val="9"/>
      <color theme="1" tint="0.34998626667073579"/>
      <name val="Garamond"/>
      <family val="1"/>
    </font>
    <font>
      <sz val="10"/>
      <color theme="1" tint="0.34998626667073579"/>
      <name val="Garamond"/>
      <family val="1"/>
    </font>
    <font>
      <b/>
      <i/>
      <sz val="11"/>
      <color theme="1" tint="0.249977111117893"/>
      <name val="Garamond"/>
      <family val="1"/>
    </font>
    <font>
      <b/>
      <i/>
      <sz val="11"/>
      <color theme="2" tint="-9.9978637043366805E-2"/>
      <name val="Garamond"/>
      <family val="1"/>
    </font>
    <font>
      <b/>
      <sz val="11"/>
      <color theme="0" tint="-4.9989318521683403E-2"/>
      <name val="Garamond"/>
      <family val="1"/>
    </font>
    <font>
      <i/>
      <sz val="9"/>
      <color theme="0" tint="-0.14999847407452621"/>
      <name val="Garamond"/>
      <family val="1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Garamond"/>
      <family val="2"/>
    </font>
    <font>
      <vertAlign val="superscript"/>
      <sz val="11"/>
      <color theme="1"/>
      <name val="Calibri"/>
      <family val="2"/>
    </font>
    <font>
      <b/>
      <sz val="11"/>
      <color rgb="FF0000FF"/>
      <name val="Garamond"/>
      <family val="1"/>
    </font>
    <font>
      <b/>
      <sz val="11"/>
      <color theme="7" tint="0.79998168889431442"/>
      <name val="Garamond"/>
      <family val="1"/>
    </font>
    <font>
      <sz val="11"/>
      <color theme="1" tint="0.499984740745262"/>
      <name val="Garamond"/>
      <family val="1"/>
    </font>
    <font>
      <i/>
      <sz val="11"/>
      <color theme="0" tint="-0.14999847407452621"/>
      <name val="Garamond"/>
      <family val="1"/>
    </font>
    <font>
      <b/>
      <i/>
      <sz val="11"/>
      <color theme="0" tint="-0.14999847407452621"/>
      <name val="Garamond"/>
      <family val="1"/>
    </font>
    <font>
      <b/>
      <vertAlign val="superscript"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"/>
      <color indexed="9"/>
      <name val="Symbol"/>
      <family val="1"/>
      <charset val="2"/>
    </font>
    <font>
      <i/>
      <sz val="11"/>
      <color rgb="FF0000FF"/>
      <name val="Garamond"/>
      <family val="1"/>
    </font>
    <font>
      <sz val="11"/>
      <color rgb="FF0000FF"/>
      <name val="Garamond"/>
      <family val="1"/>
    </font>
    <font>
      <b/>
      <i/>
      <sz val="11"/>
      <color rgb="FF0000FF"/>
      <name val="Garamond"/>
      <family val="1"/>
    </font>
    <font>
      <b/>
      <sz val="10"/>
      <color theme="7" tint="0.59999389629810485"/>
      <name val="Montserrat"/>
    </font>
    <font>
      <sz val="10"/>
      <color theme="0"/>
      <name val="Montserrat"/>
    </font>
    <font>
      <sz val="10"/>
      <color theme="1"/>
      <name val="Montserrat"/>
    </font>
    <font>
      <sz val="10"/>
      <color theme="7" tint="0.59999389629810485"/>
      <name val="Montserrat"/>
    </font>
    <font>
      <b/>
      <sz val="11"/>
      <color theme="1" tint="0.499984740745262"/>
      <name val="Garamond"/>
      <family val="1"/>
    </font>
    <font>
      <vertAlign val="superscript"/>
      <sz val="11"/>
      <color theme="1" tint="0.249977111117893"/>
      <name val="Garamond"/>
      <family val="1"/>
    </font>
    <font>
      <sz val="10"/>
      <color theme="1" tint="0.499984740745262"/>
      <name val="Garamond"/>
      <family val="1"/>
    </font>
    <font>
      <i/>
      <sz val="11"/>
      <color theme="1" tint="0.499984740745262"/>
      <name val="Garamond"/>
      <family val="1"/>
    </font>
    <font>
      <b/>
      <i/>
      <sz val="11"/>
      <color theme="1" tint="0.499984740745262"/>
      <name val="Garamond"/>
      <family val="1"/>
    </font>
    <font>
      <i/>
      <sz val="9"/>
      <color theme="1"/>
      <name val="Garamond"/>
      <family val="1"/>
    </font>
    <font>
      <b/>
      <i/>
      <sz val="9"/>
      <color theme="1"/>
      <name val="Garamond"/>
      <family val="1"/>
    </font>
    <font>
      <b/>
      <u/>
      <sz val="11"/>
      <color theme="1"/>
      <name val="Garamond"/>
      <family val="1"/>
    </font>
    <font>
      <b/>
      <sz val="10"/>
      <color theme="0"/>
      <name val="Montserrat"/>
    </font>
    <font>
      <sz val="9"/>
      <color theme="1" tint="0.249977111117893"/>
      <name val="Garamond"/>
      <family val="1"/>
    </font>
    <font>
      <u/>
      <sz val="9"/>
      <color theme="10"/>
      <name val="Garamond"/>
      <family val="1"/>
    </font>
    <font>
      <b/>
      <sz val="9"/>
      <color theme="1" tint="0.249977111117893"/>
      <name val="Garamond"/>
      <family val="1"/>
    </font>
    <font>
      <vertAlign val="superscript"/>
      <sz val="10"/>
      <color rgb="FF004141"/>
      <name val="Montserrat"/>
    </font>
    <font>
      <sz val="10"/>
      <color rgb="FF004141"/>
      <name val="Montserrat"/>
    </font>
  </fonts>
  <fills count="2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483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EEEEEC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3" fillId="0" borderId="0">
      <alignment vertical="center"/>
    </xf>
    <xf numFmtId="192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64" fillId="0" borderId="0" applyAlignment="0"/>
  </cellStyleXfs>
  <cellXfs count="734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8" xfId="0" applyFont="1" applyBorder="1"/>
    <xf numFmtId="10" fontId="9" fillId="0" borderId="0" xfId="6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11" xfId="0" applyFont="1" applyBorder="1" applyAlignment="1">
      <alignment horizontal="left" wrapText="1"/>
    </xf>
    <xf numFmtId="3" fontId="11" fillId="0" borderId="11" xfId="0" applyNumberFormat="1" applyFont="1" applyBorder="1" applyAlignment="1">
      <alignment horizontal="right"/>
    </xf>
    <xf numFmtId="0" fontId="4" fillId="0" borderId="5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8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5" fillId="8" borderId="0" xfId="7" applyFont="1" applyFill="1" applyBorder="1" applyAlignment="1">
      <alignment horizontal="center" vertical="center" wrapText="1"/>
    </xf>
    <xf numFmtId="15" fontId="4" fillId="9" borderId="0" xfId="7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left"/>
    </xf>
    <xf numFmtId="174" fontId="4" fillId="0" borderId="0" xfId="2" applyNumberFormat="1" applyFont="1" applyBorder="1"/>
    <xf numFmtId="3" fontId="4" fillId="0" borderId="0" xfId="0" applyNumberFormat="1" applyFont="1" applyFill="1" applyBorder="1" applyAlignment="1">
      <alignment horizontal="left" vertical="top"/>
    </xf>
    <xf numFmtId="3" fontId="11" fillId="0" borderId="0" xfId="0" applyNumberFormat="1" applyFont="1" applyFill="1" applyBorder="1" applyAlignment="1">
      <alignment horizontal="right"/>
    </xf>
    <xf numFmtId="0" fontId="10" fillId="0" borderId="0" xfId="0" applyFont="1" applyBorder="1" applyAlignment="1">
      <alignment horizontal="left" vertical="center"/>
    </xf>
    <xf numFmtId="3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Border="1"/>
    <xf numFmtId="3" fontId="1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71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16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right"/>
    </xf>
    <xf numFmtId="172" fontId="4" fillId="0" borderId="0" xfId="0" applyNumberFormat="1" applyFont="1" applyBorder="1" applyAlignment="1">
      <alignment horizontal="center"/>
    </xf>
    <xf numFmtId="10" fontId="4" fillId="0" borderId="0" xfId="1" applyNumberFormat="1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16" fontId="11" fillId="0" borderId="0" xfId="0" applyNumberFormat="1" applyFont="1" applyBorder="1" applyAlignment="1">
      <alignment horizontal="center"/>
    </xf>
    <xf numFmtId="16" fontId="4" fillId="0" borderId="0" xfId="0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center"/>
    </xf>
    <xf numFmtId="173" fontId="4" fillId="9" borderId="0" xfId="4" applyNumberFormat="1" applyFont="1" applyFill="1" applyBorder="1" applyAlignment="1">
      <alignment horizontal="center"/>
    </xf>
    <xf numFmtId="0" fontId="12" fillId="0" borderId="0" xfId="0" applyFont="1" applyBorder="1"/>
    <xf numFmtId="169" fontId="4" fillId="0" borderId="0" xfId="0" applyNumberFormat="1" applyFont="1" applyBorder="1" applyAlignment="1">
      <alignment horizontal="center"/>
    </xf>
    <xf numFmtId="167" fontId="4" fillId="0" borderId="0" xfId="0" applyNumberFormat="1" applyFont="1" applyBorder="1" applyAlignment="1">
      <alignment horizontal="right"/>
    </xf>
    <xf numFmtId="174" fontId="4" fillId="0" borderId="0" xfId="2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73" fontId="4" fillId="9" borderId="0" xfId="4" applyNumberFormat="1" applyFont="1" applyFill="1" applyBorder="1" applyAlignment="1">
      <alignment horizontal="right"/>
    </xf>
    <xf numFmtId="15" fontId="4" fillId="0" borderId="0" xfId="0" applyNumberFormat="1" applyFont="1" applyBorder="1" applyAlignment="1">
      <alignment horizontal="center"/>
    </xf>
    <xf numFmtId="173" fontId="4" fillId="0" borderId="0" xfId="0" applyNumberFormat="1" applyFont="1" applyBorder="1" applyAlignment="1">
      <alignment horizontal="right"/>
    </xf>
    <xf numFmtId="0" fontId="4" fillId="0" borderId="9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10" xfId="0" applyFont="1" applyBorder="1"/>
    <xf numFmtId="0" fontId="4" fillId="0" borderId="4" xfId="0" applyFont="1" applyBorder="1" applyAlignment="1">
      <alignment horizontal="right"/>
    </xf>
    <xf numFmtId="165" fontId="13" fillId="0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165" fontId="14" fillId="0" borderId="2" xfId="0" applyNumberFormat="1" applyFont="1" applyFill="1" applyBorder="1" applyAlignment="1">
      <alignment horizontal="left" vertical="center"/>
    </xf>
    <xf numFmtId="165" fontId="14" fillId="0" borderId="0" xfId="0" applyNumberFormat="1" applyFont="1" applyFill="1" applyBorder="1" applyAlignment="1">
      <alignment horizontal="left" vertical="center"/>
    </xf>
    <xf numFmtId="1" fontId="13" fillId="0" borderId="2" xfId="2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175" fontId="13" fillId="0" borderId="2" xfId="0" applyNumberFormat="1" applyFont="1" applyFill="1" applyBorder="1" applyAlignment="1">
      <alignment horizontal="center" vertical="center"/>
    </xf>
    <xf numFmtId="175" fontId="14" fillId="3" borderId="1" xfId="0" applyNumberFormat="1" applyFont="1" applyFill="1" applyBorder="1" applyAlignment="1">
      <alignment horizontal="center" vertical="center"/>
    </xf>
    <xf numFmtId="175" fontId="6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left" vertical="center"/>
    </xf>
    <xf numFmtId="1" fontId="13" fillId="0" borderId="0" xfId="2" applyNumberFormat="1" applyFont="1" applyFill="1" applyBorder="1" applyAlignment="1">
      <alignment horizontal="center" vertical="center"/>
    </xf>
    <xf numFmtId="175" fontId="13" fillId="0" borderId="0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left" vertical="center"/>
    </xf>
    <xf numFmtId="176" fontId="13" fillId="0" borderId="2" xfId="0" applyNumberFormat="1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0" fontId="13" fillId="0" borderId="2" xfId="1" applyNumberFormat="1" applyFont="1" applyFill="1" applyBorder="1" applyAlignment="1">
      <alignment horizontal="center" vertical="center"/>
    </xf>
    <xf numFmtId="170" fontId="14" fillId="3" borderId="1" xfId="1" applyNumberFormat="1" applyFont="1" applyFill="1" applyBorder="1" applyAlignment="1">
      <alignment horizontal="center" vertical="center"/>
    </xf>
    <xf numFmtId="170" fontId="6" fillId="0" borderId="0" xfId="1" applyNumberFormat="1" applyFont="1" applyFill="1" applyBorder="1" applyAlignment="1">
      <alignment horizontal="center" vertical="center"/>
    </xf>
    <xf numFmtId="170" fontId="13" fillId="0" borderId="0" xfId="1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3" fontId="14" fillId="0" borderId="0" xfId="0" applyNumberFormat="1" applyFont="1" applyFill="1" applyBorder="1" applyAlignment="1">
      <alignment horizontal="center" vertical="center"/>
    </xf>
    <xf numFmtId="0" fontId="17" fillId="0" borderId="0" xfId="0" applyFont="1"/>
    <xf numFmtId="14" fontId="17" fillId="6" borderId="0" xfId="3" applyNumberFormat="1" applyFont="1" applyFill="1"/>
    <xf numFmtId="177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/>
    <xf numFmtId="177" fontId="17" fillId="11" borderId="0" xfId="3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4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 applyAlignment="1">
      <alignment horizontal="center"/>
    </xf>
    <xf numFmtId="0" fontId="17" fillId="0" borderId="0" xfId="0" applyFont="1" applyFill="1"/>
    <xf numFmtId="0" fontId="18" fillId="0" borderId="0" xfId="0" applyFont="1"/>
    <xf numFmtId="165" fontId="17" fillId="6" borderId="0" xfId="4" applyNumberFormat="1" applyFont="1" applyFill="1" applyAlignment="1">
      <alignment horizontal="center"/>
    </xf>
    <xf numFmtId="165" fontId="17" fillId="11" borderId="0" xfId="4" applyNumberFormat="1" applyFont="1" applyFill="1" applyAlignment="1">
      <alignment horizontal="center"/>
    </xf>
    <xf numFmtId="0" fontId="19" fillId="7" borderId="0" xfId="3" applyFont="1" applyFill="1" applyAlignment="1">
      <alignment vertical="center" wrapText="1"/>
    </xf>
    <xf numFmtId="177" fontId="19" fillId="7" borderId="0" xfId="3" applyNumberFormat="1" applyFont="1" applyFill="1" applyAlignment="1">
      <alignment horizontal="center" vertical="center" wrapText="1"/>
    </xf>
    <xf numFmtId="0" fontId="19" fillId="7" borderId="0" xfId="3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165" fontId="17" fillId="0" borderId="0" xfId="0" applyNumberFormat="1" applyFont="1" applyAlignment="1">
      <alignment horizontal="center"/>
    </xf>
    <xf numFmtId="169" fontId="17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49" fontId="13" fillId="0" borderId="2" xfId="1" applyNumberFormat="1" applyFont="1" applyFill="1" applyBorder="1" applyAlignment="1">
      <alignment horizontal="center" vertical="center"/>
    </xf>
    <xf numFmtId="49" fontId="14" fillId="3" borderId="1" xfId="1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left" vertical="center"/>
    </xf>
    <xf numFmtId="165" fontId="13" fillId="0" borderId="2" xfId="0" applyNumberFormat="1" applyFont="1" applyFill="1" applyBorder="1" applyAlignment="1">
      <alignment horizontal="left" vertical="center"/>
    </xf>
    <xf numFmtId="49" fontId="13" fillId="0" borderId="2" xfId="1" applyNumberFormat="1" applyFont="1" applyFill="1" applyBorder="1" applyAlignment="1">
      <alignment horizontal="left" vertical="center"/>
    </xf>
    <xf numFmtId="49" fontId="14" fillId="3" borderId="1" xfId="1" applyNumberFormat="1" applyFont="1" applyFill="1" applyBorder="1" applyAlignment="1">
      <alignment horizontal="left" vertical="center"/>
    </xf>
    <xf numFmtId="170" fontId="6" fillId="0" borderId="0" xfId="1" applyNumberFormat="1" applyFont="1" applyFill="1" applyBorder="1" applyAlignment="1">
      <alignment horizontal="left" vertical="center"/>
    </xf>
    <xf numFmtId="170" fontId="13" fillId="0" borderId="2" xfId="1" applyNumberFormat="1" applyFont="1" applyFill="1" applyBorder="1" applyAlignment="1">
      <alignment horizontal="left" vertical="center"/>
    </xf>
    <xf numFmtId="170" fontId="14" fillId="3" borderId="1" xfId="1" applyNumberFormat="1" applyFont="1" applyFill="1" applyBorder="1" applyAlignment="1">
      <alignment horizontal="left" vertical="center"/>
    </xf>
    <xf numFmtId="49" fontId="21" fillId="0" borderId="2" xfId="1" applyNumberFormat="1" applyFont="1" applyFill="1" applyBorder="1" applyAlignment="1">
      <alignment horizontal="center" vertical="center"/>
    </xf>
    <xf numFmtId="0" fontId="22" fillId="7" borderId="0" xfId="3" applyFont="1" applyFill="1" applyAlignment="1">
      <alignment horizontal="center" vertical="center" wrapText="1"/>
    </xf>
    <xf numFmtId="0" fontId="22" fillId="7" borderId="0" xfId="3" applyFont="1" applyFill="1" applyAlignment="1">
      <alignment vertical="center" wrapText="1"/>
    </xf>
    <xf numFmtId="0" fontId="23" fillId="4" borderId="0" xfId="3" applyFont="1" applyFill="1" applyAlignment="1">
      <alignment wrapText="1"/>
    </xf>
    <xf numFmtId="0" fontId="23" fillId="15" borderId="0" xfId="3" applyFont="1" applyFill="1" applyAlignment="1">
      <alignment horizontal="center"/>
    </xf>
    <xf numFmtId="0" fontId="23" fillId="15" borderId="0" xfId="3" applyFont="1" applyFill="1"/>
    <xf numFmtId="176" fontId="23" fillId="15" borderId="0" xfId="4" applyNumberFormat="1" applyFont="1" applyFill="1" applyAlignment="1">
      <alignment horizontal="center"/>
    </xf>
    <xf numFmtId="0" fontId="23" fillId="4" borderId="0" xfId="3" applyFont="1" applyFill="1"/>
    <xf numFmtId="14" fontId="23" fillId="15" borderId="0" xfId="3" applyNumberFormat="1" applyFont="1" applyFill="1" applyAlignment="1">
      <alignment horizontal="center"/>
    </xf>
    <xf numFmtId="0" fontId="23" fillId="5" borderId="0" xfId="3" applyFont="1" applyFill="1" applyAlignment="1">
      <alignment horizontal="center"/>
    </xf>
    <xf numFmtId="0" fontId="23" fillId="5" borderId="0" xfId="3" applyFont="1" applyFill="1"/>
    <xf numFmtId="14" fontId="23" fillId="5" borderId="0" xfId="3" applyNumberFormat="1" applyFont="1" applyFill="1" applyAlignment="1">
      <alignment horizontal="center"/>
    </xf>
    <xf numFmtId="176" fontId="23" fillId="5" borderId="0" xfId="3" applyNumberFormat="1" applyFont="1" applyFill="1" applyAlignment="1">
      <alignment horizontal="center"/>
    </xf>
    <xf numFmtId="176" fontId="23" fillId="5" borderId="0" xfId="4" applyNumberFormat="1" applyFont="1" applyFill="1" applyAlignment="1">
      <alignment horizontal="center"/>
    </xf>
    <xf numFmtId="0" fontId="24" fillId="7" borderId="0" xfId="3" applyFont="1" applyFill="1" applyAlignment="1">
      <alignment vertical="center" wrapText="1"/>
    </xf>
    <xf numFmtId="177" fontId="24" fillId="7" borderId="0" xfId="3" applyNumberFormat="1" applyFont="1" applyFill="1" applyAlignment="1">
      <alignment horizontal="center" vertical="center" wrapText="1"/>
    </xf>
    <xf numFmtId="0" fontId="24" fillId="7" borderId="0" xfId="3" applyFont="1" applyFill="1" applyAlignment="1">
      <alignment horizontal="center" vertical="center" wrapText="1"/>
    </xf>
    <xf numFmtId="0" fontId="25" fillId="0" borderId="0" xfId="0" applyFont="1"/>
    <xf numFmtId="0" fontId="23" fillId="6" borderId="0" xfId="3" applyFont="1" applyFill="1"/>
    <xf numFmtId="14" fontId="23" fillId="6" borderId="0" xfId="3" applyNumberFormat="1" applyFont="1" applyFill="1"/>
    <xf numFmtId="177" fontId="23" fillId="6" borderId="0" xfId="3" applyNumberFormat="1" applyFont="1" applyFill="1" applyAlignment="1">
      <alignment horizontal="center"/>
    </xf>
    <xf numFmtId="0" fontId="23" fillId="6" borderId="0" xfId="3" applyFont="1" applyFill="1" applyAlignment="1">
      <alignment horizontal="center"/>
    </xf>
    <xf numFmtId="168" fontId="23" fillId="6" borderId="0" xfId="4" applyNumberFormat="1" applyFont="1" applyFill="1" applyAlignment="1">
      <alignment horizontal="center"/>
    </xf>
    <xf numFmtId="165" fontId="23" fillId="6" borderId="0" xfId="4" applyNumberFormat="1" applyFont="1" applyFill="1" applyAlignment="1">
      <alignment horizontal="center"/>
    </xf>
    <xf numFmtId="3" fontId="23" fillId="6" borderId="0" xfId="3" applyNumberFormat="1" applyFont="1" applyFill="1" applyAlignment="1">
      <alignment horizontal="center"/>
    </xf>
    <xf numFmtId="0" fontId="23" fillId="0" borderId="0" xfId="0" applyFont="1"/>
    <xf numFmtId="0" fontId="23" fillId="11" borderId="0" xfId="3" applyFont="1" applyFill="1"/>
    <xf numFmtId="14" fontId="23" fillId="11" borderId="0" xfId="3" applyNumberFormat="1" applyFont="1" applyFill="1"/>
    <xf numFmtId="177" fontId="23" fillId="11" borderId="0" xfId="3" applyNumberFormat="1" applyFont="1" applyFill="1" applyAlignment="1">
      <alignment horizontal="center"/>
    </xf>
    <xf numFmtId="0" fontId="23" fillId="11" borderId="0" xfId="3" applyFont="1" applyFill="1" applyAlignment="1">
      <alignment horizontal="center"/>
    </xf>
    <xf numFmtId="168" fontId="23" fillId="11" borderId="0" xfId="4" applyNumberFormat="1" applyFont="1" applyFill="1" applyAlignment="1">
      <alignment horizontal="center"/>
    </xf>
    <xf numFmtId="165" fontId="23" fillId="11" borderId="0" xfId="4" applyNumberFormat="1" applyFont="1" applyFill="1" applyAlignment="1">
      <alignment horizontal="center"/>
    </xf>
    <xf numFmtId="3" fontId="23" fillId="11" borderId="0" xfId="3" applyNumberFormat="1" applyFont="1" applyFill="1" applyAlignment="1">
      <alignment horizontal="center"/>
    </xf>
    <xf numFmtId="4" fontId="26" fillId="0" borderId="12" xfId="0" applyNumberFormat="1" applyFont="1" applyBorder="1" applyAlignment="1">
      <alignment horizontal="center" vertical="center" wrapText="1"/>
    </xf>
    <xf numFmtId="177" fontId="23" fillId="0" borderId="0" xfId="0" applyNumberFormat="1" applyFont="1"/>
    <xf numFmtId="49" fontId="23" fillId="0" borderId="0" xfId="0" applyNumberFormat="1" applyFont="1"/>
    <xf numFmtId="0" fontId="23" fillId="0" borderId="0" xfId="0" applyFont="1" applyAlignment="1">
      <alignment horizontal="center"/>
    </xf>
    <xf numFmtId="170" fontId="14" fillId="0" borderId="2" xfId="1" applyNumberFormat="1" applyFont="1" applyFill="1" applyBorder="1" applyAlignment="1">
      <alignment horizontal="left" vertical="center"/>
    </xf>
    <xf numFmtId="170" fontId="14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5" xfId="0" applyFont="1" applyBorder="1"/>
    <xf numFmtId="0" fontId="18" fillId="0" borderId="3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6" xfId="0" applyFont="1" applyBorder="1"/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0" borderId="7" xfId="0" applyFont="1" applyFill="1" applyBorder="1"/>
    <xf numFmtId="0" fontId="16" fillId="0" borderId="8" xfId="0" applyFont="1" applyFill="1" applyBorder="1"/>
    <xf numFmtId="0" fontId="16" fillId="0" borderId="0" xfId="0" applyFont="1" applyFill="1"/>
    <xf numFmtId="0" fontId="16" fillId="0" borderId="7" xfId="0" applyFont="1" applyBorder="1"/>
    <xf numFmtId="0" fontId="16" fillId="0" borderId="8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0" xfId="0" applyFont="1"/>
    <xf numFmtId="0" fontId="16" fillId="0" borderId="9" xfId="0" applyFont="1" applyBorder="1"/>
    <xf numFmtId="0" fontId="18" fillId="0" borderId="4" xfId="0" applyFont="1" applyBorder="1" applyAlignment="1">
      <alignment horizontal="left"/>
    </xf>
    <xf numFmtId="170" fontId="16" fillId="0" borderId="4" xfId="0" applyNumberFormat="1" applyFont="1" applyBorder="1" applyAlignment="1">
      <alignment horizontal="center"/>
    </xf>
    <xf numFmtId="170" fontId="16" fillId="0" borderId="4" xfId="0" applyNumberFormat="1" applyFont="1" applyBorder="1" applyAlignment="1">
      <alignment horizontal="left"/>
    </xf>
    <xf numFmtId="0" fontId="16" fillId="0" borderId="10" xfId="0" applyFont="1" applyBorder="1"/>
    <xf numFmtId="170" fontId="16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left"/>
    </xf>
    <xf numFmtId="0" fontId="16" fillId="0" borderId="0" xfId="0" applyFont="1" applyBorder="1"/>
    <xf numFmtId="0" fontId="16" fillId="16" borderId="0" xfId="0" applyFont="1" applyFill="1"/>
    <xf numFmtId="10" fontId="17" fillId="0" borderId="0" xfId="0" applyNumberFormat="1" applyFont="1" applyAlignment="1">
      <alignment horizontal="center"/>
    </xf>
    <xf numFmtId="179" fontId="4" fillId="9" borderId="0" xfId="4" applyNumberFormat="1" applyFont="1" applyFill="1" applyBorder="1" applyAlignment="1">
      <alignment horizontal="right"/>
    </xf>
    <xf numFmtId="179" fontId="4" fillId="9" borderId="0" xfId="7" applyNumberFormat="1" applyFont="1" applyFill="1" applyBorder="1" applyAlignment="1">
      <alignment horizontal="right"/>
    </xf>
    <xf numFmtId="180" fontId="23" fillId="11" borderId="0" xfId="4" applyNumberFormat="1" applyFont="1" applyFill="1" applyAlignment="1">
      <alignment horizontal="center"/>
    </xf>
    <xf numFmtId="181" fontId="23" fillId="6" borderId="0" xfId="4" applyNumberFormat="1" applyFont="1" applyFill="1" applyAlignment="1">
      <alignment horizontal="center"/>
    </xf>
    <xf numFmtId="182" fontId="23" fillId="6" borderId="0" xfId="3" applyNumberFormat="1" applyFont="1" applyFill="1" applyAlignment="1">
      <alignment horizontal="center"/>
    </xf>
    <xf numFmtId="183" fontId="23" fillId="6" borderId="0" xfId="3" applyNumberFormat="1" applyFont="1" applyFill="1" applyAlignment="1">
      <alignment horizontal="center"/>
    </xf>
    <xf numFmtId="165" fontId="6" fillId="0" borderId="14" xfId="0" applyNumberFormat="1" applyFont="1" applyFill="1" applyBorder="1" applyAlignment="1">
      <alignment horizontal="center" vertical="center"/>
    </xf>
    <xf numFmtId="175" fontId="6" fillId="0" borderId="14" xfId="0" applyNumberFormat="1" applyFont="1" applyFill="1" applyBorder="1" applyAlignment="1">
      <alignment horizontal="center" vertical="center"/>
    </xf>
    <xf numFmtId="175" fontId="13" fillId="16" borderId="13" xfId="0" applyNumberFormat="1" applyFont="1" applyFill="1" applyBorder="1" applyAlignment="1">
      <alignment horizontal="center" vertical="center"/>
    </xf>
    <xf numFmtId="175" fontId="13" fillId="17" borderId="13" xfId="0" applyNumberFormat="1" applyFont="1" applyFill="1" applyBorder="1" applyAlignment="1">
      <alignment horizontal="center" vertical="center"/>
    </xf>
    <xf numFmtId="175" fontId="13" fillId="10" borderId="13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/>
    </xf>
    <xf numFmtId="0" fontId="24" fillId="8" borderId="0" xfId="3" applyFont="1" applyFill="1" applyAlignment="1">
      <alignment vertical="center"/>
    </xf>
    <xf numFmtId="0" fontId="24" fillId="8" borderId="0" xfId="3" applyFont="1" applyFill="1" applyAlignment="1">
      <alignment vertical="center" wrapText="1"/>
    </xf>
    <xf numFmtId="177" fontId="24" fillId="8" borderId="0" xfId="3" applyNumberFormat="1" applyFont="1" applyFill="1" applyAlignment="1">
      <alignment horizontal="center" vertical="center" wrapText="1"/>
    </xf>
    <xf numFmtId="0" fontId="24" fillId="8" borderId="0" xfId="3" applyFont="1" applyFill="1" applyAlignment="1">
      <alignment horizontal="center" vertical="center" wrapText="1"/>
    </xf>
    <xf numFmtId="169" fontId="16" fillId="0" borderId="0" xfId="0" applyNumberFormat="1" applyFont="1" applyAlignment="1">
      <alignment horizontal="center"/>
    </xf>
    <xf numFmtId="165" fontId="14" fillId="0" borderId="14" xfId="0" applyNumberFormat="1" applyFont="1" applyFill="1" applyBorder="1" applyAlignment="1">
      <alignment horizontal="left" vertical="center"/>
    </xf>
    <xf numFmtId="170" fontId="13" fillId="0" borderId="13" xfId="1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 wrapText="1"/>
    </xf>
    <xf numFmtId="169" fontId="16" fillId="0" borderId="16" xfId="0" applyNumberFormat="1" applyFont="1" applyBorder="1" applyAlignment="1">
      <alignment horizontal="center"/>
    </xf>
    <xf numFmtId="0" fontId="16" fillId="0" borderId="18" xfId="0" applyFont="1" applyBorder="1"/>
    <xf numFmtId="0" fontId="16" fillId="0" borderId="19" xfId="0" applyFont="1" applyBorder="1"/>
    <xf numFmtId="169" fontId="16" fillId="0" borderId="0" xfId="0" applyNumberFormat="1" applyFont="1" applyBorder="1" applyAlignment="1">
      <alignment horizontal="center"/>
    </xf>
    <xf numFmtId="169" fontId="16" fillId="0" borderId="21" xfId="0" applyNumberFormat="1" applyFont="1" applyBorder="1" applyAlignment="1">
      <alignment horizontal="center"/>
    </xf>
    <xf numFmtId="0" fontId="16" fillId="0" borderId="15" xfId="0" applyFont="1" applyBorder="1"/>
    <xf numFmtId="0" fontId="18" fillId="0" borderId="16" xfId="0" applyFont="1" applyBorder="1" applyAlignment="1">
      <alignment horizontal="left"/>
    </xf>
    <xf numFmtId="0" fontId="16" fillId="0" borderId="16" xfId="0" applyFont="1" applyBorder="1"/>
    <xf numFmtId="0" fontId="16" fillId="0" borderId="17" xfId="0" applyFont="1" applyBorder="1"/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6" fillId="0" borderId="18" xfId="0" applyFont="1" applyFill="1" applyBorder="1"/>
    <xf numFmtId="0" fontId="16" fillId="0" borderId="19" xfId="0" applyFont="1" applyFill="1" applyBorder="1"/>
    <xf numFmtId="0" fontId="13" fillId="0" borderId="18" xfId="0" applyFont="1" applyBorder="1"/>
    <xf numFmtId="0" fontId="13" fillId="0" borderId="19" xfId="0" applyFont="1" applyBorder="1"/>
    <xf numFmtId="0" fontId="16" fillId="0" borderId="20" xfId="0" applyFont="1" applyBorder="1"/>
    <xf numFmtId="0" fontId="18" fillId="0" borderId="21" xfId="0" applyFont="1" applyBorder="1" applyAlignment="1">
      <alignment horizontal="left"/>
    </xf>
    <xf numFmtId="0" fontId="16" fillId="0" borderId="21" xfId="0" applyFont="1" applyBorder="1"/>
    <xf numFmtId="0" fontId="16" fillId="0" borderId="22" xfId="0" applyFont="1" applyBorder="1"/>
    <xf numFmtId="165" fontId="14" fillId="18" borderId="1" xfId="0" applyNumberFormat="1" applyFont="1" applyFill="1" applyBorder="1" applyAlignment="1">
      <alignment horizontal="center" vertical="center"/>
    </xf>
    <xf numFmtId="170" fontId="14" fillId="18" borderId="1" xfId="1" applyNumberFormat="1" applyFont="1" applyFill="1" applyBorder="1" applyAlignment="1">
      <alignment horizontal="center" vertical="center"/>
    </xf>
    <xf numFmtId="176" fontId="14" fillId="18" borderId="1" xfId="0" applyNumberFormat="1" applyFont="1" applyFill="1" applyBorder="1" applyAlignment="1">
      <alignment horizontal="center" vertical="center"/>
    </xf>
    <xf numFmtId="175" fontId="14" fillId="18" borderId="1" xfId="0" applyNumberFormat="1" applyFont="1" applyFill="1" applyBorder="1" applyAlignment="1">
      <alignment horizontal="center" vertical="center"/>
    </xf>
    <xf numFmtId="165" fontId="31" fillId="0" borderId="2" xfId="0" applyNumberFormat="1" applyFont="1" applyFill="1" applyBorder="1" applyAlignment="1">
      <alignment horizontal="center" vertical="center"/>
    </xf>
    <xf numFmtId="165" fontId="33" fillId="18" borderId="1" xfId="0" applyNumberFormat="1" applyFont="1" applyFill="1" applyBorder="1" applyAlignment="1">
      <alignment horizontal="center" vertical="center"/>
    </xf>
    <xf numFmtId="165" fontId="33" fillId="0" borderId="0" xfId="0" applyNumberFormat="1" applyFont="1" applyFill="1" applyBorder="1" applyAlignment="1">
      <alignment horizontal="center" vertical="center"/>
    </xf>
    <xf numFmtId="170" fontId="31" fillId="0" borderId="2" xfId="1" applyNumberFormat="1" applyFont="1" applyFill="1" applyBorder="1" applyAlignment="1">
      <alignment horizontal="center" vertical="center"/>
    </xf>
    <xf numFmtId="170" fontId="33" fillId="18" borderId="1" xfId="1" applyNumberFormat="1" applyFont="1" applyFill="1" applyBorder="1" applyAlignment="1">
      <alignment horizontal="center" vertical="center"/>
    </xf>
    <xf numFmtId="170" fontId="33" fillId="0" borderId="0" xfId="1" applyNumberFormat="1" applyFont="1" applyFill="1" applyBorder="1" applyAlignment="1">
      <alignment horizontal="center" vertical="center"/>
    </xf>
    <xf numFmtId="170" fontId="33" fillId="3" borderId="1" xfId="1" applyNumberFormat="1" applyFont="1" applyFill="1" applyBorder="1" applyAlignment="1">
      <alignment horizontal="center" vertical="center"/>
    </xf>
    <xf numFmtId="1" fontId="13" fillId="10" borderId="0" xfId="2" applyNumberFormat="1" applyFont="1" applyFill="1" applyBorder="1" applyAlignment="1">
      <alignment horizontal="center" vertical="center"/>
    </xf>
    <xf numFmtId="170" fontId="13" fillId="10" borderId="0" xfId="1" applyNumberFormat="1" applyFont="1" applyFill="1" applyBorder="1" applyAlignment="1">
      <alignment horizontal="center" vertical="center"/>
    </xf>
    <xf numFmtId="176" fontId="13" fillId="1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165" fontId="14" fillId="0" borderId="14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3" fontId="14" fillId="0" borderId="2" xfId="0" applyNumberFormat="1" applyFont="1" applyFill="1" applyBorder="1" applyAlignment="1">
      <alignment horizontal="center" vertical="center"/>
    </xf>
    <xf numFmtId="170" fontId="14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16" fillId="0" borderId="0" xfId="0" applyNumberFormat="1" applyFont="1"/>
    <xf numFmtId="3" fontId="14" fillId="13" borderId="2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3" xfId="0" applyFont="1" applyBorder="1" applyAlignment="1">
      <alignment horizontal="center"/>
    </xf>
    <xf numFmtId="165" fontId="21" fillId="0" borderId="2" xfId="0" applyNumberFormat="1" applyFont="1" applyFill="1" applyBorder="1" applyAlignment="1">
      <alignment horizontal="center" vertical="center"/>
    </xf>
    <xf numFmtId="170" fontId="21" fillId="0" borderId="0" xfId="1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/>
    </xf>
    <xf numFmtId="176" fontId="23" fillId="0" borderId="0" xfId="4" applyNumberFormat="1" applyFont="1" applyFill="1" applyAlignment="1">
      <alignment horizontal="center"/>
    </xf>
    <xf numFmtId="176" fontId="23" fillId="0" borderId="0" xfId="0" applyNumberFormat="1" applyFont="1"/>
    <xf numFmtId="165" fontId="36" fillId="0" borderId="2" xfId="0" applyNumberFormat="1" applyFont="1" applyFill="1" applyBorder="1" applyAlignment="1">
      <alignment horizontal="left" vertical="center"/>
    </xf>
    <xf numFmtId="176" fontId="38" fillId="0" borderId="2" xfId="0" applyNumberFormat="1" applyFont="1" applyFill="1" applyBorder="1" applyAlignment="1">
      <alignment horizontal="center" vertical="center"/>
    </xf>
    <xf numFmtId="165" fontId="39" fillId="0" borderId="2" xfId="0" applyNumberFormat="1" applyFont="1" applyFill="1" applyBorder="1" applyAlignment="1">
      <alignment horizontal="left" vertical="center"/>
    </xf>
    <xf numFmtId="184" fontId="23" fillId="0" borderId="0" xfId="0" applyNumberFormat="1" applyFont="1"/>
    <xf numFmtId="9" fontId="23" fillId="0" borderId="0" xfId="0" applyNumberFormat="1" applyFont="1"/>
    <xf numFmtId="0" fontId="25" fillId="13" borderId="23" xfId="3" applyFont="1" applyFill="1" applyBorder="1"/>
    <xf numFmtId="0" fontId="25" fillId="13" borderId="25" xfId="0" applyFont="1" applyFill="1" applyBorder="1"/>
    <xf numFmtId="0" fontId="25" fillId="13" borderId="27" xfId="0" applyFont="1" applyFill="1" applyBorder="1"/>
    <xf numFmtId="0" fontId="25" fillId="0" borderId="0" xfId="0" applyFont="1" applyAlignment="1">
      <alignment vertical="center"/>
    </xf>
    <xf numFmtId="0" fontId="25" fillId="19" borderId="0" xfId="0" applyFont="1" applyFill="1"/>
    <xf numFmtId="170" fontId="37" fillId="0" borderId="0" xfId="1" applyNumberFormat="1" applyFont="1" applyFill="1" applyBorder="1" applyAlignment="1">
      <alignment horizontal="center" vertical="center"/>
    </xf>
    <xf numFmtId="176" fontId="38" fillId="0" borderId="0" xfId="0" applyNumberFormat="1" applyFont="1" applyFill="1" applyBorder="1" applyAlignment="1">
      <alignment horizontal="center" vertical="center"/>
    </xf>
    <xf numFmtId="0" fontId="23" fillId="0" borderId="11" xfId="0" applyFont="1" applyBorder="1"/>
    <xf numFmtId="165" fontId="39" fillId="0" borderId="0" xfId="0" applyNumberFormat="1" applyFont="1" applyFill="1" applyBorder="1" applyAlignment="1">
      <alignment horizontal="center" vertical="center"/>
    </xf>
    <xf numFmtId="176" fontId="23" fillId="0" borderId="11" xfId="0" applyNumberFormat="1" applyFont="1" applyBorder="1" applyAlignment="1">
      <alignment horizontal="center"/>
    </xf>
    <xf numFmtId="185" fontId="38" fillId="0" borderId="2" xfId="0" applyNumberFormat="1" applyFont="1" applyFill="1" applyBorder="1" applyAlignment="1">
      <alignment horizontal="center" vertical="center"/>
    </xf>
    <xf numFmtId="185" fontId="38" fillId="0" borderId="11" xfId="0" applyNumberFormat="1" applyFont="1" applyFill="1" applyBorder="1" applyAlignment="1">
      <alignment horizontal="center" vertical="center"/>
    </xf>
    <xf numFmtId="9" fontId="23" fillId="13" borderId="24" xfId="0" applyNumberFormat="1" applyFont="1" applyFill="1" applyBorder="1" applyAlignment="1">
      <alignment horizontal="center"/>
    </xf>
    <xf numFmtId="185" fontId="23" fillId="13" borderId="26" xfId="0" applyNumberFormat="1" applyFont="1" applyFill="1" applyBorder="1" applyAlignment="1">
      <alignment horizontal="center"/>
    </xf>
    <xf numFmtId="185" fontId="23" fillId="13" borderId="28" xfId="0" applyNumberFormat="1" applyFont="1" applyFill="1" applyBorder="1" applyAlignment="1">
      <alignment horizontal="center"/>
    </xf>
    <xf numFmtId="9" fontId="25" fillId="13" borderId="24" xfId="0" applyNumberFormat="1" applyFont="1" applyFill="1" applyBorder="1" applyAlignment="1">
      <alignment horizontal="center"/>
    </xf>
    <xf numFmtId="185" fontId="25" fillId="13" borderId="26" xfId="0" applyNumberFormat="1" applyFont="1" applyFill="1" applyBorder="1" applyAlignment="1">
      <alignment horizontal="center"/>
    </xf>
    <xf numFmtId="185" fontId="25" fillId="13" borderId="28" xfId="0" applyNumberFormat="1" applyFont="1" applyFill="1" applyBorder="1" applyAlignment="1">
      <alignment horizontal="center"/>
    </xf>
    <xf numFmtId="15" fontId="25" fillId="19" borderId="29" xfId="0" applyNumberFormat="1" applyFont="1" applyFill="1" applyBorder="1"/>
    <xf numFmtId="9" fontId="38" fillId="0" borderId="2" xfId="0" applyNumberFormat="1" applyFont="1" applyFill="1" applyBorder="1" applyAlignment="1">
      <alignment horizontal="center" vertical="center"/>
    </xf>
    <xf numFmtId="170" fontId="38" fillId="0" borderId="2" xfId="0" applyNumberFormat="1" applyFont="1" applyFill="1" applyBorder="1" applyAlignment="1">
      <alignment horizontal="center" vertical="center"/>
    </xf>
    <xf numFmtId="0" fontId="25" fillId="10" borderId="0" xfId="0" applyFont="1" applyFill="1"/>
    <xf numFmtId="0" fontId="25" fillId="10" borderId="0" xfId="0" applyFont="1" applyFill="1" applyAlignment="1">
      <alignment horizontal="center"/>
    </xf>
    <xf numFmtId="0" fontId="23" fillId="10" borderId="0" xfId="0" applyFont="1" applyFill="1"/>
    <xf numFmtId="0" fontId="40" fillId="0" borderId="0" xfId="0" applyFont="1"/>
    <xf numFmtId="0" fontId="25" fillId="0" borderId="0" xfId="0" applyFont="1" applyFill="1"/>
    <xf numFmtId="15" fontId="25" fillId="0" borderId="0" xfId="0" applyNumberFormat="1" applyFont="1" applyFill="1" applyBorder="1"/>
    <xf numFmtId="0" fontId="23" fillId="0" borderId="0" xfId="0" applyFont="1" applyFill="1"/>
    <xf numFmtId="9" fontId="41" fillId="13" borderId="24" xfId="0" applyNumberFormat="1" applyFont="1" applyFill="1" applyBorder="1" applyAlignment="1">
      <alignment horizontal="center"/>
    </xf>
    <xf numFmtId="0" fontId="19" fillId="0" borderId="0" xfId="3" applyFont="1" applyFill="1" applyAlignment="1">
      <alignment horizontal="center" vertical="center" wrapText="1"/>
    </xf>
    <xf numFmtId="165" fontId="17" fillId="0" borderId="0" xfId="4" applyNumberFormat="1" applyFont="1" applyFill="1" applyAlignment="1">
      <alignment horizontal="center"/>
    </xf>
    <xf numFmtId="0" fontId="42" fillId="0" borderId="0" xfId="0" applyFont="1"/>
    <xf numFmtId="0" fontId="17" fillId="0" borderId="0" xfId="0" applyFont="1" applyFill="1" applyAlignment="1">
      <alignment horizontal="center"/>
    </xf>
    <xf numFmtId="165" fontId="36" fillId="0" borderId="0" xfId="0" applyNumberFormat="1" applyFont="1" applyFill="1" applyBorder="1" applyAlignment="1">
      <alignment horizontal="left" vertical="center"/>
    </xf>
    <xf numFmtId="0" fontId="17" fillId="15" borderId="0" xfId="3" applyFont="1" applyFill="1"/>
    <xf numFmtId="0" fontId="17" fillId="15" borderId="0" xfId="3" applyFont="1" applyFill="1" applyAlignment="1">
      <alignment horizontal="center"/>
    </xf>
    <xf numFmtId="14" fontId="17" fillId="15" borderId="0" xfId="3" applyNumberFormat="1" applyFont="1" applyFill="1" applyAlignment="1">
      <alignment horizontal="center"/>
    </xf>
    <xf numFmtId="176" fontId="17" fillId="15" borderId="0" xfId="4" applyNumberFormat="1" applyFont="1" applyFill="1" applyAlignment="1">
      <alignment horizontal="center"/>
    </xf>
    <xf numFmtId="0" fontId="17" fillId="5" borderId="0" xfId="3" applyFont="1" applyFill="1"/>
    <xf numFmtId="0" fontId="17" fillId="5" borderId="0" xfId="3" applyFont="1" applyFill="1" applyAlignment="1">
      <alignment horizontal="center"/>
    </xf>
    <xf numFmtId="14" fontId="17" fillId="5" borderId="0" xfId="3" applyNumberFormat="1" applyFont="1" applyFill="1" applyAlignment="1">
      <alignment horizontal="center"/>
    </xf>
    <xf numFmtId="176" fontId="17" fillId="5" borderId="0" xfId="4" applyNumberFormat="1" applyFont="1" applyFill="1" applyAlignment="1">
      <alignment horizontal="center"/>
    </xf>
    <xf numFmtId="182" fontId="17" fillId="6" borderId="0" xfId="3" applyNumberFormat="1" applyFont="1" applyFill="1" applyAlignment="1">
      <alignment horizontal="center"/>
    </xf>
    <xf numFmtId="0" fontId="19" fillId="7" borderId="0" xfId="0" applyFont="1" applyFill="1"/>
    <xf numFmtId="0" fontId="19" fillId="7" borderId="0" xfId="0" applyFont="1" applyFill="1" applyAlignment="1">
      <alignment horizontal="center"/>
    </xf>
    <xf numFmtId="0" fontId="17" fillId="0" borderId="11" xfId="0" applyFont="1" applyBorder="1"/>
    <xf numFmtId="176" fontId="17" fillId="0" borderId="11" xfId="0" applyNumberFormat="1" applyFont="1" applyBorder="1" applyAlignment="1">
      <alignment horizontal="center"/>
    </xf>
    <xf numFmtId="0" fontId="18" fillId="0" borderId="5" xfId="0" applyFont="1" applyBorder="1"/>
    <xf numFmtId="0" fontId="16" fillId="0" borderId="3" xfId="0" applyFont="1" applyBorder="1"/>
    <xf numFmtId="0" fontId="16" fillId="0" borderId="0" xfId="0" applyFont="1" applyBorder="1" applyAlignment="1">
      <alignment horizontal="center"/>
    </xf>
    <xf numFmtId="177" fontId="24" fillId="7" borderId="0" xfId="3" applyNumberFormat="1" applyFont="1" applyFill="1" applyBorder="1" applyAlignment="1">
      <alignment horizontal="center" vertical="center" wrapText="1"/>
    </xf>
    <xf numFmtId="0" fontId="24" fillId="7" borderId="0" xfId="3" applyFont="1" applyFill="1" applyBorder="1" applyAlignment="1">
      <alignment horizontal="center" vertical="center" wrapText="1"/>
    </xf>
    <xf numFmtId="0" fontId="18" fillId="0" borderId="9" xfId="0" applyFont="1" applyBorder="1"/>
    <xf numFmtId="0" fontId="18" fillId="0" borderId="4" xfId="0" applyFont="1" applyBorder="1"/>
    <xf numFmtId="0" fontId="18" fillId="0" borderId="10" xfId="0" applyFont="1" applyBorder="1"/>
    <xf numFmtId="0" fontId="16" fillId="0" borderId="4" xfId="0" applyFont="1" applyBorder="1"/>
    <xf numFmtId="0" fontId="16" fillId="0" borderId="0" xfId="0" applyFont="1" applyBorder="1" applyAlignment="1">
      <alignment horizontal="left"/>
    </xf>
    <xf numFmtId="1" fontId="23" fillId="0" borderId="11" xfId="0" applyNumberFormat="1" applyFont="1" applyBorder="1" applyAlignment="1">
      <alignment horizontal="center"/>
    </xf>
    <xf numFmtId="1" fontId="16" fillId="0" borderId="0" xfId="0" applyNumberFormat="1" applyFont="1" applyBorder="1" applyAlignment="1">
      <alignment horizontal="center"/>
    </xf>
    <xf numFmtId="0" fontId="34" fillId="0" borderId="0" xfId="0" applyFont="1"/>
    <xf numFmtId="0" fontId="43" fillId="0" borderId="0" xfId="0" applyFont="1" applyAlignment="1">
      <alignment horizontal="center"/>
    </xf>
    <xf numFmtId="165" fontId="16" fillId="0" borderId="0" xfId="0" applyNumberFormat="1" applyFont="1" applyBorder="1"/>
    <xf numFmtId="170" fontId="17" fillId="0" borderId="0" xfId="0" applyNumberFormat="1" applyFont="1" applyAlignment="1">
      <alignment horizontal="center"/>
    </xf>
    <xf numFmtId="186" fontId="16" fillId="0" borderId="0" xfId="0" applyNumberFormat="1" applyFont="1" applyBorder="1"/>
    <xf numFmtId="170" fontId="16" fillId="0" borderId="0" xfId="0" applyNumberFormat="1" applyFont="1" applyBorder="1"/>
    <xf numFmtId="169" fontId="16" fillId="0" borderId="0" xfId="0" applyNumberFormat="1" applyFont="1" applyBorder="1"/>
    <xf numFmtId="185" fontId="38" fillId="9" borderId="11" xfId="0" applyNumberFormat="1" applyFont="1" applyFill="1" applyBorder="1" applyAlignment="1">
      <alignment horizontal="center" vertical="center"/>
    </xf>
    <xf numFmtId="177" fontId="24" fillId="0" borderId="0" xfId="3" applyNumberFormat="1" applyFont="1" applyFill="1" applyAlignment="1">
      <alignment horizontal="center" vertical="center" wrapText="1"/>
    </xf>
    <xf numFmtId="165" fontId="14" fillId="10" borderId="11" xfId="0" applyNumberFormat="1" applyFont="1" applyFill="1" applyBorder="1" applyAlignment="1">
      <alignment horizontal="left" vertical="center"/>
    </xf>
    <xf numFmtId="165" fontId="13" fillId="10" borderId="11" xfId="0" applyNumberFormat="1" applyFont="1" applyFill="1" applyBorder="1" applyAlignment="1">
      <alignment horizontal="center" vertical="center"/>
    </xf>
    <xf numFmtId="176" fontId="14" fillId="10" borderId="11" xfId="0" applyNumberFormat="1" applyFont="1" applyFill="1" applyBorder="1" applyAlignment="1">
      <alignment horizontal="center" vertical="center"/>
    </xf>
    <xf numFmtId="0" fontId="24" fillId="7" borderId="0" xfId="3" applyFont="1" applyFill="1" applyBorder="1" applyAlignment="1">
      <alignment horizontal="left" vertical="center"/>
    </xf>
    <xf numFmtId="0" fontId="24" fillId="7" borderId="0" xfId="3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left"/>
    </xf>
    <xf numFmtId="0" fontId="16" fillId="10" borderId="0" xfId="0" applyFont="1" applyFill="1" applyBorder="1"/>
    <xf numFmtId="0" fontId="18" fillId="0" borderId="7" xfId="0" applyFont="1" applyBorder="1"/>
    <xf numFmtId="0" fontId="18" fillId="0" borderId="8" xfId="0" applyFont="1" applyBorder="1"/>
    <xf numFmtId="0" fontId="44" fillId="19" borderId="0" xfId="0" applyFont="1" applyFill="1" applyAlignment="1">
      <alignment horizontal="left"/>
    </xf>
    <xf numFmtId="0" fontId="16" fillId="19" borderId="0" xfId="0" applyFont="1" applyFill="1"/>
    <xf numFmtId="0" fontId="16" fillId="0" borderId="0" xfId="0" applyFont="1" applyFill="1" applyAlignment="1">
      <alignment horizontal="center"/>
    </xf>
    <xf numFmtId="169" fontId="16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169" fontId="16" fillId="0" borderId="3" xfId="0" applyNumberFormat="1" applyFont="1" applyBorder="1" applyAlignment="1">
      <alignment horizontal="center"/>
    </xf>
    <xf numFmtId="0" fontId="16" fillId="0" borderId="0" xfId="0" applyFont="1" applyFill="1" applyBorder="1"/>
    <xf numFmtId="0" fontId="16" fillId="19" borderId="0" xfId="0" applyFont="1" applyFill="1" applyAlignment="1">
      <alignment horizontal="center"/>
    </xf>
    <xf numFmtId="0" fontId="17" fillId="20" borderId="0" xfId="0" applyFont="1" applyFill="1"/>
    <xf numFmtId="1" fontId="45" fillId="0" borderId="0" xfId="0" applyNumberFormat="1" applyFont="1" applyFill="1" applyAlignment="1">
      <alignment horizontal="center"/>
    </xf>
    <xf numFmtId="1" fontId="46" fillId="0" borderId="0" xfId="0" applyNumberFormat="1" applyFont="1" applyAlignment="1">
      <alignment horizontal="center"/>
    </xf>
    <xf numFmtId="1" fontId="47" fillId="0" borderId="0" xfId="0" applyNumberFormat="1" applyFont="1" applyAlignment="1">
      <alignment horizontal="center"/>
    </xf>
    <xf numFmtId="1" fontId="47" fillId="0" borderId="0" xfId="3" applyNumberFormat="1" applyFont="1" applyFill="1" applyAlignment="1">
      <alignment horizontal="center" vertical="center" wrapText="1"/>
    </xf>
    <xf numFmtId="1" fontId="47" fillId="0" borderId="2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49" fontId="21" fillId="13" borderId="2" xfId="1" applyNumberFormat="1" applyFont="1" applyFill="1" applyBorder="1" applyAlignment="1">
      <alignment horizontal="center" vertical="center"/>
    </xf>
    <xf numFmtId="49" fontId="48" fillId="3" borderId="1" xfId="1" applyNumberFormat="1" applyFont="1" applyFill="1" applyBorder="1" applyAlignment="1">
      <alignment horizontal="center" vertical="center"/>
    </xf>
    <xf numFmtId="170" fontId="49" fillId="0" borderId="0" xfId="1" applyNumberFormat="1" applyFont="1" applyFill="1" applyBorder="1" applyAlignment="1">
      <alignment horizontal="center" vertical="center"/>
    </xf>
    <xf numFmtId="170" fontId="21" fillId="0" borderId="2" xfId="1" applyNumberFormat="1" applyFont="1" applyFill="1" applyBorder="1" applyAlignment="1">
      <alignment horizontal="center" vertical="center"/>
    </xf>
    <xf numFmtId="170" fontId="48" fillId="3" borderId="1" xfId="1" applyNumberFormat="1" applyFont="1" applyFill="1" applyBorder="1" applyAlignment="1">
      <alignment horizontal="center" vertical="center"/>
    </xf>
    <xf numFmtId="170" fontId="48" fillId="0" borderId="2" xfId="1" applyNumberFormat="1" applyFont="1" applyFill="1" applyBorder="1" applyAlignment="1">
      <alignment horizontal="center" vertical="center"/>
    </xf>
    <xf numFmtId="170" fontId="13" fillId="0" borderId="30" xfId="1" applyNumberFormat="1" applyFont="1" applyFill="1" applyBorder="1" applyAlignment="1">
      <alignment horizontal="center" vertical="center"/>
    </xf>
    <xf numFmtId="175" fontId="13" fillId="0" borderId="31" xfId="0" applyNumberFormat="1" applyFont="1" applyFill="1" applyBorder="1" applyAlignment="1">
      <alignment horizontal="center" vertical="center"/>
    </xf>
    <xf numFmtId="0" fontId="16" fillId="16" borderId="31" xfId="0" applyFont="1" applyFill="1" applyBorder="1"/>
    <xf numFmtId="175" fontId="13" fillId="17" borderId="31" xfId="0" applyNumberFormat="1" applyFont="1" applyFill="1" applyBorder="1" applyAlignment="1">
      <alignment horizontal="center" vertical="center"/>
    </xf>
    <xf numFmtId="175" fontId="13" fillId="10" borderId="31" xfId="0" applyNumberFormat="1" applyFont="1" applyFill="1" applyBorder="1" applyAlignment="1">
      <alignment horizontal="center" vertical="center"/>
    </xf>
    <xf numFmtId="175" fontId="13" fillId="16" borderId="31" xfId="0" applyNumberFormat="1" applyFont="1" applyFill="1" applyBorder="1" applyAlignment="1">
      <alignment horizontal="center" vertical="center"/>
    </xf>
    <xf numFmtId="175" fontId="13" fillId="21" borderId="31" xfId="0" applyNumberFormat="1" applyFont="1" applyFill="1" applyBorder="1" applyAlignment="1">
      <alignment horizontal="center" vertical="center"/>
    </xf>
    <xf numFmtId="0" fontId="16" fillId="0" borderId="31" xfId="0" applyFont="1" applyFill="1" applyBorder="1"/>
    <xf numFmtId="0" fontId="16" fillId="22" borderId="31" xfId="0" applyFont="1" applyFill="1" applyBorder="1"/>
    <xf numFmtId="15" fontId="25" fillId="19" borderId="0" xfId="0" applyNumberFormat="1" applyFont="1" applyFill="1" applyBorder="1"/>
    <xf numFmtId="0" fontId="23" fillId="0" borderId="0" xfId="0" applyFont="1" applyAlignment="1">
      <alignment vertical="center"/>
    </xf>
    <xf numFmtId="1" fontId="17" fillId="6" borderId="0" xfId="3" applyNumberFormat="1" applyFont="1" applyFill="1" applyAlignment="1">
      <alignment horizontal="center"/>
    </xf>
    <xf numFmtId="1" fontId="17" fillId="11" borderId="0" xfId="3" applyNumberFormat="1" applyFont="1" applyFill="1" applyAlignment="1">
      <alignment horizontal="center"/>
    </xf>
    <xf numFmtId="1" fontId="17" fillId="15" borderId="0" xfId="3" applyNumberFormat="1" applyFont="1" applyFill="1" applyAlignment="1">
      <alignment horizontal="center"/>
    </xf>
    <xf numFmtId="1" fontId="17" fillId="5" borderId="0" xfId="3" applyNumberFormat="1" applyFont="1" applyFill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170" fontId="16" fillId="0" borderId="0" xfId="0" applyNumberFormat="1" applyFont="1" applyBorder="1" applyAlignment="1">
      <alignment horizontal="center"/>
    </xf>
    <xf numFmtId="8" fontId="23" fillId="0" borderId="0" xfId="0" applyNumberFormat="1" applyFont="1"/>
    <xf numFmtId="187" fontId="23" fillId="15" borderId="0" xfId="3" applyNumberFormat="1" applyFont="1" applyFill="1" applyAlignment="1">
      <alignment horizontal="center"/>
    </xf>
    <xf numFmtId="0" fontId="22" fillId="7" borderId="0" xfId="0" applyFont="1" applyFill="1" applyAlignment="1">
      <alignment vertical="center" wrapText="1"/>
    </xf>
    <xf numFmtId="0" fontId="22" fillId="7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/>
    </xf>
    <xf numFmtId="187" fontId="23" fillId="0" borderId="0" xfId="0" applyNumberFormat="1" applyFont="1"/>
    <xf numFmtId="0" fontId="16" fillId="6" borderId="0" xfId="0" applyFont="1" applyFill="1"/>
    <xf numFmtId="0" fontId="18" fillId="6" borderId="0" xfId="0" applyFont="1" applyFill="1"/>
    <xf numFmtId="165" fontId="14" fillId="3" borderId="0" xfId="0" applyNumberFormat="1" applyFont="1" applyFill="1" applyBorder="1" applyAlignment="1">
      <alignment horizontal="center" vertical="center"/>
    </xf>
    <xf numFmtId="170" fontId="33" fillId="3" borderId="0" xfId="1" applyNumberFormat="1" applyFont="1" applyFill="1" applyBorder="1" applyAlignment="1">
      <alignment horizontal="center" vertical="center"/>
    </xf>
    <xf numFmtId="176" fontId="14" fillId="3" borderId="0" xfId="0" applyNumberFormat="1" applyFont="1" applyFill="1" applyBorder="1" applyAlignment="1">
      <alignment horizontal="center" vertical="center"/>
    </xf>
    <xf numFmtId="175" fontId="14" fillId="3" borderId="0" xfId="0" applyNumberFormat="1" applyFont="1" applyFill="1" applyBorder="1" applyAlignment="1">
      <alignment horizontal="center" vertical="center"/>
    </xf>
    <xf numFmtId="170" fontId="14" fillId="3" borderId="0" xfId="1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5" fontId="14" fillId="0" borderId="0" xfId="0" applyNumberFormat="1" applyFont="1" applyFill="1" applyBorder="1" applyAlignment="1">
      <alignment horizontal="center" vertical="center"/>
    </xf>
    <xf numFmtId="165" fontId="14" fillId="3" borderId="0" xfId="0" applyNumberFormat="1" applyFont="1" applyFill="1" applyBorder="1" applyAlignment="1">
      <alignment horizontal="left" vertical="center"/>
    </xf>
    <xf numFmtId="0" fontId="18" fillId="19" borderId="0" xfId="0" applyFont="1" applyFill="1"/>
    <xf numFmtId="15" fontId="18" fillId="19" borderId="29" xfId="0" applyNumberFormat="1" applyFont="1" applyFill="1" applyBorder="1"/>
    <xf numFmtId="0" fontId="13" fillId="0" borderId="7" xfId="0" applyFont="1" applyFill="1" applyBorder="1"/>
    <xf numFmtId="0" fontId="13" fillId="0" borderId="8" xfId="0" applyFont="1" applyFill="1" applyBorder="1"/>
    <xf numFmtId="0" fontId="13" fillId="0" borderId="0" xfId="0" applyFont="1" applyFill="1"/>
    <xf numFmtId="0" fontId="18" fillId="10" borderId="0" xfId="0" applyFont="1" applyFill="1"/>
    <xf numFmtId="0" fontId="16" fillId="0" borderId="0" xfId="0" applyFont="1" applyFill="1" applyAlignment="1">
      <alignment horizontal="left"/>
    </xf>
    <xf numFmtId="178" fontId="16" fillId="0" borderId="0" xfId="0" applyNumberFormat="1" applyFont="1" applyAlignment="1">
      <alignment horizontal="center"/>
    </xf>
    <xf numFmtId="0" fontId="18" fillId="0" borderId="0" xfId="0" applyFont="1" applyFill="1" applyAlignment="1">
      <alignment horizontal="left"/>
    </xf>
    <xf numFmtId="14" fontId="17" fillId="15" borderId="0" xfId="3" applyNumberFormat="1" applyFont="1" applyFill="1"/>
    <xf numFmtId="170" fontId="39" fillId="9" borderId="11" xfId="0" applyNumberFormat="1" applyFont="1" applyFill="1" applyBorder="1" applyAlignment="1">
      <alignment horizontal="center" vertical="center"/>
    </xf>
    <xf numFmtId="170" fontId="18" fillId="0" borderId="0" xfId="0" applyNumberFormat="1" applyFont="1" applyBorder="1"/>
    <xf numFmtId="170" fontId="18" fillId="0" borderId="4" xfId="0" applyNumberFormat="1" applyFont="1" applyBorder="1"/>
    <xf numFmtId="170" fontId="18" fillId="0" borderId="0" xfId="0" applyNumberFormat="1" applyFont="1"/>
    <xf numFmtId="170" fontId="18" fillId="0" borderId="3" xfId="0" applyNumberFormat="1" applyFont="1" applyBorder="1"/>
    <xf numFmtId="170" fontId="24" fillId="7" borderId="0" xfId="3" applyNumberFormat="1" applyFont="1" applyFill="1" applyBorder="1" applyAlignment="1">
      <alignment horizontal="center" vertical="center" wrapText="1"/>
    </xf>
    <xf numFmtId="170" fontId="16" fillId="0" borderId="0" xfId="0" applyNumberFormat="1" applyFont="1"/>
    <xf numFmtId="170" fontId="16" fillId="0" borderId="4" xfId="0" applyNumberFormat="1" applyFont="1" applyBorder="1"/>
    <xf numFmtId="0" fontId="42" fillId="0" borderId="0" xfId="0" applyFont="1" applyBorder="1" applyAlignment="1">
      <alignment horizontal="center"/>
    </xf>
    <xf numFmtId="170" fontId="38" fillId="0" borderId="11" xfId="0" applyNumberFormat="1" applyFont="1" applyFill="1" applyBorder="1" applyAlignment="1">
      <alignment horizontal="center" vertical="center"/>
    </xf>
    <xf numFmtId="0" fontId="50" fillId="0" borderId="4" xfId="0" applyFont="1" applyBorder="1"/>
    <xf numFmtId="0" fontId="51" fillId="0" borderId="0" xfId="0" applyFont="1"/>
    <xf numFmtId="4" fontId="51" fillId="0" borderId="0" xfId="0" applyNumberFormat="1" applyFont="1"/>
    <xf numFmtId="165" fontId="14" fillId="0" borderId="2" xfId="0" applyNumberFormat="1" applyFont="1" applyFill="1" applyBorder="1" applyAlignment="1">
      <alignment horizontal="center" vertical="center"/>
    </xf>
    <xf numFmtId="0" fontId="52" fillId="0" borderId="29" xfId="0" applyFont="1" applyBorder="1" applyAlignment="1">
      <alignment vertical="center"/>
    </xf>
    <xf numFmtId="0" fontId="52" fillId="0" borderId="32" xfId="0" applyFont="1" applyBorder="1" applyAlignment="1">
      <alignment vertical="center" wrapText="1"/>
    </xf>
    <xf numFmtId="0" fontId="54" fillId="0" borderId="8" xfId="0" applyFont="1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177" fontId="23" fillId="15" borderId="0" xfId="3" applyNumberFormat="1" applyFont="1" applyFill="1" applyAlignment="1">
      <alignment horizontal="center"/>
    </xf>
    <xf numFmtId="177" fontId="23" fillId="5" borderId="0" xfId="3" applyNumberFormat="1" applyFont="1" applyFill="1" applyAlignment="1">
      <alignment horizontal="center"/>
    </xf>
    <xf numFmtId="4" fontId="14" fillId="0" borderId="0" xfId="0" applyNumberFormat="1" applyFont="1" applyFill="1" applyBorder="1" applyAlignment="1">
      <alignment horizontal="center" vertical="center"/>
    </xf>
    <xf numFmtId="0" fontId="18" fillId="16" borderId="0" xfId="0" applyFont="1" applyFill="1"/>
    <xf numFmtId="15" fontId="18" fillId="16" borderId="0" xfId="0" applyNumberFormat="1" applyFont="1" applyFill="1" applyAlignment="1">
      <alignment horizontal="center"/>
    </xf>
    <xf numFmtId="0" fontId="18" fillId="16" borderId="0" xfId="0" applyFont="1" applyFill="1" applyAlignment="1">
      <alignment horizontal="center"/>
    </xf>
    <xf numFmtId="0" fontId="18" fillId="16" borderId="0" xfId="0" applyFont="1" applyFill="1" applyAlignment="1">
      <alignment horizontal="left" indent="1"/>
    </xf>
    <xf numFmtId="0" fontId="2" fillId="2" borderId="0" xfId="0" applyFont="1" applyFill="1" applyBorder="1" applyAlignment="1">
      <alignment horizontal="left" vertical="center" wrapText="1" indent="1"/>
    </xf>
    <xf numFmtId="165" fontId="14" fillId="10" borderId="0" xfId="0" applyNumberFormat="1" applyFont="1" applyFill="1" applyBorder="1" applyAlignment="1">
      <alignment horizontal="center" vertical="center"/>
    </xf>
    <xf numFmtId="165" fontId="14" fillId="10" borderId="0" xfId="0" applyNumberFormat="1" applyFont="1" applyFill="1" applyBorder="1" applyAlignment="1">
      <alignment horizontal="left" vertical="center" indent="1"/>
    </xf>
    <xf numFmtId="165" fontId="15" fillId="0" borderId="0" xfId="0" applyNumberFormat="1" applyFont="1" applyFill="1" applyBorder="1" applyAlignment="1">
      <alignment horizontal="left" vertical="center"/>
    </xf>
    <xf numFmtId="165" fontId="15" fillId="0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center" vertical="center"/>
    </xf>
    <xf numFmtId="165" fontId="15" fillId="0" borderId="0" xfId="0" applyNumberFormat="1" applyFont="1" applyFill="1" applyBorder="1" applyAlignment="1">
      <alignment horizontal="left" vertical="center" indent="1"/>
    </xf>
    <xf numFmtId="165" fontId="13" fillId="0" borderId="0" xfId="0" applyNumberFormat="1" applyFont="1" applyFill="1" applyBorder="1" applyAlignment="1">
      <alignment horizontal="left" vertical="center" indent="1"/>
    </xf>
    <xf numFmtId="165" fontId="14" fillId="14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left" vertical="center" indent="1"/>
    </xf>
    <xf numFmtId="165" fontId="14" fillId="0" borderId="0" xfId="0" applyNumberFormat="1" applyFont="1" applyFill="1" applyBorder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52" fillId="0" borderId="37" xfId="0" applyFont="1" applyBorder="1" applyAlignment="1">
      <alignment vertical="center" wrapText="1"/>
    </xf>
    <xf numFmtId="0" fontId="52" fillId="0" borderId="36" xfId="0" applyFont="1" applyFill="1" applyBorder="1" applyAlignment="1">
      <alignment vertical="center"/>
    </xf>
    <xf numFmtId="0" fontId="54" fillId="0" borderId="0" xfId="0" applyFont="1" applyBorder="1" applyAlignment="1">
      <alignment horizontal="left" vertical="center" wrapText="1"/>
    </xf>
    <xf numFmtId="0" fontId="54" fillId="0" borderId="36" xfId="0" applyFont="1" applyFill="1" applyBorder="1" applyAlignment="1">
      <alignment horizontal="center" vertical="center"/>
    </xf>
    <xf numFmtId="0" fontId="54" fillId="23" borderId="8" xfId="0" applyFont="1" applyFill="1" applyBorder="1" applyAlignment="1">
      <alignment horizontal="left" vertical="center" wrapText="1"/>
    </xf>
    <xf numFmtId="0" fontId="54" fillId="0" borderId="10" xfId="0" applyFont="1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0" borderId="36" xfId="0" applyBorder="1"/>
    <xf numFmtId="0" fontId="0" fillId="0" borderId="8" xfId="0" applyBorder="1" applyAlignment="1">
      <alignment vertical="top" wrapText="1"/>
    </xf>
    <xf numFmtId="0" fontId="54" fillId="0" borderId="8" xfId="0" applyFont="1" applyBorder="1" applyAlignment="1">
      <alignment vertical="center" wrapText="1"/>
    </xf>
    <xf numFmtId="0" fontId="54" fillId="0" borderId="4" xfId="0" applyFont="1" applyBorder="1" applyAlignment="1">
      <alignment vertical="center" wrapText="1"/>
    </xf>
    <xf numFmtId="0" fontId="0" fillId="0" borderId="36" xfId="0" applyBorder="1" applyAlignment="1">
      <alignment horizontal="center" vertical="top"/>
    </xf>
    <xf numFmtId="0" fontId="18" fillId="0" borderId="0" xfId="0" applyFont="1" applyBorder="1" applyAlignment="1">
      <alignment horizontal="left"/>
    </xf>
    <xf numFmtId="189" fontId="57" fillId="0" borderId="0" xfId="0" applyNumberFormat="1" applyFont="1" applyFill="1" applyBorder="1" applyAlignment="1">
      <alignment horizontal="center" vertical="center"/>
    </xf>
    <xf numFmtId="189" fontId="57" fillId="0" borderId="2" xfId="0" applyNumberFormat="1" applyFont="1" applyFill="1" applyBorder="1" applyAlignment="1">
      <alignment horizontal="center" vertical="center"/>
    </xf>
    <xf numFmtId="189" fontId="57" fillId="18" borderId="1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8" fillId="2" borderId="3" xfId="0" applyFont="1" applyFill="1" applyBorder="1" applyAlignment="1">
      <alignment horizontal="centerContinuous" vertical="center"/>
    </xf>
    <xf numFmtId="0" fontId="5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18" fillId="24" borderId="0" xfId="0" applyFont="1" applyFill="1" applyAlignment="1">
      <alignment vertical="center"/>
    </xf>
    <xf numFmtId="0" fontId="18" fillId="24" borderId="0" xfId="0" applyFont="1" applyFill="1" applyAlignment="1">
      <alignment horizontal="left" vertical="center"/>
    </xf>
    <xf numFmtId="0" fontId="57" fillId="24" borderId="0" xfId="0" applyFont="1" applyFill="1" applyAlignment="1">
      <alignment horizontal="center" vertical="center"/>
    </xf>
    <xf numFmtId="165" fontId="57" fillId="0" borderId="0" xfId="0" applyNumberFormat="1" applyFont="1" applyFill="1" applyBorder="1" applyAlignment="1">
      <alignment horizontal="left" vertical="center"/>
    </xf>
    <xf numFmtId="170" fontId="31" fillId="0" borderId="0" xfId="1" applyNumberFormat="1" applyFont="1" applyFill="1" applyBorder="1" applyAlignment="1">
      <alignment horizontal="center" vertical="center"/>
    </xf>
    <xf numFmtId="190" fontId="23" fillId="6" borderId="0" xfId="3" applyNumberFormat="1" applyFont="1" applyFill="1" applyAlignment="1">
      <alignment horizontal="center"/>
    </xf>
    <xf numFmtId="190" fontId="23" fillId="5" borderId="0" xfId="4" applyNumberFormat="1" applyFont="1" applyFill="1" applyAlignment="1">
      <alignment horizontal="center"/>
    </xf>
    <xf numFmtId="191" fontId="23" fillId="6" borderId="0" xfId="3" applyNumberFormat="1" applyFont="1" applyFill="1" applyAlignment="1">
      <alignment horizontal="center"/>
    </xf>
    <xf numFmtId="170" fontId="23" fillId="0" borderId="0" xfId="0" applyNumberFormat="1" applyFont="1"/>
    <xf numFmtId="177" fontId="17" fillId="5" borderId="0" xfId="3" applyNumberFormat="1" applyFont="1" applyFill="1" applyAlignment="1">
      <alignment horizontal="center"/>
    </xf>
    <xf numFmtId="177" fontId="17" fillId="15" borderId="0" xfId="3" applyNumberFormat="1" applyFont="1" applyFill="1" applyAlignment="1">
      <alignment horizontal="center"/>
    </xf>
    <xf numFmtId="177" fontId="17" fillId="0" borderId="0" xfId="0" applyNumberFormat="1" applyFont="1"/>
    <xf numFmtId="0" fontId="60" fillId="0" borderId="9" xfId="0" applyFont="1" applyBorder="1"/>
    <xf numFmtId="0" fontId="61" fillId="0" borderId="4" xfId="0" applyFont="1" applyBorder="1" applyAlignment="1">
      <alignment horizontal="left"/>
    </xf>
    <xf numFmtId="0" fontId="60" fillId="0" borderId="4" xfId="0" applyFont="1" applyBorder="1" applyAlignment="1">
      <alignment horizontal="center"/>
    </xf>
    <xf numFmtId="170" fontId="60" fillId="0" borderId="4" xfId="0" applyNumberFormat="1" applyFont="1" applyBorder="1" applyAlignment="1">
      <alignment horizontal="center"/>
    </xf>
    <xf numFmtId="4" fontId="60" fillId="0" borderId="4" xfId="0" applyNumberFormat="1" applyFont="1" applyBorder="1" applyAlignment="1">
      <alignment horizontal="center"/>
    </xf>
    <xf numFmtId="169" fontId="60" fillId="0" borderId="4" xfId="0" applyNumberFormat="1" applyFont="1" applyBorder="1" applyAlignment="1">
      <alignment horizontal="center"/>
    </xf>
    <xf numFmtId="0" fontId="60" fillId="0" borderId="10" xfId="0" applyFont="1" applyBorder="1"/>
    <xf numFmtId="0" fontId="60" fillId="0" borderId="0" xfId="0" applyFont="1"/>
    <xf numFmtId="0" fontId="55" fillId="0" borderId="0" xfId="0" applyFont="1" applyAlignment="1">
      <alignment horizontal="left"/>
    </xf>
    <xf numFmtId="0" fontId="19" fillId="12" borderId="0" xfId="3" applyFont="1" applyFill="1" applyAlignment="1">
      <alignment vertical="center" wrapText="1"/>
    </xf>
    <xf numFmtId="177" fontId="19" fillId="12" borderId="0" xfId="3" applyNumberFormat="1" applyFont="1" applyFill="1" applyAlignment="1">
      <alignment horizontal="center" vertical="center" wrapText="1"/>
    </xf>
    <xf numFmtId="0" fontId="19" fillId="12" borderId="0" xfId="3" applyFont="1" applyFill="1" applyAlignment="1">
      <alignment horizontal="center" vertical="center" wrapText="1"/>
    </xf>
    <xf numFmtId="0" fontId="19" fillId="7" borderId="0" xfId="3" applyFont="1" applyFill="1" applyAlignment="1">
      <alignment horizontal="left" vertical="center" wrapText="1"/>
    </xf>
    <xf numFmtId="0" fontId="44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/>
    </xf>
    <xf numFmtId="168" fontId="17" fillId="0" borderId="0" xfId="0" applyNumberFormat="1" applyFont="1" applyAlignment="1">
      <alignment horizontal="center"/>
    </xf>
    <xf numFmtId="165" fontId="31" fillId="0" borderId="0" xfId="0" applyNumberFormat="1" applyFont="1" applyFill="1" applyBorder="1" applyAlignment="1">
      <alignment horizontal="center" vertical="center"/>
    </xf>
    <xf numFmtId="170" fontId="17" fillId="0" borderId="0" xfId="0" applyNumberFormat="1" applyFont="1"/>
    <xf numFmtId="176" fontId="17" fillId="0" borderId="0" xfId="0" applyNumberFormat="1" applyFont="1"/>
    <xf numFmtId="168" fontId="17" fillId="0" borderId="0" xfId="0" applyNumberFormat="1" applyFont="1"/>
    <xf numFmtId="49" fontId="65" fillId="0" borderId="2" xfId="1" applyNumberFormat="1" applyFont="1" applyFill="1" applyBorder="1" applyAlignment="1">
      <alignment horizontal="center" vertical="center"/>
    </xf>
    <xf numFmtId="49" fontId="66" fillId="0" borderId="2" xfId="1" applyNumberFormat="1" applyFont="1" applyFill="1" applyBorder="1" applyAlignment="1">
      <alignment horizontal="center" vertical="center"/>
    </xf>
    <xf numFmtId="49" fontId="57" fillId="3" borderId="1" xfId="1" applyNumberFormat="1" applyFont="1" applyFill="1" applyBorder="1" applyAlignment="1">
      <alignment horizontal="center" vertical="center"/>
    </xf>
    <xf numFmtId="0" fontId="67" fillId="0" borderId="0" xfId="0" applyFont="1"/>
    <xf numFmtId="0" fontId="42" fillId="0" borderId="0" xfId="0" applyFont="1" applyBorder="1"/>
    <xf numFmtId="17" fontId="68" fillId="7" borderId="0" xfId="0" quotePrefix="1" applyNumberFormat="1" applyFont="1" applyFill="1"/>
    <xf numFmtId="0" fontId="69" fillId="7" borderId="0" xfId="0" applyFont="1" applyFill="1"/>
    <xf numFmtId="0" fontId="70" fillId="0" borderId="0" xfId="0" applyFont="1"/>
    <xf numFmtId="17" fontId="71" fillId="7" borderId="0" xfId="0" quotePrefix="1" applyNumberFormat="1" applyFont="1" applyFill="1"/>
    <xf numFmtId="15" fontId="70" fillId="0" borderId="0" xfId="0" applyNumberFormat="1" applyFont="1"/>
    <xf numFmtId="14" fontId="17" fillId="6" borderId="0" xfId="3" applyNumberFormat="1" applyFont="1" applyFill="1" applyAlignment="1">
      <alignment horizontal="left"/>
    </xf>
    <xf numFmtId="14" fontId="17" fillId="11" borderId="0" xfId="3" applyNumberFormat="1" applyFont="1" applyFill="1" applyAlignment="1">
      <alignment horizontal="left"/>
    </xf>
    <xf numFmtId="0" fontId="17" fillId="15" borderId="0" xfId="3" applyFont="1" applyFill="1" applyAlignment="1">
      <alignment horizontal="left"/>
    </xf>
    <xf numFmtId="165" fontId="72" fillId="3" borderId="0" xfId="0" applyNumberFormat="1" applyFont="1" applyFill="1" applyBorder="1" applyAlignment="1">
      <alignment horizontal="left" vertical="center"/>
    </xf>
    <xf numFmtId="165" fontId="72" fillId="3" borderId="0" xfId="0" applyNumberFormat="1" applyFont="1" applyFill="1" applyBorder="1" applyAlignment="1">
      <alignment horizontal="center" vertical="center"/>
    </xf>
    <xf numFmtId="170" fontId="72" fillId="3" borderId="0" xfId="1" applyNumberFormat="1" applyFont="1" applyFill="1" applyBorder="1" applyAlignment="1">
      <alignment horizontal="center" vertical="center"/>
    </xf>
    <xf numFmtId="176" fontId="72" fillId="3" borderId="0" xfId="0" applyNumberFormat="1" applyFont="1" applyFill="1" applyBorder="1" applyAlignment="1">
      <alignment horizontal="center" vertical="center"/>
    </xf>
    <xf numFmtId="175" fontId="72" fillId="3" borderId="0" xfId="0" applyNumberFormat="1" applyFont="1" applyFill="1" applyBorder="1" applyAlignment="1">
      <alignment horizontal="center" vertical="center"/>
    </xf>
    <xf numFmtId="165" fontId="14" fillId="13" borderId="2" xfId="0" applyNumberFormat="1" applyFont="1" applyFill="1" applyBorder="1" applyAlignment="1">
      <alignment horizontal="left" vertical="center"/>
    </xf>
    <xf numFmtId="0" fontId="34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186" fontId="16" fillId="0" borderId="7" xfId="0" applyNumberFormat="1" applyFont="1" applyBorder="1"/>
    <xf numFmtId="0" fontId="16" fillId="0" borderId="0" xfId="0" applyFont="1" applyBorder="1" applyAlignment="1"/>
    <xf numFmtId="0" fontId="16" fillId="0" borderId="4" xfId="0" applyFont="1" applyBorder="1" applyAlignment="1"/>
    <xf numFmtId="0" fontId="34" fillId="0" borderId="10" xfId="0" applyFont="1" applyBorder="1" applyAlignment="1">
      <alignment horizontal="center"/>
    </xf>
    <xf numFmtId="0" fontId="74" fillId="0" borderId="0" xfId="0" applyFont="1"/>
    <xf numFmtId="185" fontId="74" fillId="0" borderId="0" xfId="0" applyNumberFormat="1" applyFont="1"/>
    <xf numFmtId="14" fontId="23" fillId="15" borderId="0" xfId="3" applyNumberFormat="1" applyFont="1" applyFill="1"/>
    <xf numFmtId="14" fontId="23" fillId="5" borderId="0" xfId="3" applyNumberFormat="1" applyFont="1" applyFill="1"/>
    <xf numFmtId="195" fontId="24" fillId="7" borderId="0" xfId="3" applyNumberFormat="1" applyFont="1" applyFill="1" applyAlignment="1">
      <alignment horizontal="center" vertical="center" wrapText="1"/>
    </xf>
    <xf numFmtId="195" fontId="23" fillId="15" borderId="0" xfId="4" applyNumberFormat="1" applyFont="1" applyFill="1" applyAlignment="1">
      <alignment horizontal="center"/>
    </xf>
    <xf numFmtId="195" fontId="23" fillId="5" borderId="0" xfId="4" applyNumberFormat="1" applyFont="1" applyFill="1" applyAlignment="1">
      <alignment horizontal="center"/>
    </xf>
    <xf numFmtId="195" fontId="23" fillId="6" borderId="0" xfId="3" applyNumberFormat="1" applyFont="1" applyFill="1" applyAlignment="1">
      <alignment horizontal="center"/>
    </xf>
    <xf numFmtId="3" fontId="59" fillId="0" borderId="0" xfId="0" applyNumberFormat="1" applyFont="1" applyAlignment="1">
      <alignment horizontal="center"/>
    </xf>
    <xf numFmtId="3" fontId="72" fillId="0" borderId="0" xfId="0" applyNumberFormat="1" applyFont="1" applyFill="1" applyAlignment="1">
      <alignment horizontal="left"/>
    </xf>
    <xf numFmtId="3" fontId="59" fillId="0" borderId="0" xfId="0" applyNumberFormat="1" applyFont="1" applyAlignment="1">
      <alignment horizontal="left"/>
    </xf>
    <xf numFmtId="3" fontId="75" fillId="0" borderId="0" xfId="0" applyNumberFormat="1" applyFont="1" applyAlignment="1">
      <alignment horizontal="center"/>
    </xf>
    <xf numFmtId="0" fontId="60" fillId="0" borderId="7" xfId="0" applyFont="1" applyBorder="1"/>
    <xf numFmtId="0" fontId="61" fillId="0" borderId="0" xfId="0" applyFont="1" applyBorder="1" applyAlignment="1">
      <alignment horizontal="left"/>
    </xf>
    <xf numFmtId="3" fontId="60" fillId="0" borderId="0" xfId="0" applyNumberFormat="1" applyFont="1" applyAlignment="1">
      <alignment horizontal="center"/>
    </xf>
    <xf numFmtId="0" fontId="60" fillId="0" borderId="8" xfId="0" applyFont="1" applyBorder="1"/>
    <xf numFmtId="3" fontId="76" fillId="0" borderId="0" xfId="0" applyNumberFormat="1" applyFont="1" applyAlignment="1">
      <alignment horizontal="center"/>
    </xf>
    <xf numFmtId="1" fontId="21" fillId="0" borderId="0" xfId="2" applyNumberFormat="1" applyFont="1" applyFill="1" applyBorder="1" applyAlignment="1">
      <alignment horizontal="center" vertical="center"/>
    </xf>
    <xf numFmtId="176" fontId="21" fillId="0" borderId="0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6" fillId="0" borderId="6" xfId="0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0" fontId="16" fillId="0" borderId="7" xfId="0" applyFont="1" applyBorder="1" applyAlignment="1">
      <alignment horizontal="center"/>
    </xf>
    <xf numFmtId="0" fontId="18" fillId="0" borderId="9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23" fillId="19" borderId="0" xfId="0" applyFont="1" applyFill="1"/>
    <xf numFmtId="15" fontId="25" fillId="19" borderId="29" xfId="0" applyNumberFormat="1" applyFont="1" applyFill="1" applyBorder="1" applyAlignment="1">
      <alignment horizontal="center"/>
    </xf>
    <xf numFmtId="196" fontId="13" fillId="0" borderId="2" xfId="0" applyNumberFormat="1" applyFont="1" applyFill="1" applyBorder="1" applyAlignment="1">
      <alignment horizontal="center" vertical="center"/>
    </xf>
    <xf numFmtId="176" fontId="13" fillId="19" borderId="2" xfId="0" applyNumberFormat="1" applyFont="1" applyFill="1" applyBorder="1" applyAlignment="1">
      <alignment horizontal="center" vertical="center"/>
    </xf>
    <xf numFmtId="165" fontId="14" fillId="0" borderId="38" xfId="0" applyNumberFormat="1" applyFont="1" applyFill="1" applyBorder="1" applyAlignment="1">
      <alignment horizontal="left" vertical="center"/>
    </xf>
    <xf numFmtId="176" fontId="13" fillId="0" borderId="39" xfId="0" applyNumberFormat="1" applyFont="1" applyFill="1" applyBorder="1" applyAlignment="1">
      <alignment horizontal="center" vertical="center"/>
    </xf>
    <xf numFmtId="165" fontId="14" fillId="0" borderId="40" xfId="0" applyNumberFormat="1" applyFont="1" applyFill="1" applyBorder="1" applyAlignment="1">
      <alignment horizontal="left" vertical="center"/>
    </xf>
    <xf numFmtId="176" fontId="13" fillId="0" borderId="41" xfId="0" applyNumberFormat="1" applyFont="1" applyFill="1" applyBorder="1" applyAlignment="1">
      <alignment horizontal="center" vertical="center"/>
    </xf>
    <xf numFmtId="165" fontId="14" fillId="0" borderId="27" xfId="0" applyNumberFormat="1" applyFont="1" applyFill="1" applyBorder="1" applyAlignment="1">
      <alignment horizontal="left" vertical="center"/>
    </xf>
    <xf numFmtId="176" fontId="13" fillId="0" borderId="28" xfId="0" applyNumberFormat="1" applyFont="1" applyFill="1" applyBorder="1" applyAlignment="1">
      <alignment horizontal="center" vertical="center"/>
    </xf>
    <xf numFmtId="165" fontId="14" fillId="0" borderId="42" xfId="0" applyNumberFormat="1" applyFont="1" applyFill="1" applyBorder="1" applyAlignment="1">
      <alignment horizontal="left" vertical="center"/>
    </xf>
    <xf numFmtId="176" fontId="13" fillId="0" borderId="43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12" borderId="0" xfId="0" applyFont="1" applyFill="1" applyAlignment="1"/>
    <xf numFmtId="4" fontId="16" fillId="0" borderId="0" xfId="0" applyNumberFormat="1" applyFont="1"/>
    <xf numFmtId="4" fontId="26" fillId="0" borderId="12" xfId="0" applyNumberFormat="1" applyFont="1" applyBorder="1" applyAlignment="1">
      <alignment horizontal="right" vertical="center" wrapText="1"/>
    </xf>
    <xf numFmtId="4" fontId="23" fillId="0" borderId="0" xfId="0" applyNumberFormat="1" applyFont="1"/>
    <xf numFmtId="0" fontId="77" fillId="0" borderId="0" xfId="0" applyFont="1" applyFill="1"/>
    <xf numFmtId="165" fontId="77" fillId="0" borderId="0" xfId="0" applyNumberFormat="1" applyFont="1" applyFill="1"/>
    <xf numFmtId="0" fontId="17" fillId="8" borderId="0" xfId="0" applyFont="1" applyFill="1"/>
    <xf numFmtId="0" fontId="17" fillId="8" borderId="0" xfId="0" applyFont="1" applyFill="1" applyAlignment="1">
      <alignment horizontal="center"/>
    </xf>
    <xf numFmtId="0" fontId="77" fillId="0" borderId="0" xfId="0" applyFont="1"/>
    <xf numFmtId="170" fontId="41" fillId="13" borderId="24" xfId="0" applyNumberFormat="1" applyFont="1" applyFill="1" applyBorder="1" applyAlignment="1">
      <alignment horizontal="center"/>
    </xf>
    <xf numFmtId="14" fontId="23" fillId="25" borderId="0" xfId="3" applyNumberFormat="1" applyFont="1" applyFill="1"/>
    <xf numFmtId="169" fontId="13" fillId="0" borderId="2" xfId="0" applyNumberFormat="1" applyFont="1" applyFill="1" applyBorder="1" applyAlignment="1">
      <alignment horizontal="center" vertical="center"/>
    </xf>
    <xf numFmtId="14" fontId="17" fillId="26" borderId="0" xfId="3" applyNumberFormat="1" applyFont="1" applyFill="1" applyAlignment="1">
      <alignment horizontal="left"/>
    </xf>
    <xf numFmtId="14" fontId="17" fillId="26" borderId="0" xfId="3" applyNumberFormat="1" applyFont="1" applyFill="1" applyAlignment="1">
      <alignment horizontal="center"/>
    </xf>
    <xf numFmtId="177" fontId="17" fillId="26" borderId="0" xfId="3" applyNumberFormat="1" applyFont="1" applyFill="1" applyAlignment="1">
      <alignment horizontal="center"/>
    </xf>
    <xf numFmtId="165" fontId="17" fillId="26" borderId="0" xfId="4" applyNumberFormat="1" applyFont="1" applyFill="1" applyAlignment="1">
      <alignment horizontal="center"/>
    </xf>
    <xf numFmtId="0" fontId="43" fillId="0" borderId="0" xfId="0" applyFont="1"/>
    <xf numFmtId="14" fontId="43" fillId="0" borderId="0" xfId="0" applyNumberFormat="1" applyFont="1"/>
    <xf numFmtId="0" fontId="16" fillId="0" borderId="5" xfId="0" applyFont="1" applyBorder="1" applyAlignment="1">
      <alignment horizontal="center"/>
    </xf>
    <xf numFmtId="0" fontId="18" fillId="0" borderId="6" xfId="0" applyFont="1" applyBorder="1" applyAlignment="1">
      <alignment vertical="center" wrapText="1"/>
    </xf>
    <xf numFmtId="0" fontId="16" fillId="0" borderId="9" xfId="0" applyFont="1" applyBorder="1" applyAlignment="1">
      <alignment horizontal="center"/>
    </xf>
    <xf numFmtId="10" fontId="17" fillId="0" borderId="0" xfId="1" applyNumberFormat="1" applyFont="1"/>
    <xf numFmtId="0" fontId="16" fillId="3" borderId="4" xfId="0" applyFont="1" applyFill="1" applyBorder="1"/>
    <xf numFmtId="4" fontId="59" fillId="0" borderId="0" xfId="0" applyNumberFormat="1" applyFont="1" applyAlignment="1">
      <alignment horizontal="center"/>
    </xf>
    <xf numFmtId="8" fontId="16" fillId="0" borderId="0" xfId="0" applyNumberFormat="1" applyFont="1" applyAlignment="1">
      <alignment horizontal="center"/>
    </xf>
    <xf numFmtId="15" fontId="18" fillId="10" borderId="7" xfId="0" applyNumberFormat="1" applyFont="1" applyFill="1" applyBorder="1"/>
    <xf numFmtId="15" fontId="18" fillId="10" borderId="0" xfId="0" applyNumberFormat="1" applyFont="1" applyFill="1" applyBorder="1"/>
    <xf numFmtId="15" fontId="18" fillId="10" borderId="8" xfId="0" applyNumberFormat="1" applyFont="1" applyFill="1" applyBorder="1"/>
    <xf numFmtId="186" fontId="16" fillId="27" borderId="5" xfId="0" applyNumberFormat="1" applyFont="1" applyFill="1" applyBorder="1"/>
    <xf numFmtId="0" fontId="16" fillId="27" borderId="3" xfId="0" applyFont="1" applyFill="1" applyBorder="1" applyAlignment="1">
      <alignment horizontal="center"/>
    </xf>
    <xf numFmtId="0" fontId="34" fillId="27" borderId="6" xfId="0" applyFont="1" applyFill="1" applyBorder="1" applyAlignment="1">
      <alignment horizontal="center"/>
    </xf>
    <xf numFmtId="165" fontId="2" fillId="27" borderId="5" xfId="0" applyNumberFormat="1" applyFont="1" applyFill="1" applyBorder="1" applyAlignment="1">
      <alignment horizontal="left" vertical="center" indent="1"/>
    </xf>
    <xf numFmtId="165" fontId="2" fillId="27" borderId="3" xfId="0" applyNumberFormat="1" applyFont="1" applyFill="1" applyBorder="1" applyAlignment="1">
      <alignment horizontal="left" vertical="center" indent="1"/>
    </xf>
    <xf numFmtId="198" fontId="23" fillId="6" borderId="0" xfId="3" applyNumberFormat="1" applyFont="1" applyFill="1" applyAlignment="1">
      <alignment horizontal="center"/>
    </xf>
    <xf numFmtId="165" fontId="23" fillId="15" borderId="0" xfId="4" applyNumberFormat="1" applyFont="1" applyFill="1" applyAlignment="1">
      <alignment horizontal="center"/>
    </xf>
    <xf numFmtId="0" fontId="18" fillId="19" borderId="0" xfId="0" applyFont="1" applyFill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60" fillId="0" borderId="10" xfId="0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165" fontId="2" fillId="27" borderId="6" xfId="0" applyNumberFormat="1" applyFont="1" applyFill="1" applyBorder="1" applyAlignment="1">
      <alignment horizontal="left" vertical="center" indent="1"/>
    </xf>
    <xf numFmtId="0" fontId="16" fillId="27" borderId="6" xfId="0" applyFont="1" applyFill="1" applyBorder="1"/>
    <xf numFmtId="0" fontId="16" fillId="27" borderId="3" xfId="0" applyFont="1" applyFill="1" applyBorder="1"/>
    <xf numFmtId="194" fontId="16" fillId="0" borderId="8" xfId="10" applyNumberFormat="1" applyFont="1" applyFill="1" applyBorder="1">
      <alignment vertical="center"/>
    </xf>
    <xf numFmtId="0" fontId="16" fillId="0" borderId="7" xfId="10" applyFont="1" applyFill="1" applyBorder="1" applyAlignment="1">
      <alignment horizontal="left" vertical="center" indent="1"/>
    </xf>
    <xf numFmtId="197" fontId="16" fillId="0" borderId="0" xfId="11" applyNumberFormat="1" applyFont="1" applyFill="1" applyBorder="1">
      <alignment vertical="center"/>
    </xf>
    <xf numFmtId="0" fontId="16" fillId="0" borderId="8" xfId="10" applyFont="1" applyFill="1" applyBorder="1">
      <alignment vertical="center"/>
    </xf>
    <xf numFmtId="193" fontId="16" fillId="0" borderId="0" xfId="12" applyNumberFormat="1" applyFont="1" applyFill="1" applyBorder="1">
      <alignment vertical="center"/>
    </xf>
    <xf numFmtId="192" fontId="16" fillId="0" borderId="0" xfId="11" applyFont="1" applyFill="1" applyBorder="1">
      <alignment vertical="center"/>
    </xf>
    <xf numFmtId="9" fontId="16" fillId="0" borderId="0" xfId="12" applyFont="1" applyFill="1" applyBorder="1">
      <alignment vertical="center"/>
    </xf>
    <xf numFmtId="43" fontId="16" fillId="0" borderId="8" xfId="10" applyNumberFormat="1" applyFont="1" applyFill="1" applyBorder="1">
      <alignment vertical="center"/>
    </xf>
    <xf numFmtId="0" fontId="16" fillId="0" borderId="0" xfId="10" applyFont="1" applyFill="1" applyBorder="1">
      <alignment vertical="center"/>
    </xf>
    <xf numFmtId="192" fontId="16" fillId="0" borderId="0" xfId="10" applyNumberFormat="1" applyFont="1" applyFill="1" applyBorder="1">
      <alignment vertical="center"/>
    </xf>
    <xf numFmtId="0" fontId="16" fillId="0" borderId="9" xfId="10" applyFont="1" applyFill="1" applyBorder="1" applyAlignment="1">
      <alignment horizontal="left" vertical="center" indent="1"/>
    </xf>
    <xf numFmtId="169" fontId="16" fillId="0" borderId="4" xfId="10" applyNumberFormat="1" applyFont="1" applyFill="1" applyBorder="1">
      <alignment vertical="center"/>
    </xf>
    <xf numFmtId="10" fontId="14" fillId="0" borderId="2" xfId="1" applyNumberFormat="1" applyFont="1" applyFill="1" applyBorder="1" applyAlignment="1">
      <alignment horizontal="center" vertical="center"/>
    </xf>
    <xf numFmtId="10" fontId="25" fillId="13" borderId="24" xfId="0" applyNumberFormat="1" applyFont="1" applyFill="1" applyBorder="1" applyAlignment="1">
      <alignment horizontal="center"/>
    </xf>
    <xf numFmtId="10" fontId="39" fillId="9" borderId="1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199" fontId="16" fillId="0" borderId="0" xfId="0" applyNumberFormat="1" applyFont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201" fontId="21" fillId="0" borderId="0" xfId="0" applyNumberFormat="1" applyFont="1" applyFill="1" applyBorder="1" applyAlignment="1">
      <alignment horizontal="center" vertical="center"/>
    </xf>
    <xf numFmtId="4" fontId="77" fillId="0" borderId="0" xfId="0" applyNumberFormat="1" applyFont="1" applyFill="1"/>
    <xf numFmtId="165" fontId="15" fillId="0" borderId="34" xfId="0" applyNumberFormat="1" applyFont="1" applyFill="1" applyBorder="1" applyAlignment="1">
      <alignment horizontal="center" vertical="center"/>
    </xf>
    <xf numFmtId="165" fontId="14" fillId="0" borderId="34" xfId="0" applyNumberFormat="1" applyFont="1" applyFill="1" applyBorder="1" applyAlignment="1">
      <alignment horizontal="center" vertical="center"/>
    </xf>
    <xf numFmtId="165" fontId="14" fillId="13" borderId="34" xfId="0" applyNumberFormat="1" applyFont="1" applyFill="1" applyBorder="1" applyAlignment="1">
      <alignment horizontal="center" vertical="center"/>
    </xf>
    <xf numFmtId="165" fontId="14" fillId="0" borderId="35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left" vertical="center"/>
    </xf>
    <xf numFmtId="165" fontId="14" fillId="10" borderId="11" xfId="0" applyNumberFormat="1" applyFont="1" applyFill="1" applyBorder="1" applyAlignment="1">
      <alignment horizontal="center" vertical="center"/>
    </xf>
    <xf numFmtId="165" fontId="57" fillId="11" borderId="44" xfId="0" applyNumberFormat="1" applyFont="1" applyFill="1" applyBorder="1" applyAlignment="1">
      <alignment horizontal="center" vertical="center"/>
    </xf>
    <xf numFmtId="165" fontId="57" fillId="11" borderId="11" xfId="0" applyNumberFormat="1" applyFont="1" applyFill="1" applyBorder="1" applyAlignment="1">
      <alignment horizontal="center" vertical="center"/>
    </xf>
    <xf numFmtId="165" fontId="14" fillId="10" borderId="43" xfId="0" applyNumberFormat="1" applyFont="1" applyFill="1" applyBorder="1" applyAlignment="1">
      <alignment horizontal="left" vertical="center" indent="1"/>
    </xf>
    <xf numFmtId="165" fontId="48" fillId="10" borderId="11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center" vertical="center"/>
    </xf>
    <xf numFmtId="165" fontId="21" fillId="0" borderId="14" xfId="0" applyNumberFormat="1" applyFont="1" applyFill="1" applyBorder="1" applyAlignment="1">
      <alignment horizontal="center" vertical="center"/>
    </xf>
    <xf numFmtId="4" fontId="17" fillId="0" borderId="0" xfId="0" applyNumberFormat="1" applyFont="1"/>
    <xf numFmtId="200" fontId="38" fillId="0" borderId="2" xfId="0" applyNumberFormat="1" applyFont="1" applyFill="1" applyBorder="1" applyAlignment="1">
      <alignment horizontal="center" vertical="center"/>
    </xf>
    <xf numFmtId="0" fontId="80" fillId="28" borderId="0" xfId="0" applyFont="1" applyFill="1"/>
    <xf numFmtId="165" fontId="15" fillId="10" borderId="2" xfId="0" applyNumberFormat="1" applyFont="1" applyFill="1" applyBorder="1" applyAlignment="1">
      <alignment horizontal="left" vertical="center"/>
    </xf>
    <xf numFmtId="165" fontId="15" fillId="10" borderId="2" xfId="0" applyNumberFormat="1" applyFont="1" applyFill="1" applyBorder="1" applyAlignment="1">
      <alignment horizontal="center" vertical="center"/>
    </xf>
    <xf numFmtId="165" fontId="35" fillId="10" borderId="2" xfId="0" applyNumberFormat="1" applyFont="1" applyFill="1" applyBorder="1" applyAlignment="1">
      <alignment horizontal="center" vertical="center"/>
    </xf>
    <xf numFmtId="165" fontId="21" fillId="10" borderId="2" xfId="0" applyNumberFormat="1" applyFont="1" applyFill="1" applyBorder="1" applyAlignment="1">
      <alignment horizontal="center" vertical="center"/>
    </xf>
    <xf numFmtId="3" fontId="15" fillId="10" borderId="2" xfId="0" applyNumberFormat="1" applyFont="1" applyFill="1" applyBorder="1" applyAlignment="1">
      <alignment horizontal="center" vertical="center"/>
    </xf>
    <xf numFmtId="170" fontId="15" fillId="10" borderId="2" xfId="1" applyNumberFormat="1" applyFont="1" applyFill="1" applyBorder="1" applyAlignment="1">
      <alignment horizontal="center" vertical="center"/>
    </xf>
    <xf numFmtId="165" fontId="14" fillId="0" borderId="1" xfId="0" applyNumberFormat="1" applyFont="1" applyFill="1" applyBorder="1" applyAlignment="1">
      <alignment horizontal="center" vertical="center"/>
    </xf>
    <xf numFmtId="3" fontId="14" fillId="0" borderId="1" xfId="0" applyNumberFormat="1" applyFont="1" applyFill="1" applyBorder="1" applyAlignment="1">
      <alignment horizontal="center" vertical="center"/>
    </xf>
    <xf numFmtId="170" fontId="14" fillId="0" borderId="1" xfId="1" applyNumberFormat="1" applyFont="1" applyFill="1" applyBorder="1" applyAlignment="1">
      <alignment horizontal="center" vertical="center"/>
    </xf>
    <xf numFmtId="165" fontId="21" fillId="0" borderId="1" xfId="0" applyNumberFormat="1" applyFont="1" applyFill="1" applyBorder="1" applyAlignment="1">
      <alignment horizontal="center" vertical="center"/>
    </xf>
    <xf numFmtId="188" fontId="18" fillId="5" borderId="0" xfId="0" applyNumberFormat="1" applyFont="1" applyFill="1" applyBorder="1" applyAlignment="1">
      <alignment horizontal="center" vertical="center" wrapText="1"/>
    </xf>
    <xf numFmtId="165" fontId="81" fillId="0" borderId="2" xfId="0" applyNumberFormat="1" applyFont="1" applyFill="1" applyBorder="1" applyAlignment="1">
      <alignment horizontal="center" vertical="center"/>
    </xf>
    <xf numFmtId="165" fontId="82" fillId="0" borderId="2" xfId="6" applyNumberFormat="1" applyFont="1" applyFill="1" applyBorder="1" applyAlignment="1">
      <alignment horizontal="center" vertical="center"/>
    </xf>
    <xf numFmtId="165" fontId="83" fillId="18" borderId="1" xfId="0" applyNumberFormat="1" applyFont="1" applyFill="1" applyBorder="1" applyAlignment="1">
      <alignment horizontal="center" vertical="center"/>
    </xf>
    <xf numFmtId="170" fontId="13" fillId="0" borderId="2" xfId="0" applyNumberFormat="1" applyFont="1" applyFill="1" applyBorder="1" applyAlignment="1">
      <alignment horizontal="center" vertical="center"/>
    </xf>
    <xf numFmtId="170" fontId="14" fillId="18" borderId="1" xfId="0" applyNumberFormat="1" applyFont="1" applyFill="1" applyBorder="1" applyAlignment="1">
      <alignment horizontal="center" vertical="center"/>
    </xf>
    <xf numFmtId="170" fontId="6" fillId="0" borderId="0" xfId="0" applyNumberFormat="1" applyFont="1" applyFill="1" applyBorder="1" applyAlignment="1">
      <alignment horizontal="center" vertical="center"/>
    </xf>
    <xf numFmtId="165" fontId="21" fillId="13" borderId="2" xfId="0" applyNumberFormat="1" applyFont="1" applyFill="1" applyBorder="1" applyAlignment="1">
      <alignment horizontal="center" vertical="center"/>
    </xf>
    <xf numFmtId="170" fontId="13" fillId="13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5" xfId="0" applyFont="1" applyFill="1" applyBorder="1"/>
    <xf numFmtId="0" fontId="16" fillId="4" borderId="3" xfId="0" applyFont="1" applyFill="1" applyBorder="1"/>
    <xf numFmtId="0" fontId="16" fillId="4" borderId="3" xfId="0" applyFont="1" applyFill="1" applyBorder="1" applyAlignment="1">
      <alignment horizontal="center"/>
    </xf>
    <xf numFmtId="0" fontId="16" fillId="4" borderId="6" xfId="0" applyFont="1" applyFill="1" applyBorder="1"/>
    <xf numFmtId="0" fontId="16" fillId="4" borderId="7" xfId="0" applyFont="1" applyFill="1" applyBorder="1"/>
    <xf numFmtId="0" fontId="18" fillId="4" borderId="0" xfId="0" applyFont="1" applyFill="1" applyBorder="1"/>
    <xf numFmtId="0" fontId="16" fillId="4" borderId="0" xfId="0" applyFont="1" applyFill="1" applyBorder="1" applyAlignment="1">
      <alignment horizontal="center"/>
    </xf>
    <xf numFmtId="0" fontId="16" fillId="4" borderId="8" xfId="0" applyFont="1" applyFill="1" applyBorder="1"/>
    <xf numFmtId="0" fontId="18" fillId="4" borderId="0" xfId="0" applyFont="1" applyFill="1" applyBorder="1" applyAlignment="1">
      <alignment horizontal="center"/>
    </xf>
    <xf numFmtId="0" fontId="34" fillId="4" borderId="0" xfId="0" applyFont="1" applyFill="1" applyBorder="1"/>
    <xf numFmtId="0" fontId="34" fillId="4" borderId="0" xfId="0" applyFont="1" applyFill="1" applyBorder="1" applyAlignment="1">
      <alignment horizontal="center"/>
    </xf>
    <xf numFmtId="0" fontId="16" fillId="4" borderId="0" xfId="0" applyFont="1" applyFill="1" applyBorder="1"/>
    <xf numFmtId="0" fontId="20" fillId="4" borderId="0" xfId="0" applyFont="1" applyFill="1" applyBorder="1" applyAlignment="1">
      <alignment horizontal="center"/>
    </xf>
    <xf numFmtId="190" fontId="16" fillId="4" borderId="0" xfId="0" applyNumberFormat="1" applyFont="1" applyFill="1" applyBorder="1" applyAlignment="1">
      <alignment horizontal="center"/>
    </xf>
    <xf numFmtId="190" fontId="20" fillId="4" borderId="0" xfId="0" applyNumberFormat="1" applyFont="1" applyFill="1" applyBorder="1" applyAlignment="1">
      <alignment horizontal="center"/>
    </xf>
    <xf numFmtId="4" fontId="16" fillId="4" borderId="0" xfId="0" applyNumberFormat="1" applyFont="1" applyFill="1" applyBorder="1" applyAlignment="1">
      <alignment horizontal="center"/>
    </xf>
    <xf numFmtId="0" fontId="16" fillId="4" borderId="9" xfId="0" applyFont="1" applyFill="1" applyBorder="1"/>
    <xf numFmtId="0" fontId="16" fillId="4" borderId="4" xfId="0" applyFont="1" applyFill="1" applyBorder="1"/>
    <xf numFmtId="0" fontId="16" fillId="4" borderId="4" xfId="0" applyFont="1" applyFill="1" applyBorder="1" applyAlignment="1">
      <alignment horizontal="center"/>
    </xf>
    <xf numFmtId="0" fontId="16" fillId="4" borderId="10" xfId="0" applyFont="1" applyFill="1" applyBorder="1"/>
    <xf numFmtId="0" fontId="18" fillId="6" borderId="0" xfId="0" applyFont="1" applyFill="1" applyBorder="1" applyAlignment="1">
      <alignment horizontal="center"/>
    </xf>
    <xf numFmtId="3" fontId="18" fillId="0" borderId="0" xfId="0" applyNumberFormat="1" applyFont="1" applyBorder="1" applyAlignment="1">
      <alignment horizontal="right"/>
    </xf>
    <xf numFmtId="3" fontId="16" fillId="0" borderId="0" xfId="0" applyNumberFormat="1" applyFont="1" applyBorder="1" applyAlignment="1">
      <alignment horizontal="right"/>
    </xf>
    <xf numFmtId="3" fontId="16" fillId="0" borderId="11" xfId="0" applyNumberFormat="1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3" fontId="18" fillId="0" borderId="11" xfId="0" applyNumberFormat="1" applyFont="1" applyBorder="1" applyAlignment="1">
      <alignment horizontal="right"/>
    </xf>
    <xf numFmtId="15" fontId="16" fillId="0" borderId="0" xfId="0" applyNumberFormat="1" applyFont="1" applyBorder="1" applyAlignment="1">
      <alignment horizontal="center"/>
    </xf>
    <xf numFmtId="15" fontId="16" fillId="0" borderId="4" xfId="0" applyNumberFormat="1" applyFont="1" applyBorder="1" applyAlignment="1">
      <alignment horizontal="center"/>
    </xf>
    <xf numFmtId="3" fontId="18" fillId="0" borderId="4" xfId="0" applyNumberFormat="1" applyFont="1" applyBorder="1" applyAlignment="1">
      <alignment horizontal="center"/>
    </xf>
    <xf numFmtId="10" fontId="16" fillId="0" borderId="0" xfId="0" applyNumberFormat="1" applyFont="1"/>
    <xf numFmtId="0" fontId="25" fillId="13" borderId="0" xfId="0" applyFont="1" applyFill="1" applyBorder="1"/>
    <xf numFmtId="185" fontId="25" fillId="13" borderId="0" xfId="0" applyNumberFormat="1" applyFont="1" applyFill="1" applyBorder="1" applyAlignment="1">
      <alignment horizontal="center"/>
    </xf>
    <xf numFmtId="0" fontId="78" fillId="0" borderId="0" xfId="0" applyFont="1" applyAlignment="1">
      <alignment horizontal="center"/>
    </xf>
    <xf numFmtId="0" fontId="34" fillId="0" borderId="8" xfId="0" applyFont="1" applyBorder="1" applyAlignment="1">
      <alignment horizontal="left" indent="1"/>
    </xf>
    <xf numFmtId="0" fontId="16" fillId="0" borderId="8" xfId="0" applyFont="1" applyBorder="1" applyAlignment="1">
      <alignment horizontal="left" indent="1"/>
    </xf>
    <xf numFmtId="4" fontId="16" fillId="0" borderId="0" xfId="0" applyNumberFormat="1" applyFont="1" applyBorder="1" applyAlignment="1">
      <alignment horizontal="left" indent="5"/>
    </xf>
    <xf numFmtId="4" fontId="16" fillId="0" borderId="0" xfId="0" applyNumberFormat="1" applyFont="1" applyBorder="1"/>
    <xf numFmtId="0" fontId="16" fillId="0" borderId="0" xfId="0" applyFont="1" applyBorder="1" applyAlignment="1">
      <alignment horizontal="left" indent="5"/>
    </xf>
    <xf numFmtId="9" fontId="16" fillId="0" borderId="0" xfId="0" applyNumberFormat="1" applyFont="1" applyBorder="1" applyAlignment="1">
      <alignment horizontal="center"/>
    </xf>
    <xf numFmtId="0" fontId="18" fillId="6" borderId="7" xfId="0" applyFont="1" applyFill="1" applyBorder="1" applyAlignment="1">
      <alignment horizontal="center"/>
    </xf>
    <xf numFmtId="0" fontId="16" fillId="0" borderId="45" xfId="0" applyFont="1" applyBorder="1"/>
    <xf numFmtId="0" fontId="18" fillId="0" borderId="45" xfId="0" applyFont="1" applyBorder="1"/>
    <xf numFmtId="0" fontId="79" fillId="0" borderId="7" xfId="0" applyFont="1" applyBorder="1"/>
    <xf numFmtId="0" fontId="16" fillId="27" borderId="6" xfId="0" applyFont="1" applyFill="1" applyBorder="1" applyAlignment="1">
      <alignment horizontal="center"/>
    </xf>
    <xf numFmtId="0" fontId="16" fillId="0" borderId="7" xfId="0" applyFont="1" applyBorder="1" applyAlignment="1">
      <alignment horizontal="left" indent="1"/>
    </xf>
    <xf numFmtId="165" fontId="16" fillId="0" borderId="8" xfId="0" applyNumberFormat="1" applyFont="1" applyBorder="1" applyAlignment="1">
      <alignment horizontal="right"/>
    </xf>
    <xf numFmtId="0" fontId="16" fillId="0" borderId="45" xfId="0" applyFont="1" applyBorder="1" applyAlignment="1">
      <alignment horizontal="left" indent="1"/>
    </xf>
    <xf numFmtId="165" fontId="16" fillId="0" borderId="46" xfId="0" applyNumberFormat="1" applyFont="1" applyBorder="1" applyAlignment="1">
      <alignment horizontal="right"/>
    </xf>
    <xf numFmtId="0" fontId="34" fillId="3" borderId="8" xfId="0" applyFont="1" applyFill="1" applyBorder="1" applyAlignment="1">
      <alignment horizontal="right"/>
    </xf>
    <xf numFmtId="0" fontId="34" fillId="3" borderId="1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vertical="center" wrapText="1"/>
    </xf>
    <xf numFmtId="49" fontId="13" fillId="0" borderId="0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Border="1" applyAlignment="1">
      <alignment horizontal="left" vertical="center"/>
    </xf>
    <xf numFmtId="49" fontId="65" fillId="0" borderId="0" xfId="1" applyNumberFormat="1" applyFont="1" applyFill="1" applyBorder="1" applyAlignment="1">
      <alignment horizontal="center" vertical="center"/>
    </xf>
    <xf numFmtId="49" fontId="21" fillId="0" borderId="0" xfId="1" applyNumberFormat="1" applyFont="1" applyFill="1" applyBorder="1" applyAlignment="1">
      <alignment horizontal="center" vertical="center"/>
    </xf>
    <xf numFmtId="0" fontId="31" fillId="24" borderId="0" xfId="0" applyFont="1" applyFill="1" applyBorder="1" applyAlignment="1">
      <alignment horizontal="left" vertical="center" wrapText="1"/>
    </xf>
    <xf numFmtId="168" fontId="16" fillId="0" borderId="0" xfId="0" applyNumberFormat="1" applyFont="1"/>
    <xf numFmtId="165" fontId="16" fillId="0" borderId="0" xfId="0" applyNumberFormat="1" applyFont="1"/>
    <xf numFmtId="193" fontId="16" fillId="0" borderId="0" xfId="0" applyNumberFormat="1" applyFont="1"/>
    <xf numFmtId="203" fontId="23" fillId="6" borderId="0" xfId="4" applyNumberFormat="1" applyFont="1" applyFill="1" applyAlignment="1">
      <alignment horizontal="center"/>
    </xf>
    <xf numFmtId="203" fontId="23" fillId="11" borderId="0" xfId="4" applyNumberFormat="1" applyFont="1" applyFill="1" applyAlignment="1">
      <alignment horizontal="center"/>
    </xf>
    <xf numFmtId="203" fontId="23" fillId="0" borderId="0" xfId="0" applyNumberFormat="1" applyFont="1"/>
    <xf numFmtId="203" fontId="24" fillId="8" borderId="0" xfId="3" applyNumberFormat="1" applyFont="1" applyFill="1" applyAlignment="1">
      <alignment horizontal="center" vertical="center" wrapText="1"/>
    </xf>
    <xf numFmtId="203" fontId="23" fillId="0" borderId="0" xfId="0" applyNumberFormat="1" applyFont="1" applyAlignment="1">
      <alignment horizontal="center"/>
    </xf>
    <xf numFmtId="10" fontId="14" fillId="0" borderId="0" xfId="1" applyNumberFormat="1" applyFont="1" applyFill="1" applyBorder="1" applyAlignment="1">
      <alignment horizontal="center" vertical="center"/>
    </xf>
    <xf numFmtId="165" fontId="21" fillId="0" borderId="0" xfId="0" applyNumberFormat="1" applyFont="1" applyFill="1" applyBorder="1" applyAlignment="1">
      <alignment horizontal="center" vertical="center"/>
    </xf>
    <xf numFmtId="9" fontId="17" fillId="23" borderId="0" xfId="0" applyNumberFormat="1" applyFont="1" applyFill="1" applyAlignment="1">
      <alignment horizontal="center"/>
    </xf>
    <xf numFmtId="186" fontId="17" fillId="0" borderId="0" xfId="0" applyNumberFormat="1" applyFont="1"/>
    <xf numFmtId="0" fontId="17" fillId="0" borderId="11" xfId="0" applyFont="1" applyFill="1" applyBorder="1"/>
    <xf numFmtId="0" fontId="17" fillId="0" borderId="11" xfId="0" applyFont="1" applyBorder="1" applyAlignment="1">
      <alignment horizontal="center"/>
    </xf>
    <xf numFmtId="0" fontId="70" fillId="0" borderId="0" xfId="0" applyFont="1" applyAlignment="1">
      <alignment vertical="center"/>
    </xf>
    <xf numFmtId="170" fontId="72" fillId="3" borderId="0" xfId="0" applyNumberFormat="1" applyFont="1" applyFill="1" applyBorder="1" applyAlignment="1">
      <alignment horizontal="center" vertical="center"/>
    </xf>
    <xf numFmtId="10" fontId="16" fillId="0" borderId="0" xfId="0" applyNumberFormat="1" applyFont="1" applyAlignment="1">
      <alignment horizontal="center"/>
    </xf>
    <xf numFmtId="0" fontId="31" fillId="24" borderId="0" xfId="0" applyFont="1" applyFill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4" fillId="0" borderId="33" xfId="0" applyFont="1" applyBorder="1" applyAlignment="1">
      <alignment vertical="center" wrapText="1"/>
    </xf>
    <xf numFmtId="0" fontId="54" fillId="0" borderId="34" xfId="0" applyFont="1" applyBorder="1" applyAlignment="1">
      <alignment vertical="center" wrapText="1"/>
    </xf>
    <xf numFmtId="0" fontId="54" fillId="0" borderId="35" xfId="0" applyFont="1" applyBorder="1" applyAlignment="1">
      <alignment vertical="center" wrapText="1"/>
    </xf>
    <xf numFmtId="0" fontId="54" fillId="0" borderId="33" xfId="0" applyFont="1" applyBorder="1" applyAlignment="1">
      <alignment horizontal="left" vertical="center" wrapText="1"/>
    </xf>
    <xf numFmtId="0" fontId="54" fillId="0" borderId="34" xfId="0" applyFont="1" applyBorder="1" applyAlignment="1">
      <alignment horizontal="left" vertical="center" wrapText="1"/>
    </xf>
    <xf numFmtId="0" fontId="54" fillId="0" borderId="35" xfId="0" applyFont="1" applyBorder="1" applyAlignment="1">
      <alignment horizontal="left" vertical="center" wrapText="1"/>
    </xf>
  </cellXfs>
  <cellStyles count="14">
    <cellStyle name="Comma" xfId="2" builtinId="3"/>
    <cellStyle name="Comma 2" xfId="4" xr:uid="{7365E40C-36DB-4EBA-AD19-B16F27F13F58}"/>
    <cellStyle name="Comma 3" xfId="8" xr:uid="{00000000-0005-0000-0000-000035000000}"/>
    <cellStyle name="Comma 4" xfId="11" xr:uid="{00000000-0005-0000-0000-000037000000}"/>
    <cellStyle name="Currency 2" xfId="5" xr:uid="{FD17DB11-DFCE-4DC4-AD5A-D8B36083EB22}"/>
    <cellStyle name="Currency 3" xfId="9" xr:uid="{00000000-0005-0000-0000-000036000000}"/>
    <cellStyle name="Hyperlink" xfId="6" builtinId="8"/>
    <cellStyle name="Invisible" xfId="13" xr:uid="{00000000-0005-0000-0000-000031000000}"/>
    <cellStyle name="Normal" xfId="0" builtinId="0"/>
    <cellStyle name="Normal 2" xfId="3" xr:uid="{A736301F-78E0-40D1-B2B5-66134295C584}"/>
    <cellStyle name="Normal 3" xfId="7" xr:uid="{E7B9F99A-E530-44C7-8AEE-2091D7D8E840}"/>
    <cellStyle name="Normal 4" xfId="10" xr:uid="{00000000-0005-0000-0000-000039000000}"/>
    <cellStyle name="Percent" xfId="1" builtinId="5"/>
    <cellStyle name="Percent 2" xfId="12" xr:uid="{00000000-0005-0000-0000-00003A000000}"/>
  </cellStyles>
  <dxfs count="0"/>
  <tableStyles count="0" defaultTableStyle="TableStyleMedium2" defaultPivotStyle="PivotStyleLight16"/>
  <colors>
    <mruColors>
      <color rgb="FF0000FF"/>
      <color rgb="FFF8483A"/>
      <color rgb="FFCCFFCC"/>
      <color rgb="FF0000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Contributions</a:t>
            </a:r>
            <a:endParaRPr lang="en-US" b="1"/>
          </a:p>
        </c:rich>
      </c:tx>
      <c:layout>
        <c:manualLayout>
          <c:xMode val="edge"/>
          <c:yMode val="edge"/>
          <c:x val="0.32803175746325419"/>
          <c:y val="3.082852819193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Profile'!$N$6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Profile'!$N$7:$N$24</c:f>
              <c:numCache>
                <c:formatCode>"$"#,##0.0_);[Red]\("$"#,##0.0\)</c:formatCode>
                <c:ptCount val="18"/>
                <c:pt idx="0">
                  <c:v>30</c:v>
                </c:pt>
                <c:pt idx="1">
                  <c:v>20.999998089999998</c:v>
                </c:pt>
                <c:pt idx="2">
                  <c:v>38</c:v>
                </c:pt>
                <c:pt idx="3">
                  <c:v>0</c:v>
                </c:pt>
                <c:pt idx="4">
                  <c:v>85.119193209619354</c:v>
                </c:pt>
                <c:pt idx="5">
                  <c:v>187.90503795060357</c:v>
                </c:pt>
                <c:pt idx="6">
                  <c:v>33.623435349941175</c:v>
                </c:pt>
                <c:pt idx="7">
                  <c:v>69.482292999999999</c:v>
                </c:pt>
                <c:pt idx="8">
                  <c:v>1.0845116099999996</c:v>
                </c:pt>
                <c:pt idx="9">
                  <c:v>39.775794244143562</c:v>
                </c:pt>
                <c:pt idx="10">
                  <c:v>1.4014197313999999</c:v>
                </c:pt>
                <c:pt idx="11">
                  <c:v>59.925434448477432</c:v>
                </c:pt>
                <c:pt idx="12">
                  <c:v>697.16739204940006</c:v>
                </c:pt>
                <c:pt idx="13">
                  <c:v>132.24097599999999</c:v>
                </c:pt>
                <c:pt idx="14">
                  <c:v>603.22026834339999</c:v>
                </c:pt>
                <c:pt idx="15">
                  <c:v>223.13827499999999</c:v>
                </c:pt>
                <c:pt idx="16">
                  <c:v>4.1088619103300008</c:v>
                </c:pt>
                <c:pt idx="17">
                  <c:v>13.093316939999999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5-4DD1-92C7-6293075E9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Distributions</a:t>
            </a:r>
            <a:endParaRPr lang="en-US" b="1"/>
          </a:p>
        </c:rich>
      </c:tx>
      <c:layout>
        <c:manualLayout>
          <c:xMode val="edge"/>
          <c:yMode val="edge"/>
          <c:x val="0.41201868829819543"/>
          <c:y val="4.13873175501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Profile'!$T$6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Profile'!$T$7:$T$24</c:f>
              <c:numCache>
                <c:formatCode>"$"#,##0.0_);[Red]\("$"#,##0.0\)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0.58290199999999992</c:v>
                </c:pt>
                <c:pt idx="8">
                  <c:v>7.6348349999999995E-2</c:v>
                </c:pt>
                <c:pt idx="9">
                  <c:v>0</c:v>
                </c:pt>
                <c:pt idx="10">
                  <c:v>0.44505899999999998</c:v>
                </c:pt>
                <c:pt idx="11">
                  <c:v>0.13969399999999998</c:v>
                </c:pt>
                <c:pt idx="12">
                  <c:v>0</c:v>
                </c:pt>
                <c:pt idx="13">
                  <c:v>5.227786</c:v>
                </c:pt>
                <c:pt idx="14">
                  <c:v>0</c:v>
                </c:pt>
                <c:pt idx="15">
                  <c:v>0.47078465000000003</c:v>
                </c:pt>
                <c:pt idx="16">
                  <c:v>2.9557743514081998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B-4191-9358-04E55D15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175156</xdr:colOff>
      <xdr:row>29</xdr:row>
      <xdr:rowOff>81493</xdr:rowOff>
    </xdr:from>
    <xdr:to>
      <xdr:col>15</xdr:col>
      <xdr:colOff>557743</xdr:colOff>
      <xdr:row>49</xdr:row>
      <xdr:rowOff>116416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DE165-8794-44F1-B192-04775E529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424391</xdr:colOff>
      <xdr:row>29</xdr:row>
      <xdr:rowOff>73025</xdr:rowOff>
    </xdr:from>
    <xdr:to>
      <xdr:col>22</xdr:col>
      <xdr:colOff>523346</xdr:colOff>
      <xdr:row>49</xdr:row>
      <xdr:rowOff>107948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338A2-B4CF-4F62-9440-859A8959B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owper/AppData/Local/Microsoft/Windows/INetCache/Content.Outlook/CXOJLCLH/2020%20Depreciation%20Budget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y.malkin/AppData/Local/Microsoft/Windows/INetCache/Content.Outlook/W41H5SDE/FLYR%20-%20Detailed%20Bridge%20Financing%20Pro%20Forma%20Cap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Control"/>
      <sheetName val="Additions"/>
      <sheetName val="ONT"/>
      <sheetName val="OXUS"/>
      <sheetName val="OXGF"/>
      <sheetName val="OXSG"/>
      <sheetName val="UEL"/>
      <sheetName val="Output"/>
      <sheetName val="Capex"/>
      <sheetName val="Summary"/>
    </sheetNames>
    <sheetDataSet>
      <sheetData sheetId="0" refreshError="1"/>
      <sheetData sheetId="1"/>
      <sheetData sheetId="2">
        <row r="2">
          <cell r="N2">
            <v>43739</v>
          </cell>
          <cell r="O2">
            <v>43770</v>
          </cell>
          <cell r="P2">
            <v>43800</v>
          </cell>
          <cell r="Q2">
            <v>43831</v>
          </cell>
          <cell r="R2">
            <v>43862</v>
          </cell>
          <cell r="S2">
            <v>43891</v>
          </cell>
          <cell r="T2">
            <v>43922</v>
          </cell>
          <cell r="U2">
            <v>43952</v>
          </cell>
          <cell r="V2">
            <v>43983</v>
          </cell>
          <cell r="W2">
            <v>44013</v>
          </cell>
          <cell r="X2">
            <v>44044</v>
          </cell>
          <cell r="Y2">
            <v>44075</v>
          </cell>
          <cell r="Z2">
            <v>44105</v>
          </cell>
          <cell r="AA2">
            <v>44136</v>
          </cell>
          <cell r="AB2">
            <v>44166</v>
          </cell>
          <cell r="AC2">
            <v>44197</v>
          </cell>
          <cell r="AD2">
            <v>44228</v>
          </cell>
          <cell r="AE2">
            <v>44256</v>
          </cell>
          <cell r="AF2">
            <v>44287</v>
          </cell>
          <cell r="AG2">
            <v>44317</v>
          </cell>
          <cell r="AH2">
            <v>44348</v>
          </cell>
          <cell r="AI2">
            <v>44378</v>
          </cell>
          <cell r="AJ2">
            <v>44409</v>
          </cell>
          <cell r="AK2">
            <v>44440</v>
          </cell>
          <cell r="AL2">
            <v>44470</v>
          </cell>
          <cell r="AM2">
            <v>44501</v>
          </cell>
          <cell r="AN2">
            <v>44531</v>
          </cell>
        </row>
      </sheetData>
      <sheetData sheetId="3"/>
      <sheetData sheetId="4"/>
      <sheetData sheetId="5"/>
      <sheetData sheetId="6">
        <row r="3">
          <cell r="B3" t="str">
            <v>BLDG</v>
          </cell>
        </row>
        <row r="4">
          <cell r="B4" t="str">
            <v>ELECT</v>
          </cell>
        </row>
        <row r="5">
          <cell r="B5" t="str">
            <v>LAND</v>
          </cell>
        </row>
        <row r="6">
          <cell r="B6" t="str">
            <v>LHI</v>
          </cell>
        </row>
        <row r="7">
          <cell r="B7" t="str">
            <v>REFURB</v>
          </cell>
        </row>
        <row r="8">
          <cell r="B8" t="str">
            <v>FURN</v>
          </cell>
        </row>
        <row r="9">
          <cell r="B9" t="str">
            <v>IT EQUIP</v>
          </cell>
        </row>
        <row r="10">
          <cell r="B10" t="str">
            <v>BLDG PLANT</v>
          </cell>
        </row>
        <row r="11">
          <cell r="B11" t="str">
            <v>IT PLANT 7</v>
          </cell>
        </row>
        <row r="12">
          <cell r="B12" t="str">
            <v>IT PLANT10</v>
          </cell>
        </row>
        <row r="13">
          <cell r="B13" t="str">
            <v>LAB EQUIP</v>
          </cell>
        </row>
        <row r="14">
          <cell r="B14" t="str">
            <v>PLANT ACQD</v>
          </cell>
        </row>
        <row r="15">
          <cell r="B15" t="str">
            <v>INTERNAL</v>
          </cell>
        </row>
        <row r="18">
          <cell r="B18" t="str">
            <v>ONT</v>
          </cell>
        </row>
        <row r="19">
          <cell r="B19" t="str">
            <v>OXUS</v>
          </cell>
        </row>
        <row r="20">
          <cell r="B20" t="str">
            <v>GF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Cap"/>
      <sheetName val="Pro Forma (2)"/>
    </sheetNames>
    <sheetDataSet>
      <sheetData sheetId="0">
        <row r="133">
          <cell r="T133">
            <v>43086515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tent.pitchbook.com/share/quick-link/profile/d313a5fe-7fe8-46b0-bd4e-c9a559f09903?hash=705bf8e99306be49491834abdbafa724e5a74b0dcde471b82628249812eb0d20" TargetMode="External"/><Relationship Id="rId18" Type="http://schemas.openxmlformats.org/officeDocument/2006/relationships/hyperlink" Target="https://content.pitchbook.com/share/quick-link/profile/c4669b25-4671-492f-8a36-44d866232f73?hash=537180e6e8cd889932ef0e539220370789c93cdf47821500a67340045047dedd" TargetMode="External"/><Relationship Id="rId26" Type="http://schemas.openxmlformats.org/officeDocument/2006/relationships/hyperlink" Target="https://about.endlessstudios.com/" TargetMode="External"/><Relationship Id="rId39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21" Type="http://schemas.openxmlformats.org/officeDocument/2006/relationships/hyperlink" Target="https://content.pitchbook.com/share/quick-link/profile/717a2522-d063-42cf-8f84-45487424c241?hash=fd8b52500bf81cdeef155cef0e576ef43af6f6bde419982dabea414c13b0905b" TargetMode="External"/><Relationship Id="rId34" Type="http://schemas.openxmlformats.org/officeDocument/2006/relationships/hyperlink" Target="https://worldcoin.org/" TargetMode="External"/><Relationship Id="rId42" Type="http://schemas.openxmlformats.org/officeDocument/2006/relationships/hyperlink" Target="https://www.sinovationventures.com/" TargetMode="External"/><Relationship Id="rId47" Type="http://schemas.openxmlformats.org/officeDocument/2006/relationships/hyperlink" Target="https://coinmarketcap.com/currencies/worldcoin-org/" TargetMode="External"/><Relationship Id="rId7" Type="http://schemas.openxmlformats.org/officeDocument/2006/relationships/hyperlink" Target="https://esyasoft.com/" TargetMode="External"/><Relationship Id="rId2" Type="http://schemas.openxmlformats.org/officeDocument/2006/relationships/hyperlink" Target="https://content.pitchbook.com/share/quick-link/profile/c3559052-569f-4734-9326-6bc9e66c3803?hash=5b86c2208c503e13f5e01aeff93be57177c4500447117bc7b0fd15fa87fefb61" TargetMode="External"/><Relationship Id="rId16" Type="http://schemas.openxmlformats.org/officeDocument/2006/relationships/hyperlink" Target="https://content.pitchbook.com/share/quick-link/profile/977c9bc6-d463-4f0e-840f-f877fbdee913?hash=6292246e68f7b4db4fde651ce38c1d1b49f1ac6c484d15e8368b7d512c7da627" TargetMode="External"/><Relationship Id="rId29" Type="http://schemas.openxmlformats.org/officeDocument/2006/relationships/hyperlink" Target="https://drivenets.com/" TargetMode="External"/><Relationship Id="rId11" Type="http://schemas.openxmlformats.org/officeDocument/2006/relationships/hyperlink" Target="https://content.pitchbook.com/share/quick-link/profile/f65b17fd-9584-48d5-8061-046cec128698?hash=8190a7d2e3c0de1c620fea60b3f16ea39dd0f0eb2bbe8b1878500870ff7d16c5" TargetMode="External"/><Relationship Id="rId24" Type="http://schemas.openxmlformats.org/officeDocument/2006/relationships/hyperlink" Target="https://www.jusantechnologies.com/" TargetMode="External"/><Relationship Id="rId32" Type="http://schemas.openxmlformats.org/officeDocument/2006/relationships/hyperlink" Target="https://www.aaico.com/" TargetMode="External"/><Relationship Id="rId37" Type="http://schemas.openxmlformats.org/officeDocument/2006/relationships/hyperlink" Target="https://esyasoft.com/" TargetMode="External"/><Relationship Id="rId40" Type="http://schemas.openxmlformats.org/officeDocument/2006/relationships/hyperlink" Target="https://content.pitchbook.com/share/quick-link/profile/52976871-1b92-429c-adae-72c5790c71e6?hash=debcc1f956455b7b80b208ca18faece43eb9ebf2f562a286552ece29394860e0" TargetMode="External"/><Relationship Id="rId45" Type="http://schemas.openxmlformats.org/officeDocument/2006/relationships/hyperlink" Target="https://www.newspace.capital/" TargetMode="External"/><Relationship Id="rId5" Type="http://schemas.openxmlformats.org/officeDocument/2006/relationships/hyperlink" Target="https://content.pitchbook.com/share/quick-link/profile/19de50f7-123a-4600-ae3e-474d10a014a1?hash=f55b8119345b6d074e5fd4c8218131d2c4697b0f62d78daa684b28e01e034f40" TargetMode="External"/><Relationship Id="rId15" Type="http://schemas.openxmlformats.org/officeDocument/2006/relationships/hyperlink" Target="https://content.pitchbook.com/share/quick-link/profile/7d1d3c3e-1c94-4eff-9bd0-9ed1dbfea57a?hash=aee9dd5b70340773dac95f6a6bdda95efa4ba808ee31d77748c261b0f50d6ee0" TargetMode="External"/><Relationship Id="rId23" Type="http://schemas.openxmlformats.org/officeDocument/2006/relationships/hyperlink" Target="https://www.heygears.com/" TargetMode="External"/><Relationship Id="rId28" Type="http://schemas.openxmlformats.org/officeDocument/2006/relationships/hyperlink" Target="https://www.xfusion.com/en" TargetMode="External"/><Relationship Id="rId36" Type="http://schemas.openxmlformats.org/officeDocument/2006/relationships/hyperlink" Target="http://www.menamobile.net/" TargetMode="External"/><Relationship Id="rId49" Type="http://schemas.openxmlformats.org/officeDocument/2006/relationships/printerSettings" Target="../printerSettings/printerSettings4.bin"/><Relationship Id="rId10" Type="http://schemas.openxmlformats.org/officeDocument/2006/relationships/hyperlink" Target="https://nanoporetech.com/" TargetMode="External"/><Relationship Id="rId19" Type="http://schemas.openxmlformats.org/officeDocument/2006/relationships/hyperlink" Target="https://content.pitchbook.com/share/quick-link/profile/7f2b89dc-572a-4e43-89b3-ff13545261be?hash=dd5ed2b8f9f614c7491361e803ee888155347a1bfc77fc7b6673fcdde833aa64" TargetMode="External"/><Relationship Id="rId31" Type="http://schemas.openxmlformats.org/officeDocument/2006/relationships/hyperlink" Target="https://www.hihonor.com/ae-en/" TargetMode="External"/><Relationship Id="rId44" Type="http://schemas.openxmlformats.org/officeDocument/2006/relationships/hyperlink" Target="https://content.pitchbook.com/share/quick-link/profile/296d3360-d124-4bfc-9642-27ead34d5735?hash=61a9098c561f1761188f754345b40ac77cbd5b5d01dba3db45587f3d6d97c810" TargetMode="External"/><Relationship Id="rId4" Type="http://schemas.openxmlformats.org/officeDocument/2006/relationships/hyperlink" Target="http://www.menamobile.net/" TargetMode="External"/><Relationship Id="rId9" Type="http://schemas.openxmlformats.org/officeDocument/2006/relationships/hyperlink" Target="https://content.pitchbook.com/share/quick-link/profile/66ab624f-2824-4b9b-aabf-99646e994f28?hash=44b713d63c48694a40d94a66fc13da4b570d7eeda7aa80e646d94645ce9378c7" TargetMode="External"/><Relationship Id="rId14" Type="http://schemas.openxmlformats.org/officeDocument/2006/relationships/hyperlink" Target="https://content.pitchbook.com/share/quick-link/profile/db87260a-cb44-41bd-b7e1-a4c009a1ca19?hash=b2b8408fc4eeca7be59ca75c2a0bb22d10924012f06480ee32fe4d96a1bf3e6f" TargetMode="External"/><Relationship Id="rId22" Type="http://schemas.openxmlformats.org/officeDocument/2006/relationships/hyperlink" Target="https://content.pitchbook.com/share/quick-link/profile/f069e041-f140-4536-860a-9f8045ee3a04?hash=b878233c47752ab783414fa3fd02a1f431a5e4430d076abfa2f8af6bde5d8196" TargetMode="External"/><Relationship Id="rId27" Type="http://schemas.openxmlformats.org/officeDocument/2006/relationships/hyperlink" Target="https://www.instadeep.com/" TargetMode="External"/><Relationship Id="rId30" Type="http://schemas.openxmlformats.org/officeDocument/2006/relationships/hyperlink" Target="https://vtvtherapeutics.com/" TargetMode="External"/><Relationship Id="rId35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43" Type="http://schemas.openxmlformats.org/officeDocument/2006/relationships/hyperlink" Target="https://aciesinvestments.com/" TargetMode="External"/><Relationship Id="rId48" Type="http://schemas.openxmlformats.org/officeDocument/2006/relationships/hyperlink" Target="https://worldcoin.org/" TargetMode="External"/><Relationship Id="rId8" Type="http://schemas.openxmlformats.org/officeDocument/2006/relationships/hyperlink" Target="https://www.beyond.ai/" TargetMode="External"/><Relationship Id="rId3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12" Type="http://schemas.openxmlformats.org/officeDocument/2006/relationships/hyperlink" Target="https://content.pitchbook.com/share/quick-link/profile/10df1d1e-b4aa-4425-b8d3-d259fd30a005?hash=ef6a85a84e6959fe5fb517cec094818e449d852f1d4e6d09d4f34cf1534aa706" TargetMode="External"/><Relationship Id="rId17" Type="http://schemas.openxmlformats.org/officeDocument/2006/relationships/hyperlink" Target="https://content.pitchbook.com/share/quick-link/profile/8c959748-a0b7-4cab-b757-754ae2fc5155?hash=695575bdd269f5d7fa0792d1e442ba854ee2c003412c3f4834a8685f0f6e9ad7" TargetMode="External"/><Relationship Id="rId25" Type="http://schemas.openxmlformats.org/officeDocument/2006/relationships/hyperlink" Target="https://www.cerebras.net/" TargetMode="External"/><Relationship Id="rId33" Type="http://schemas.openxmlformats.org/officeDocument/2006/relationships/hyperlink" Target="https://www.e-space.com/" TargetMode="External"/><Relationship Id="rId38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46" Type="http://schemas.openxmlformats.org/officeDocument/2006/relationships/hyperlink" Target="https://www.newspace.capital/" TargetMode="External"/><Relationship Id="rId20" Type="http://schemas.openxmlformats.org/officeDocument/2006/relationships/hyperlink" Target="https://content.pitchbook.com/share/quick-link/profile/40339746-826f-4002-b3ea-3a1c2787f735?hash=56cbd2323c6b264f2f7ef697a95f8044e49e6bb8ea4b8c523c80f277d2796d20" TargetMode="External"/><Relationship Id="rId41" Type="http://schemas.openxmlformats.org/officeDocument/2006/relationships/hyperlink" Target="https://content.pitchbook.com/share/quick-link/profile/fb899b6a-90bd-49bc-ab54-32cb8d08a6c9?hash=e745e0fbced5db4107475a4007c041da5ba1008f2d86e69b1183cca2ce20c092" TargetMode="External"/><Relationship Id="rId1" Type="http://schemas.openxmlformats.org/officeDocument/2006/relationships/hyperlink" Target="http://www.jollychic.com/" TargetMode="External"/><Relationship Id="rId6" Type="http://schemas.openxmlformats.org/officeDocument/2006/relationships/hyperlink" Target="https://flyrlabs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nasdaq.com/market-activity/stocks/vtvt" TargetMode="External"/><Relationship Id="rId1" Type="http://schemas.openxmlformats.org/officeDocument/2006/relationships/hyperlink" Target="https://www.lse.co.uk/SharePrice.asp?shareprice=ONT&amp;share=Oxford-Nano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londonstockexchange.com/news-article/ONT/issue-of-equity-and-total-voting-rights/15523151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F99D-61A4-448A-AFCB-0D31A50936E2}">
  <sheetPr>
    <tabColor theme="7" tint="0.39997558519241921"/>
  </sheetPr>
  <dimension ref="B1:O20"/>
  <sheetViews>
    <sheetView showGridLines="0" zoomScale="130" zoomScaleNormal="130" zoomScaleSheetLayoutView="90" workbookViewId="0">
      <selection activeCell="D3" sqref="D3"/>
    </sheetView>
  </sheetViews>
  <sheetFormatPr defaultColWidth="9.1796875" defaultRowHeight="14.5" x14ac:dyDescent="0.35"/>
  <cols>
    <col min="1" max="1" width="9.1796875" style="80"/>
    <col min="2" max="2" width="5.26953125" style="80" customWidth="1"/>
    <col min="3" max="3" width="21.54296875" style="81" customWidth="1"/>
    <col min="4" max="4" width="15.81640625" style="80" bestFit="1" customWidth="1"/>
    <col min="5" max="8" width="14.54296875" style="80" customWidth="1"/>
    <col min="9" max="9" width="17.26953125" style="80" customWidth="1"/>
    <col min="10" max="13" width="13.7265625" style="80" customWidth="1"/>
    <col min="14" max="16384" width="9.1796875" style="80"/>
  </cols>
  <sheetData>
    <row r="1" spans="2:15" ht="15" thickBot="1" x14ac:dyDescent="0.4"/>
    <row r="2" spans="2:15" s="136" customFormat="1" ht="15" thickBot="1" x14ac:dyDescent="0.4">
      <c r="C2" s="258" t="s">
        <v>227</v>
      </c>
      <c r="D2" s="272">
        <v>45138</v>
      </c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35">
      <c r="F3" s="376"/>
      <c r="G3" s="376"/>
      <c r="H3" s="377" t="s">
        <v>240</v>
      </c>
      <c r="I3" s="376"/>
      <c r="J3" s="376"/>
      <c r="L3" s="313" t="s">
        <v>266</v>
      </c>
    </row>
    <row r="4" spans="2:15" ht="15" thickBot="1" x14ac:dyDescent="0.4">
      <c r="D4" s="285"/>
    </row>
    <row r="5" spans="2:15" x14ac:dyDescent="0.35">
      <c r="B5" s="301"/>
      <c r="C5" s="154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156"/>
    </row>
    <row r="6" spans="2:15" ht="34.5" customHeight="1" x14ac:dyDescent="0.35">
      <c r="B6" s="163"/>
      <c r="C6" s="303"/>
      <c r="D6" s="304" t="s">
        <v>239</v>
      </c>
      <c r="E6" s="304" t="s">
        <v>41</v>
      </c>
      <c r="F6" s="305" t="s">
        <v>2</v>
      </c>
      <c r="G6" s="305" t="s">
        <v>291</v>
      </c>
      <c r="H6" s="305" t="s">
        <v>42</v>
      </c>
      <c r="I6" s="305" t="s">
        <v>215</v>
      </c>
      <c r="J6" s="305" t="s">
        <v>32</v>
      </c>
      <c r="K6" s="305" t="s">
        <v>43</v>
      </c>
      <c r="L6" s="305" t="s">
        <v>228</v>
      </c>
      <c r="M6" s="305" t="s">
        <v>140</v>
      </c>
      <c r="N6" s="164"/>
    </row>
    <row r="7" spans="2:15" x14ac:dyDescent="0.35">
      <c r="B7" s="163"/>
      <c r="C7" s="303"/>
      <c r="D7" s="303"/>
      <c r="E7" s="175"/>
      <c r="F7" s="175"/>
      <c r="G7" s="175"/>
      <c r="H7" s="175"/>
      <c r="I7" s="175"/>
      <c r="J7" s="175"/>
      <c r="K7" s="175"/>
      <c r="L7" s="175"/>
      <c r="M7" s="175"/>
      <c r="N7" s="164"/>
    </row>
    <row r="8" spans="2:15" x14ac:dyDescent="0.35">
      <c r="B8" s="163"/>
      <c r="C8" s="175" t="s">
        <v>232</v>
      </c>
      <c r="D8" s="311">
        <f>COUNTIF('S | 01 '!C10:C30,"*")</f>
        <v>19</v>
      </c>
      <c r="E8" s="263">
        <f ca="1">'1. IRR Equity'!AE33</f>
        <v>2108.0362048089241</v>
      </c>
      <c r="F8" s="263">
        <f ca="1">'1. IRR Equity'!AF33</f>
        <v>2100.5330433728436</v>
      </c>
      <c r="G8" s="263">
        <f ca="1">'1. IRR Equity'!AG33</f>
        <v>7.5031614360804335</v>
      </c>
      <c r="H8" s="263">
        <f ca="1">'1. IRR Equity'!AH33</f>
        <v>12.8207761</v>
      </c>
      <c r="I8" s="263">
        <f ca="1">'1. IRR Equity'!AI33</f>
        <v>2118.5933369349004</v>
      </c>
      <c r="J8" s="610">
        <f ca="1">'1. IRR Equity'!AJ33</f>
        <v>9.2234104871749927E-3</v>
      </c>
      <c r="K8" s="320">
        <f ca="1">'1. IRR Equity'!AK33</f>
        <v>1.0147015395732459</v>
      </c>
      <c r="L8" s="265">
        <f ca="1">'1. IRR Equity'!AL33</f>
        <v>1.0085979573704098</v>
      </c>
      <c r="M8" s="265">
        <f ca="1">'1. IRR Equity'!AM33</f>
        <v>6.1035822028362718E-3</v>
      </c>
      <c r="N8" s="164"/>
    </row>
    <row r="9" spans="2:15" x14ac:dyDescent="0.35">
      <c r="B9" s="163"/>
      <c r="C9" s="303"/>
      <c r="D9" s="303"/>
      <c r="E9" s="175"/>
      <c r="F9" s="175"/>
      <c r="G9" s="175"/>
      <c r="H9" s="175"/>
      <c r="I9" s="175"/>
      <c r="J9" s="398"/>
      <c r="K9" s="175"/>
      <c r="L9" s="175"/>
      <c r="M9" s="175"/>
      <c r="N9" s="164"/>
    </row>
    <row r="10" spans="2:15" x14ac:dyDescent="0.35">
      <c r="B10" s="163"/>
      <c r="C10" s="303"/>
      <c r="D10" s="303"/>
      <c r="E10" s="175"/>
      <c r="F10" s="175"/>
      <c r="G10" s="175"/>
      <c r="H10" s="175"/>
      <c r="I10" s="175"/>
      <c r="J10" s="398"/>
      <c r="K10" s="175"/>
      <c r="L10" s="175"/>
      <c r="M10" s="175"/>
      <c r="N10" s="164"/>
    </row>
    <row r="11" spans="2:15" x14ac:dyDescent="0.35">
      <c r="B11" s="163"/>
      <c r="C11" s="175" t="s">
        <v>233</v>
      </c>
      <c r="D11" s="311">
        <f>COUNTIF('S | 01 '!C33:C35,"*")</f>
        <v>3</v>
      </c>
      <c r="E11" s="263">
        <f>'2. IRR Debt'!Q12</f>
        <v>10.765747000000001</v>
      </c>
      <c r="F11" s="263">
        <f>'2. IRR Debt'!R12</f>
        <v>10.765747000000001</v>
      </c>
      <c r="G11" s="263">
        <f>'2. IRR Debt'!S12</f>
        <v>0</v>
      </c>
      <c r="H11" s="263">
        <f>'2. IRR Debt'!T12</f>
        <v>0.47078465000000003</v>
      </c>
      <c r="I11" s="263">
        <f>'2. IRR Debt'!U12</f>
        <v>2.3539819999999998</v>
      </c>
      <c r="J11" s="397">
        <f>'2. IRR Debt'!V12</f>
        <v>-0.32476586326956747</v>
      </c>
      <c r="K11" s="320">
        <f>'2. IRR Debt'!W12</f>
        <v>0.26238463991397898</v>
      </c>
      <c r="L11" s="265">
        <f>'2. IRR Debt'!X12</f>
        <v>0.21865477611539633</v>
      </c>
      <c r="M11" s="265">
        <f>'2. IRR Debt'!Y12</f>
        <v>4.3729863798582673E-2</v>
      </c>
      <c r="N11" s="164"/>
    </row>
    <row r="12" spans="2:15" x14ac:dyDescent="0.35">
      <c r="B12" s="163"/>
      <c r="C12" s="303"/>
      <c r="D12" s="312"/>
      <c r="E12" s="175"/>
      <c r="F12" s="175"/>
      <c r="G12" s="175"/>
      <c r="H12" s="175"/>
      <c r="I12" s="175"/>
      <c r="J12" s="398"/>
      <c r="K12" s="175"/>
      <c r="L12" s="175"/>
      <c r="M12" s="175"/>
      <c r="N12" s="164"/>
    </row>
    <row r="13" spans="2:15" x14ac:dyDescent="0.35">
      <c r="B13" s="163"/>
      <c r="C13" s="303"/>
      <c r="D13" s="312"/>
      <c r="E13" s="175"/>
      <c r="F13" s="175"/>
      <c r="G13" s="175"/>
      <c r="H13" s="175"/>
      <c r="I13" s="175"/>
      <c r="J13" s="398"/>
      <c r="K13" s="175"/>
      <c r="L13" s="175"/>
      <c r="M13" s="175"/>
      <c r="N13" s="164"/>
    </row>
    <row r="14" spans="2:15" x14ac:dyDescent="0.35">
      <c r="B14" s="163"/>
      <c r="C14" s="175" t="s">
        <v>234</v>
      </c>
      <c r="D14" s="311">
        <f>COUNTIF('S | 01 '!C39:C43,"*")</f>
        <v>5</v>
      </c>
      <c r="E14" s="263">
        <f>'3. IRR Funds'!Q15</f>
        <v>398.15519060923788</v>
      </c>
      <c r="F14" s="263">
        <f ca="1">'3. IRR Funds'!R15</f>
        <v>131.73841750447116</v>
      </c>
      <c r="G14" s="263">
        <f ca="1">'3. IRR Funds'!S15</f>
        <v>267.44473410476667</v>
      </c>
      <c r="H14" s="263">
        <f ca="1">'3. IRR Funds'!T15</f>
        <v>4.4275637014082001</v>
      </c>
      <c r="I14" s="263">
        <f ca="1">'3. IRR Funds'!U15</f>
        <v>130.9149330932735</v>
      </c>
      <c r="J14" s="610">
        <f>'3. IRR Funds'!V15</f>
        <v>1.008366644382477E-2</v>
      </c>
      <c r="K14" s="320">
        <f ca="1">'3. IRR Funds'!W15</f>
        <v>1.0273578456344232</v>
      </c>
      <c r="L14" s="265">
        <f ca="1">'3. IRR Funds'!X15</f>
        <v>0.99374909440391823</v>
      </c>
      <c r="M14" s="265">
        <f ca="1">'3. IRR Funds'!Y15</f>
        <v>3.3608751230505177E-2</v>
      </c>
      <c r="N14" s="164"/>
    </row>
    <row r="15" spans="2:15" x14ac:dyDescent="0.35">
      <c r="B15" s="163"/>
      <c r="C15" s="303"/>
      <c r="D15" s="312"/>
      <c r="E15" s="175"/>
      <c r="F15" s="175"/>
      <c r="G15" s="175"/>
      <c r="H15" s="175"/>
      <c r="I15" s="175"/>
      <c r="J15" s="398"/>
      <c r="K15" s="175"/>
      <c r="L15" s="175"/>
      <c r="M15" s="175"/>
      <c r="N15" s="164"/>
    </row>
    <row r="16" spans="2:15" x14ac:dyDescent="0.35">
      <c r="B16" s="163"/>
      <c r="C16" s="303"/>
      <c r="D16" s="303"/>
      <c r="E16" s="175"/>
      <c r="F16" s="175"/>
      <c r="G16" s="175"/>
      <c r="H16" s="175"/>
      <c r="I16" s="175"/>
      <c r="J16" s="398"/>
      <c r="K16" s="175"/>
      <c r="L16" s="175"/>
      <c r="M16" s="175"/>
      <c r="N16" s="164"/>
    </row>
    <row r="17" spans="2:14" x14ac:dyDescent="0.35">
      <c r="B17" s="163"/>
      <c r="C17" s="175" t="s">
        <v>235</v>
      </c>
      <c r="D17" s="311">
        <f t="shared" ref="D17:I17" si="0">D8+D11+D14</f>
        <v>27</v>
      </c>
      <c r="E17" s="263">
        <f t="shared" ca="1" si="0"/>
        <v>2516.9571424181618</v>
      </c>
      <c r="F17" s="263">
        <f t="shared" ca="1" si="0"/>
        <v>2243.0372078773148</v>
      </c>
      <c r="G17" s="263">
        <f t="shared" ca="1" si="0"/>
        <v>274.94789554084713</v>
      </c>
      <c r="H17" s="263">
        <f t="shared" ca="1" si="0"/>
        <v>17.719124451408199</v>
      </c>
      <c r="I17" s="263">
        <f t="shared" ca="1" si="0"/>
        <v>2251.8622520281742</v>
      </c>
      <c r="J17" s="610">
        <f ca="1">'4.All'!N9</f>
        <v>7.0974320173263555E-3</v>
      </c>
      <c r="K17" s="320">
        <f ca="1">(H17+I17)/F17</f>
        <v>1.0118340295511137</v>
      </c>
      <c r="L17" s="265">
        <f ca="1">I17/F17</f>
        <v>1.0039344171910598</v>
      </c>
      <c r="M17" s="265">
        <f ca="1">H17/F17</f>
        <v>7.8996123600537996E-3</v>
      </c>
      <c r="N17" s="164"/>
    </row>
    <row r="18" spans="2:14" s="92" customFormat="1" ht="15" thickBot="1" x14ac:dyDescent="0.4">
      <c r="B18" s="306"/>
      <c r="C18" s="307"/>
      <c r="D18" s="307"/>
      <c r="E18" s="407"/>
      <c r="F18" s="307"/>
      <c r="G18" s="307"/>
      <c r="H18" s="307"/>
      <c r="I18" s="307"/>
      <c r="J18" s="399"/>
      <c r="K18" s="307"/>
      <c r="L18" s="307"/>
      <c r="M18" s="307"/>
      <c r="N18" s="308"/>
    </row>
    <row r="19" spans="2:14" x14ac:dyDescent="0.35">
      <c r="E19" s="408" t="b">
        <f ca="1">E17='S | 01 '!J46</f>
        <v>1</v>
      </c>
      <c r="F19" s="408" t="b">
        <f ca="1">F17='S | 01 '!K46</f>
        <v>1</v>
      </c>
      <c r="G19" s="409" t="b">
        <f ca="1">ROUND(G17,1)=ROUND('S | 01 '!L46,1)</f>
        <v>1</v>
      </c>
      <c r="H19" s="409" t="b">
        <f ca="1">ROUND(H17,1)=ROUND('S | 01 '!M46,1)</f>
        <v>1</v>
      </c>
      <c r="I19" s="409" t="b">
        <f ca="1">ROUND(I17,1)=ROUND('S | 01 '!N46,1)</f>
        <v>1</v>
      </c>
      <c r="J19" s="400"/>
    </row>
    <row r="20" spans="2:14" x14ac:dyDescent="0.35">
      <c r="J20" s="400"/>
    </row>
  </sheetData>
  <pageMargins left="0.7" right="0.7" top="0.75" bottom="0.75" header="0.3" footer="0.3"/>
  <pageSetup paperSize="9" scale="3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1D4E-54E2-4DCA-B6CB-4F9D239066B3}">
  <sheetPr>
    <tabColor theme="7" tint="0.39997558519241921"/>
  </sheetPr>
  <dimension ref="B1:T78"/>
  <sheetViews>
    <sheetView showGridLines="0" zoomScale="70" zoomScaleNormal="70" workbookViewId="0">
      <selection activeCell="P28" sqref="P28"/>
    </sheetView>
  </sheetViews>
  <sheetFormatPr defaultColWidth="9.1796875" defaultRowHeight="14.5" x14ac:dyDescent="0.35"/>
  <cols>
    <col min="1" max="2" width="5.453125" style="80" customWidth="1"/>
    <col min="3" max="3" width="45.26953125" style="150" customWidth="1"/>
    <col min="4" max="4" width="17.1796875" style="81" customWidth="1"/>
    <col min="5" max="5" width="9.453125" style="81" bestFit="1" customWidth="1"/>
    <col min="6" max="6" width="23.1796875" style="81" customWidth="1"/>
    <col min="7" max="7" width="13.54296875" style="81" customWidth="1"/>
    <col min="8" max="8" width="27.26953125" style="81" customWidth="1"/>
    <col min="9" max="9" width="12.54296875" style="81" customWidth="1"/>
    <col min="10" max="11" width="15.1796875" style="81" customWidth="1"/>
    <col min="12" max="15" width="17.54296875" style="81" customWidth="1"/>
    <col min="16" max="16" width="17.54296875" style="194" customWidth="1"/>
    <col min="17" max="17" width="15.453125" style="81" customWidth="1"/>
    <col min="18" max="18" width="25.54296875" style="81" bestFit="1" customWidth="1"/>
    <col min="19" max="19" width="14.81640625" style="81" bestFit="1" customWidth="1"/>
    <col min="20" max="20" width="9.1796875" style="80"/>
    <col min="21" max="22" width="18.54296875" style="80" customWidth="1"/>
    <col min="23" max="16384" width="9.1796875" style="80"/>
  </cols>
  <sheetData>
    <row r="1" spans="2:19" s="162" customFormat="1" ht="21.75" customHeight="1" thickBot="1" x14ac:dyDescent="0.4">
      <c r="C1" s="335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4"/>
      <c r="Q1" s="333"/>
      <c r="R1" s="333"/>
      <c r="S1" s="333"/>
    </row>
    <row r="2" spans="2:19" ht="15" thickBot="1" x14ac:dyDescent="0.4">
      <c r="C2" s="387" t="s">
        <v>241</v>
      </c>
      <c r="D2" s="388">
        <f>D!D2</f>
        <v>45138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2:19" s="162" customFormat="1" ht="21.75" customHeight="1" thickBot="1" x14ac:dyDescent="0.4">
      <c r="C3" s="335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4"/>
      <c r="Q3" s="333"/>
      <c r="R3" s="333"/>
      <c r="S3" s="333"/>
    </row>
    <row r="4" spans="2:19" x14ac:dyDescent="0.35">
      <c r="B4" s="152"/>
      <c r="C4" s="153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337"/>
      <c r="Q4" s="154"/>
      <c r="R4" s="154"/>
      <c r="S4" s="533"/>
    </row>
    <row r="5" spans="2:19" x14ac:dyDescent="0.35">
      <c r="B5" s="163"/>
      <c r="C5" s="446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201"/>
      <c r="Q5" s="303"/>
      <c r="R5" s="303"/>
      <c r="S5" s="507"/>
    </row>
    <row r="6" spans="2:19" s="159" customFormat="1" ht="60" customHeight="1" x14ac:dyDescent="0.35">
      <c r="B6" s="157"/>
      <c r="C6" s="57" t="s">
        <v>62</v>
      </c>
      <c r="D6" s="1" t="s">
        <v>33</v>
      </c>
      <c r="E6" s="1" t="s">
        <v>100</v>
      </c>
      <c r="F6" s="1" t="s">
        <v>40</v>
      </c>
      <c r="G6" s="1" t="s">
        <v>190</v>
      </c>
      <c r="H6" s="1" t="s">
        <v>45</v>
      </c>
      <c r="I6" s="1" t="s">
        <v>64</v>
      </c>
      <c r="J6" s="1" t="s">
        <v>41</v>
      </c>
      <c r="K6" s="1" t="s">
        <v>2</v>
      </c>
      <c r="L6" s="1" t="s">
        <v>60</v>
      </c>
      <c r="M6" s="1" t="s">
        <v>42</v>
      </c>
      <c r="N6" s="1" t="s">
        <v>36</v>
      </c>
      <c r="O6" s="1" t="s">
        <v>270</v>
      </c>
      <c r="P6" s="1" t="s">
        <v>43</v>
      </c>
      <c r="Q6" s="1" t="s">
        <v>401</v>
      </c>
      <c r="R6" s="1" t="s">
        <v>61</v>
      </c>
      <c r="S6" s="587"/>
    </row>
    <row r="7" spans="2:19" s="162" customFormat="1" x14ac:dyDescent="0.35">
      <c r="B7" s="160"/>
      <c r="C7" s="59"/>
      <c r="D7" s="62"/>
      <c r="E7" s="62"/>
      <c r="F7" s="62"/>
      <c r="G7" s="62" t="s">
        <v>128</v>
      </c>
      <c r="H7" s="62"/>
      <c r="I7" s="62" t="s">
        <v>64</v>
      </c>
      <c r="J7" s="62" t="s">
        <v>431</v>
      </c>
      <c r="K7" s="62" t="s">
        <v>431</v>
      </c>
      <c r="L7" s="62" t="s">
        <v>431</v>
      </c>
      <c r="M7" s="62" t="s">
        <v>431</v>
      </c>
      <c r="N7" s="62" t="s">
        <v>431</v>
      </c>
      <c r="O7" s="62" t="s">
        <v>431</v>
      </c>
      <c r="P7" s="66" t="s">
        <v>432</v>
      </c>
      <c r="Q7" s="62" t="s">
        <v>64</v>
      </c>
      <c r="R7" s="62"/>
      <c r="S7" s="588"/>
    </row>
    <row r="8" spans="2:19" s="162" customFormat="1" x14ac:dyDescent="0.35">
      <c r="B8" s="160"/>
      <c r="C8" s="59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6"/>
      <c r="Q8" s="62"/>
      <c r="R8" s="62"/>
      <c r="S8" s="588"/>
    </row>
    <row r="9" spans="2:19" x14ac:dyDescent="0.35">
      <c r="B9" s="163"/>
      <c r="C9" s="70" t="s">
        <v>37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221"/>
      <c r="S9" s="507"/>
    </row>
    <row r="10" spans="2:19" x14ac:dyDescent="0.35">
      <c r="B10" s="163"/>
      <c r="C10" s="58" t="s">
        <v>57</v>
      </c>
      <c r="D10" s="56" t="s">
        <v>125</v>
      </c>
      <c r="E10" s="56" t="s">
        <v>102</v>
      </c>
      <c r="F10" s="56" t="s">
        <v>9</v>
      </c>
      <c r="G10" s="60">
        <v>2019</v>
      </c>
      <c r="H10" s="56" t="s">
        <v>116</v>
      </c>
      <c r="I10" s="224">
        <f>'6. %'!F9</f>
        <v>5.6999998161926343E-2</v>
      </c>
      <c r="J10" s="71">
        <v>65</v>
      </c>
      <c r="K10" s="71">
        <f ca="1">-SUMIF('CF (Equity, Debt)'!$C$3:$K$40,'S | 01 '!C10,'CF (Equity, Debt)'!$E$3:$E$40)</f>
        <v>65</v>
      </c>
      <c r="L10" s="71">
        <v>0</v>
      </c>
      <c r="M10" s="71">
        <f ca="1">SUMIF('CF (Equity, Debt)'!$C$3:$K$40,'S | 01 '!C10,'CF (Equity, Debt)'!$F$3:$F$40)</f>
        <v>0</v>
      </c>
      <c r="N10" s="71">
        <f>VLOOKUP(C10,NAV!$B$4:$E$44,4,0)</f>
        <v>0</v>
      </c>
      <c r="O10" s="71">
        <f ca="1">N10+M10-K10</f>
        <v>-65</v>
      </c>
      <c r="P10" s="64">
        <f t="shared" ref="P10:P22" ca="1" si="0">(M10+N10)/K10</f>
        <v>0</v>
      </c>
      <c r="Q10" s="224" t="str">
        <f>VLOOKUP(C10,'1. IRR Equity'!$AD$12:$AM$30,7,0)</f>
        <v>NM</v>
      </c>
      <c r="R10" s="221"/>
      <c r="S10" s="507"/>
    </row>
    <row r="11" spans="2:19" x14ac:dyDescent="0.35">
      <c r="B11" s="163"/>
      <c r="C11" s="58" t="s">
        <v>0</v>
      </c>
      <c r="D11" s="56" t="s">
        <v>121</v>
      </c>
      <c r="E11" s="56" t="s">
        <v>102</v>
      </c>
      <c r="F11" s="56" t="s">
        <v>9</v>
      </c>
      <c r="G11" s="60">
        <v>2019</v>
      </c>
      <c r="H11" s="56" t="s">
        <v>111</v>
      </c>
      <c r="I11" s="224">
        <f>'6. %'!F10</f>
        <v>0.14000000235296001</v>
      </c>
      <c r="J11" s="71">
        <v>8</v>
      </c>
      <c r="K11" s="71">
        <f ca="1">-SUMIF('CF (Equity, Debt)'!$C$3:$K$40,'S | 01 '!C11,'CF (Equity, Debt)'!$E$3:$E$40)</f>
        <v>8</v>
      </c>
      <c r="L11" s="71">
        <v>0</v>
      </c>
      <c r="M11" s="71">
        <f ca="1">SUMIF('CF (Equity, Debt)'!$C$3:$K$40,'S | 01 '!C11,'CF (Equity, Debt)'!$F$3:$F$40)</f>
        <v>0</v>
      </c>
      <c r="N11" s="71">
        <f>VLOOKUP(C11,NAV!$B$4:$E$44,4,0)</f>
        <v>0</v>
      </c>
      <c r="O11" s="71">
        <f t="shared" ref="O11:O28" ca="1" si="1">N11+M11-K11</f>
        <v>-8</v>
      </c>
      <c r="P11" s="64">
        <f t="shared" ca="1" si="0"/>
        <v>0</v>
      </c>
      <c r="Q11" s="224" t="str">
        <f>VLOOKUP(C11,'1. IRR Equity'!$AD$12:$AM$30,7,0)</f>
        <v>NM</v>
      </c>
      <c r="R11" s="221"/>
      <c r="S11" s="507"/>
    </row>
    <row r="12" spans="2:19" ht="17" x14ac:dyDescent="0.35">
      <c r="B12" s="163"/>
      <c r="C12" s="58" t="s">
        <v>48</v>
      </c>
      <c r="D12" s="56" t="s">
        <v>121</v>
      </c>
      <c r="E12" s="56" t="s">
        <v>101</v>
      </c>
      <c r="F12" s="56" t="s">
        <v>9</v>
      </c>
      <c r="G12" s="60">
        <v>2019</v>
      </c>
      <c r="H12" s="56" t="s">
        <v>118</v>
      </c>
      <c r="I12" s="224">
        <f>'6. %'!F11</f>
        <v>8.5025484621212399E-2</v>
      </c>
      <c r="J12" s="71">
        <v>10</v>
      </c>
      <c r="K12" s="71">
        <f ca="1">-SUMIF('CF (Equity, Debt)'!$C$3:$K$40,'S | 01 '!C12,'CF (Equity, Debt)'!$E$3:$E$40)</f>
        <v>10</v>
      </c>
      <c r="L12" s="71">
        <v>0</v>
      </c>
      <c r="M12" s="71">
        <f ca="1">SUMIF('CF (Equity, Debt)'!$C$3:$K$40,'S | 01 '!C12,'CF (Equity, Debt)'!$F$3:$F$40)</f>
        <v>0</v>
      </c>
      <c r="N12" s="71">
        <f>VLOOKUP(C12,NAV!$B$4:$E$44,4,0)</f>
        <v>78.082229999999996</v>
      </c>
      <c r="O12" s="71">
        <f t="shared" ca="1" si="1"/>
        <v>68.082229999999996</v>
      </c>
      <c r="P12" s="64">
        <f t="shared" ca="1" si="0"/>
        <v>7.8082229999999999</v>
      </c>
      <c r="Q12" s="224">
        <f>VLOOKUP(C12,'1. IRR Equity'!$AD$12:$AM$30,7,0)</f>
        <v>0.69797843694686912</v>
      </c>
      <c r="R12" s="221" t="s">
        <v>203</v>
      </c>
      <c r="S12" s="507"/>
    </row>
    <row r="13" spans="2:19" x14ac:dyDescent="0.35">
      <c r="B13" s="163"/>
      <c r="C13" s="58" t="s">
        <v>49</v>
      </c>
      <c r="D13" s="56" t="s">
        <v>122</v>
      </c>
      <c r="E13" s="56" t="s">
        <v>101</v>
      </c>
      <c r="F13" s="56" t="s">
        <v>9</v>
      </c>
      <c r="G13" s="60">
        <v>2020</v>
      </c>
      <c r="H13" s="56" t="s">
        <v>54</v>
      </c>
      <c r="I13" s="224" t="str">
        <f>'6. %'!F12</f>
        <v>n/a</v>
      </c>
      <c r="J13" s="71">
        <v>2.5</v>
      </c>
      <c r="K13" s="71">
        <f ca="1">-SUMIF('CF (Equity, Debt)'!$C$3:$K$40,'S | 01 '!C13,'CF (Equity, Debt)'!$E$3:$E$40)</f>
        <v>2.5</v>
      </c>
      <c r="L13" s="71">
        <v>0</v>
      </c>
      <c r="M13" s="71">
        <f ca="1">SUMIF('CF (Equity, Debt)'!$C$3:$K$40,'S | 01 '!C13,'CF (Equity, Debt)'!$F$3:$F$40)</f>
        <v>5</v>
      </c>
      <c r="N13" s="71">
        <f>VLOOKUP(C13,NAV!$B$4:$E$44,4,0)</f>
        <v>0</v>
      </c>
      <c r="O13" s="71">
        <f t="shared" ca="1" si="1"/>
        <v>2.5</v>
      </c>
      <c r="P13" s="64">
        <f t="shared" ca="1" si="0"/>
        <v>2</v>
      </c>
      <c r="Q13" s="224">
        <f>VLOOKUP(C13,'1. IRR Equity'!$AD$12:$AM$30,7,0)</f>
        <v>0.36091765761375438</v>
      </c>
      <c r="R13" s="221"/>
      <c r="S13" s="507"/>
    </row>
    <row r="14" spans="2:19" x14ac:dyDescent="0.35">
      <c r="B14" s="163"/>
      <c r="C14" s="58" t="s">
        <v>47</v>
      </c>
      <c r="D14" s="56" t="s">
        <v>121</v>
      </c>
      <c r="E14" s="56" t="s">
        <v>103</v>
      </c>
      <c r="F14" s="56" t="s">
        <v>9</v>
      </c>
      <c r="G14" s="60">
        <v>2020</v>
      </c>
      <c r="H14" s="56" t="s">
        <v>110</v>
      </c>
      <c r="I14" s="224">
        <f>'6. %'!F13</f>
        <v>9.7965107245756355E-2</v>
      </c>
      <c r="J14" s="71">
        <v>90</v>
      </c>
      <c r="K14" s="71">
        <f ca="1">-SUMIF('CF (Equity, Debt)'!$C$3:$K$40,'S | 01 '!C14,'CF (Equity, Debt)'!$E$3:$E$40)</f>
        <v>90</v>
      </c>
      <c r="L14" s="71">
        <v>0</v>
      </c>
      <c r="M14" s="71">
        <f ca="1">SUMIF('CF (Equity, Debt)'!$C$3:$K$40,'S | 01 '!C14,'CF (Equity, Debt)'!$F$3:$F$40)</f>
        <v>0</v>
      </c>
      <c r="N14" s="71">
        <f>VLOOKUP(C14,NAV!$B$4:$E$44,4,0)</f>
        <v>91.001540300000002</v>
      </c>
      <c r="O14" s="71">
        <f t="shared" ca="1" si="1"/>
        <v>1.001540300000002</v>
      </c>
      <c r="P14" s="64">
        <f t="shared" ca="1" si="0"/>
        <v>1.0111282255555556</v>
      </c>
      <c r="Q14" s="224">
        <f>VLOOKUP(C14,'1. IRR Equity'!$AD$12:$AM$30,7,0)</f>
        <v>3.4190028905868525E-3</v>
      </c>
      <c r="R14" s="221"/>
      <c r="S14" s="507"/>
    </row>
    <row r="15" spans="2:19" x14ac:dyDescent="0.35">
      <c r="B15" s="163"/>
      <c r="C15" s="58" t="s">
        <v>131</v>
      </c>
      <c r="D15" s="56" t="s">
        <v>121</v>
      </c>
      <c r="E15" s="56" t="s">
        <v>103</v>
      </c>
      <c r="F15" s="56" t="s">
        <v>9</v>
      </c>
      <c r="G15" s="60">
        <v>2020</v>
      </c>
      <c r="H15" s="56" t="s">
        <v>55</v>
      </c>
      <c r="I15" s="224">
        <f>'6. %'!F14</f>
        <v>5.3583930997196792E-2</v>
      </c>
      <c r="J15" s="71">
        <v>141.4702596743665</v>
      </c>
      <c r="K15" s="71">
        <f ca="1">-SUMIF('CF (Equity, Debt)'!$C$3:$K$40,'S | 01 '!C15,'CF (Equity, Debt)'!$E$3:$E$40)</f>
        <v>141.4702596743665</v>
      </c>
      <c r="L15" s="71">
        <v>0</v>
      </c>
      <c r="M15" s="71">
        <f ca="1">SUMIF('CF (Equity, Debt)'!$C$3:$K$40,'S | 01 '!C15,'CF (Equity, Debt)'!$F$3:$F$40)</f>
        <v>0</v>
      </c>
      <c r="N15" s="71">
        <f>VLOOKUP(C15,NAV!$B$4:$E$44,4,0)</f>
        <v>150.4004386130496</v>
      </c>
      <c r="O15" s="71">
        <f t="shared" ca="1" si="1"/>
        <v>8.930178938683099</v>
      </c>
      <c r="P15" s="64">
        <f t="shared" ca="1" si="0"/>
        <v>1.063124072573546</v>
      </c>
      <c r="Q15" s="224">
        <f>VLOOKUP(C15,'1. IRR Equity'!$AD$12:$AM$30,7,0)</f>
        <v>1.9673982262611391E-2</v>
      </c>
      <c r="R15" s="221"/>
      <c r="S15" s="507"/>
    </row>
    <row r="16" spans="2:19" x14ac:dyDescent="0.35">
      <c r="B16" s="163"/>
      <c r="C16" s="58" t="s">
        <v>11</v>
      </c>
      <c r="D16" s="56" t="s">
        <v>121</v>
      </c>
      <c r="E16" s="56" t="s">
        <v>102</v>
      </c>
      <c r="F16" s="56" t="s">
        <v>9</v>
      </c>
      <c r="G16" s="60">
        <v>2020</v>
      </c>
      <c r="H16" s="56" t="s">
        <v>115</v>
      </c>
      <c r="I16" s="224">
        <f>'6. %'!F15</f>
        <v>0.14380000000000001</v>
      </c>
      <c r="J16" s="71">
        <v>60</v>
      </c>
      <c r="K16" s="71">
        <f ca="1">-SUMIF('CF (Equity, Debt)'!$C$3:$K$40,'S | 01 '!C16,'CF (Equity, Debt)'!$E$3:$E$40)</f>
        <v>60</v>
      </c>
      <c r="L16" s="71">
        <v>0</v>
      </c>
      <c r="M16" s="71">
        <f ca="1">SUMIF('CF (Equity, Debt)'!$C$3:$K$40,'S | 01 '!C16,'CF (Equity, Debt)'!$F$3:$F$40)</f>
        <v>0</v>
      </c>
      <c r="N16" s="71">
        <f>VLOOKUP(C16,NAV!$B$4:$E$44,4,0)</f>
        <v>151.06943446641711</v>
      </c>
      <c r="O16" s="71">
        <f t="shared" ca="1" si="1"/>
        <v>91.069434466417107</v>
      </c>
      <c r="P16" s="64">
        <f t="shared" ca="1" si="0"/>
        <v>2.5178239077736184</v>
      </c>
      <c r="Q16" s="224">
        <f>VLOOKUP(C16,'1. IRR Equity'!$AD$12:$AM$30,7,0)</f>
        <v>0.41446041464805594</v>
      </c>
      <c r="R16" s="221"/>
      <c r="S16" s="507"/>
    </row>
    <row r="17" spans="2:19" ht="17" x14ac:dyDescent="0.35">
      <c r="B17" s="163"/>
      <c r="C17" s="58" t="s">
        <v>24</v>
      </c>
      <c r="D17" s="56" t="s">
        <v>121</v>
      </c>
      <c r="E17" s="56" t="s">
        <v>101</v>
      </c>
      <c r="F17" s="56" t="s">
        <v>441</v>
      </c>
      <c r="G17" s="60">
        <v>2021</v>
      </c>
      <c r="H17" s="56" t="s">
        <v>59</v>
      </c>
      <c r="I17" s="224">
        <f>'6. %'!F16</f>
        <v>0.03</v>
      </c>
      <c r="J17" s="71">
        <v>20</v>
      </c>
      <c r="K17" s="71">
        <f ca="1">-SUMIF('CF (Equity, Debt)'!$C$3:$K$40,'S | 01 '!C17,'CF (Equity, Debt)'!$E$3:$E$40)</f>
        <v>20</v>
      </c>
      <c r="L17" s="71">
        <v>0</v>
      </c>
      <c r="M17" s="71">
        <f ca="1">SUMIF('CF (Equity, Debt)'!$C$3:$K$40,'S | 01 '!C17,'CF (Equity, Debt)'!$F$3:$F$40)</f>
        <v>0</v>
      </c>
      <c r="N17" s="71">
        <f>VLOOKUP(C17,NAV!$B$4:$E$44,4,0)</f>
        <v>20</v>
      </c>
      <c r="O17" s="71">
        <f t="shared" ca="1" si="1"/>
        <v>0</v>
      </c>
      <c r="P17" s="64">
        <f t="shared" ca="1" si="0"/>
        <v>1</v>
      </c>
      <c r="Q17" s="224">
        <f>VLOOKUP(C17,'1. IRR Equity'!$AD$12:$AM$30,7,0)</f>
        <v>2.9802322387695314E-9</v>
      </c>
      <c r="R17" s="221"/>
      <c r="S17" s="507"/>
    </row>
    <row r="18" spans="2:19" x14ac:dyDescent="0.35">
      <c r="B18" s="163"/>
      <c r="C18" s="58" t="s">
        <v>50</v>
      </c>
      <c r="D18" s="56" t="s">
        <v>121</v>
      </c>
      <c r="E18" s="56" t="s">
        <v>109</v>
      </c>
      <c r="F18" s="56" t="s">
        <v>9</v>
      </c>
      <c r="G18" s="60">
        <v>2021</v>
      </c>
      <c r="H18" s="56" t="s">
        <v>112</v>
      </c>
      <c r="I18" s="224">
        <f>'6. %'!F17</f>
        <v>9.4767871363939261E-3</v>
      </c>
      <c r="J18" s="71">
        <v>40</v>
      </c>
      <c r="K18" s="71">
        <f ca="1">-SUMIF('CF (Equity, Debt)'!$C$3:$K$40,'S | 01 '!C18,'CF (Equity, Debt)'!$E$3:$E$40)</f>
        <v>39.999983359999995</v>
      </c>
      <c r="L18" s="71">
        <v>0</v>
      </c>
      <c r="M18" s="71">
        <f ca="1">SUMIF('CF (Equity, Debt)'!$C$3:$K$40,'S | 01 '!C18,'CF (Equity, Debt)'!$F$3:$F$40)</f>
        <v>0</v>
      </c>
      <c r="N18" s="71">
        <f>VLOOKUP(C18,NAV!$B$4:$E$44,4,0)</f>
        <v>39.999983359999995</v>
      </c>
      <c r="O18" s="71">
        <f t="shared" ca="1" si="1"/>
        <v>0</v>
      </c>
      <c r="P18" s="64">
        <f t="shared" ca="1" si="0"/>
        <v>1</v>
      </c>
      <c r="Q18" s="224">
        <f>VLOOKUP(C18,'1. IRR Equity'!$AD$12:$AM$30,7,0)</f>
        <v>2.9802322387695314E-9</v>
      </c>
      <c r="R18" s="221"/>
      <c r="S18" s="507"/>
    </row>
    <row r="19" spans="2:19" x14ac:dyDescent="0.35">
      <c r="B19" s="163"/>
      <c r="C19" s="58" t="s">
        <v>51</v>
      </c>
      <c r="D19" s="56" t="s">
        <v>121</v>
      </c>
      <c r="E19" s="56" t="s">
        <v>101</v>
      </c>
      <c r="F19" s="56" t="s">
        <v>9</v>
      </c>
      <c r="G19" s="60">
        <v>2021</v>
      </c>
      <c r="H19" s="56" t="s">
        <v>117</v>
      </c>
      <c r="I19" s="224">
        <f>'6. %'!F18</f>
        <v>7.7419354838709681E-2</v>
      </c>
      <c r="J19" s="71">
        <v>3</v>
      </c>
      <c r="K19" s="71">
        <f ca="1">-SUMIF('CF (Equity, Debt)'!$C$3:$K$40,'S | 01 '!C19,'CF (Equity, Debt)'!$E$3:$E$40)</f>
        <v>3</v>
      </c>
      <c r="L19" s="71">
        <v>0</v>
      </c>
      <c r="M19" s="71">
        <f ca="1">SUMIF('CF (Equity, Debt)'!$C$3:$K$40,'S | 01 '!C19,'CF (Equity, Debt)'!$F$3:$F$40)</f>
        <v>0</v>
      </c>
      <c r="N19" s="71">
        <f>VLOOKUP(C19,NAV!$B$4:$E$44,4,0)</f>
        <v>3</v>
      </c>
      <c r="O19" s="71">
        <f t="shared" ca="1" si="1"/>
        <v>0</v>
      </c>
      <c r="P19" s="64">
        <f t="shared" ca="1" si="0"/>
        <v>1</v>
      </c>
      <c r="Q19" s="224">
        <f>VLOOKUP(C19,'1. IRR Equity'!$AD$12:$AM$30,7,0)</f>
        <v>2.9802322387695314E-9</v>
      </c>
      <c r="R19" s="221"/>
      <c r="S19" s="507"/>
    </row>
    <row r="20" spans="2:19" x14ac:dyDescent="0.35">
      <c r="B20" s="163"/>
      <c r="C20" s="58" t="s">
        <v>52</v>
      </c>
      <c r="D20" s="56" t="s">
        <v>122</v>
      </c>
      <c r="E20" s="56" t="s">
        <v>109</v>
      </c>
      <c r="F20" s="56" t="s">
        <v>9</v>
      </c>
      <c r="G20" s="60">
        <v>2021</v>
      </c>
      <c r="H20" s="56" t="s">
        <v>119</v>
      </c>
      <c r="I20" s="224">
        <f>'6. %'!F19</f>
        <v>1.1489405791845828E-2</v>
      </c>
      <c r="J20" s="71">
        <v>5.0278211945578235</v>
      </c>
      <c r="K20" s="71">
        <f ca="1">-SUMIF('CF (Equity, Debt)'!$C$3:$K$40,'S | 01 '!C20,'CF (Equity, Debt)'!$E$3:$E$40)</f>
        <v>5.0237201984774336</v>
      </c>
      <c r="L20" s="71">
        <v>0</v>
      </c>
      <c r="M20" s="71">
        <f ca="1">SUMIF('CF (Equity, Debt)'!$C$3:$K$40,'S | 01 '!C20,'CF (Equity, Debt)'!$F$3:$F$40)</f>
        <v>7.8207760999999989</v>
      </c>
      <c r="N20" s="71">
        <f>VLOOKUP(C20,NAV!$B$4:$E$44,4,0)</f>
        <v>0</v>
      </c>
      <c r="O20" s="71">
        <f t="shared" ca="1" si="1"/>
        <v>2.7970559015225653</v>
      </c>
      <c r="P20" s="64">
        <f t="shared" ca="1" si="0"/>
        <v>1.5567698420724714</v>
      </c>
      <c r="Q20" s="224">
        <f>VLOOKUP(C20,'1. IRR Equity'!$AD$12:$AM$30,7,0)</f>
        <v>0.31620330214500436</v>
      </c>
      <c r="R20" s="221"/>
      <c r="S20" s="507"/>
    </row>
    <row r="21" spans="2:19" ht="17" x14ac:dyDescent="0.35">
      <c r="B21" s="163"/>
      <c r="C21" s="58" t="s">
        <v>113</v>
      </c>
      <c r="D21" s="56" t="s">
        <v>121</v>
      </c>
      <c r="E21" s="56" t="s">
        <v>102</v>
      </c>
      <c r="F21" s="56" t="s">
        <v>442</v>
      </c>
      <c r="G21" s="60">
        <v>2022</v>
      </c>
      <c r="H21" s="56" t="s">
        <v>120</v>
      </c>
      <c r="I21" s="224">
        <f>'6. %'!F20</f>
        <v>5.1000000000000004E-2</v>
      </c>
      <c r="J21" s="71">
        <v>493.5</v>
      </c>
      <c r="K21" s="71">
        <f ca="1">-SUMIF('CF (Equity, Debt)'!$C$3:$K$40,'S | 01 '!C21,'CF (Equity, Debt)'!$E$3:$E$40)</f>
        <v>493.50095619999996</v>
      </c>
      <c r="L21" s="71">
        <v>0</v>
      </c>
      <c r="M21" s="71">
        <f ca="1">SUMIF('CF (Equity, Debt)'!$C$3:$K$40,'S | 01 '!C21,'CF (Equity, Debt)'!$F$3:$F$40)</f>
        <v>0</v>
      </c>
      <c r="N21" s="71">
        <f>VLOOKUP(C21,NAV!$B$4:$E$44,4,0)</f>
        <v>408.28799457755485</v>
      </c>
      <c r="O21" s="71">
        <f t="shared" ca="1" si="1"/>
        <v>-85.212961622445107</v>
      </c>
      <c r="P21" s="64">
        <f t="shared" ca="1" si="0"/>
        <v>0.82732969297852577</v>
      </c>
      <c r="Q21" s="224">
        <f>VLOOKUP(C21,'1. IRR Equity'!$AD$12:$AM$30,7,0)</f>
        <v>-0.11544542349874973</v>
      </c>
      <c r="R21" s="221"/>
      <c r="S21" s="507"/>
    </row>
    <row r="22" spans="2:19" ht="17" x14ac:dyDescent="0.35">
      <c r="B22" s="163"/>
      <c r="C22" s="58" t="s">
        <v>25</v>
      </c>
      <c r="D22" s="56" t="s">
        <v>121</v>
      </c>
      <c r="E22" s="56" t="s">
        <v>104</v>
      </c>
      <c r="F22" s="56" t="s">
        <v>13</v>
      </c>
      <c r="G22" s="60">
        <v>2022</v>
      </c>
      <c r="H22" s="56" t="s">
        <v>120</v>
      </c>
      <c r="I22" s="224">
        <f>'6. %'!F21</f>
        <v>0.11141913554582343</v>
      </c>
      <c r="J22" s="71">
        <v>300</v>
      </c>
      <c r="K22" s="71">
        <f ca="1">-SUMIF('CF (Equity, Debt)'!$C$3:$K$40,'S | 01 '!C22,'CF (Equity, Debt)'!$E$3:$E$40)</f>
        <v>300</v>
      </c>
      <c r="L22" s="71">
        <f>0</f>
        <v>0</v>
      </c>
      <c r="M22" s="71">
        <f ca="1">SUMIF('CF (Equity, Debt)'!$C$3:$K$40,'S | 01 '!C22,'CF (Equity, Debt)'!$F$3:$F$40)</f>
        <v>0</v>
      </c>
      <c r="N22" s="71">
        <f>VLOOKUP(C22,NAV!$B$4:$E$44,4,0)</f>
        <v>300</v>
      </c>
      <c r="O22" s="71">
        <f t="shared" ca="1" si="1"/>
        <v>0</v>
      </c>
      <c r="P22" s="64">
        <f t="shared" ca="1" si="0"/>
        <v>1</v>
      </c>
      <c r="Q22" s="224">
        <f>VLOOKUP(C22,'1. IRR Equity'!$AD$12:$AM$30,7,0)</f>
        <v>2.9802322387695314E-9</v>
      </c>
      <c r="R22" s="221" t="s">
        <v>204</v>
      </c>
      <c r="S22" s="507"/>
    </row>
    <row r="23" spans="2:19" ht="17" x14ac:dyDescent="0.35">
      <c r="B23" s="163"/>
      <c r="C23" s="58" t="s">
        <v>132</v>
      </c>
      <c r="D23" s="56" t="s">
        <v>121</v>
      </c>
      <c r="E23" s="56" t="s">
        <v>103</v>
      </c>
      <c r="F23" s="56" t="s">
        <v>13</v>
      </c>
      <c r="G23" s="60">
        <v>2022</v>
      </c>
      <c r="H23" s="56" t="s">
        <v>55</v>
      </c>
      <c r="I23" s="224">
        <f>'6. %'!F22</f>
        <v>9.9316564009108654E-2</v>
      </c>
      <c r="J23" s="71">
        <f ca="1">K23</f>
        <v>24.53125</v>
      </c>
      <c r="K23" s="71">
        <f ca="1">-SUMIF('CF (Equity, Debt)'!$C$3:$K$40,'S | 01 '!C23,'CF (Equity, Debt)'!$E$3:$E$40)</f>
        <v>24.53125</v>
      </c>
      <c r="L23" s="71">
        <f t="shared" ref="L23:L28" ca="1" si="2">J23-K23</f>
        <v>0</v>
      </c>
      <c r="M23" s="71">
        <f ca="1">SUMIF('CF (Equity, Debt)'!$C$3:$K$40,'S | 01 '!C23,'CF (Equity, Debt)'!$F$3:$F$40)</f>
        <v>0</v>
      </c>
      <c r="N23" s="71">
        <f>VLOOKUP(C23,NAV!$B$4:$E$44,4,0)</f>
        <v>7.0626663199999999</v>
      </c>
      <c r="O23" s="71">
        <f t="shared" ca="1" si="1"/>
        <v>-17.468583680000002</v>
      </c>
      <c r="P23" s="64">
        <f ca="1">(M23+N23)/K23</f>
        <v>0.28790486909554142</v>
      </c>
      <c r="Q23" s="224" t="str">
        <f>VLOOKUP(C23,'1. IRR Equity'!$AD$12:$AM$30,7,0)</f>
        <v>NM</v>
      </c>
      <c r="R23" s="221" t="s">
        <v>225</v>
      </c>
      <c r="S23" s="507"/>
    </row>
    <row r="24" spans="2:19" ht="17" x14ac:dyDescent="0.35">
      <c r="B24" s="163"/>
      <c r="C24" s="58" t="s">
        <v>44</v>
      </c>
      <c r="D24" s="56" t="s">
        <v>121</v>
      </c>
      <c r="E24" s="56" t="s">
        <v>102</v>
      </c>
      <c r="F24" s="56" t="s">
        <v>444</v>
      </c>
      <c r="G24" s="60">
        <v>2022</v>
      </c>
      <c r="H24" s="56" t="s">
        <v>120</v>
      </c>
      <c r="I24" s="224">
        <f>'6. %'!F23</f>
        <v>1.8823528000000003E-2</v>
      </c>
      <c r="J24" s="71">
        <f ca="1">K24</f>
        <v>800</v>
      </c>
      <c r="K24" s="71">
        <f ca="1">-SUMIF('CF (Equity, Debt)'!$C$3:$K$40,'S | 01 '!C24,'CF (Equity, Debt)'!$E$3:$E$40)</f>
        <v>800</v>
      </c>
      <c r="L24" s="71">
        <f t="shared" ca="1" si="2"/>
        <v>0</v>
      </c>
      <c r="M24" s="71">
        <f ca="1">SUMIF('CF (Equity, Debt)'!$C$3:$K$40,'S | 01 '!C24,'CF (Equity, Debt)'!$F$3:$F$40)</f>
        <v>0</v>
      </c>
      <c r="N24" s="71">
        <f>VLOOKUP(C24,NAV!$B$4:$E$44,4,0)</f>
        <v>817.18905035787873</v>
      </c>
      <c r="O24" s="71">
        <f t="shared" ca="1" si="1"/>
        <v>17.189050357878727</v>
      </c>
      <c r="P24" s="562">
        <f t="shared" ref="P24" ca="1" si="3">(M24+N24)/K24</f>
        <v>1.0214863129473484</v>
      </c>
      <c r="Q24" s="224">
        <f>VLOOKUP(C24,'1. IRR Equity'!$AD$12:$AM$30,7,0)</f>
        <v>2.2479972243309027E-2</v>
      </c>
      <c r="R24" s="221"/>
      <c r="S24" s="507"/>
    </row>
    <row r="25" spans="2:19" x14ac:dyDescent="0.35">
      <c r="B25" s="163"/>
      <c r="C25" s="58" t="s">
        <v>396</v>
      </c>
      <c r="D25" s="56" t="s">
        <v>121</v>
      </c>
      <c r="E25" s="56" t="s">
        <v>103</v>
      </c>
      <c r="F25" s="56" t="s">
        <v>9</v>
      </c>
      <c r="G25" s="60">
        <v>2022</v>
      </c>
      <c r="H25" s="56" t="s">
        <v>54</v>
      </c>
      <c r="I25" s="224" t="str">
        <f>'6. %'!F24</f>
        <v>n/a</v>
      </c>
      <c r="J25" s="71">
        <v>15</v>
      </c>
      <c r="K25" s="71">
        <f ca="1">-SUMIF('CF (Equity, Debt)'!$C$3:$K$40,'S | 01 '!C25,'CF (Equity, Debt)'!$E$3:$E$40)</f>
        <v>7.5</v>
      </c>
      <c r="L25" s="71">
        <f t="shared" ca="1" si="2"/>
        <v>7.5</v>
      </c>
      <c r="M25" s="71">
        <v>0</v>
      </c>
      <c r="N25" s="71">
        <f>VLOOKUP(C25,NAV!$B$4:$E$44,4,0)</f>
        <v>7.5</v>
      </c>
      <c r="O25" s="71">
        <f t="shared" ca="1" si="1"/>
        <v>0</v>
      </c>
      <c r="P25" s="64">
        <f t="shared" ref="P25:P27" ca="1" si="4">(M25+N25)/K25</f>
        <v>1</v>
      </c>
      <c r="Q25" s="224" t="str">
        <f>VLOOKUP(C25,'1. IRR Equity'!$AD$12:$AM$30,7,0)</f>
        <v>NM</v>
      </c>
      <c r="R25" s="221"/>
      <c r="S25" s="507"/>
    </row>
    <row r="26" spans="2:19" ht="17" x14ac:dyDescent="0.35">
      <c r="B26" s="163"/>
      <c r="C26" s="58" t="s">
        <v>433</v>
      </c>
      <c r="D26" s="56" t="s">
        <v>121</v>
      </c>
      <c r="E26" s="56" t="s">
        <v>104</v>
      </c>
      <c r="F26" s="56" t="s">
        <v>454</v>
      </c>
      <c r="G26" s="60">
        <v>2022</v>
      </c>
      <c r="H26" s="56" t="s">
        <v>434</v>
      </c>
      <c r="I26" s="224" t="str">
        <f>'6. %'!F25</f>
        <v>n/a</v>
      </c>
      <c r="J26" s="71">
        <v>15</v>
      </c>
      <c r="K26" s="71">
        <f ca="1">-SUMIF('CF (Equity, Debt)'!$C$3:$K$40,'S | 01 '!C26,'CF (Equity, Debt)'!$E$3:$E$40)</f>
        <v>15</v>
      </c>
      <c r="L26" s="71">
        <f t="shared" ca="1" si="2"/>
        <v>0</v>
      </c>
      <c r="M26" s="71">
        <v>0</v>
      </c>
      <c r="N26" s="71">
        <f>VLOOKUP(C26,NAV!$B$4:$E$44,4,0)</f>
        <v>15</v>
      </c>
      <c r="O26" s="71">
        <f t="shared" ca="1" si="1"/>
        <v>0</v>
      </c>
      <c r="P26" s="64">
        <f t="shared" ca="1" si="4"/>
        <v>1</v>
      </c>
      <c r="Q26" s="224" t="str">
        <f>VLOOKUP(C26,'1. IRR Equity'!$AD$12:$AM$30,7,0)</f>
        <v>NM</v>
      </c>
      <c r="R26" s="221"/>
      <c r="S26" s="507"/>
    </row>
    <row r="27" spans="2:19" ht="17" x14ac:dyDescent="0.35">
      <c r="B27" s="163"/>
      <c r="C27" s="58" t="s">
        <v>539</v>
      </c>
      <c r="D27" s="56" t="s">
        <v>121</v>
      </c>
      <c r="E27" s="56" t="s">
        <v>103</v>
      </c>
      <c r="F27" s="56" t="s">
        <v>9</v>
      </c>
      <c r="G27" s="60">
        <v>2023</v>
      </c>
      <c r="H27" s="56" t="s">
        <v>110</v>
      </c>
      <c r="I27" s="224">
        <f>'6. %'!F26</f>
        <v>6.2621982517370271E-3</v>
      </c>
      <c r="J27" s="71">
        <f ca="1">K27</f>
        <v>14.999998939999999</v>
      </c>
      <c r="K27" s="71">
        <f ca="1">-SUMIF('CF (Equity, Debt)'!$C$3:$K$40,'S | 01 '!C27,'CF (Equity, Debt)'!$E$3:$E$40)</f>
        <v>14.999998939999999</v>
      </c>
      <c r="L27" s="71">
        <f t="shared" ca="1" si="2"/>
        <v>0</v>
      </c>
      <c r="M27" s="71">
        <f>M26</f>
        <v>0</v>
      </c>
      <c r="N27" s="71">
        <f ca="1">VLOOKUP(C27,NAV!$B$4:$E$44,4,0)</f>
        <v>14.999998939999999</v>
      </c>
      <c r="O27" s="71">
        <f t="shared" ca="1" si="1"/>
        <v>0</v>
      </c>
      <c r="P27" s="64">
        <f t="shared" ca="1" si="4"/>
        <v>1</v>
      </c>
      <c r="Q27" s="224" t="str">
        <f ca="1">VLOOKUP(C27,'1. IRR Equity'!$AD$12:$AM$30,7,0)</f>
        <v>NM</v>
      </c>
      <c r="R27" s="221" t="s">
        <v>540</v>
      </c>
      <c r="S27" s="507"/>
    </row>
    <row r="28" spans="2:19" x14ac:dyDescent="0.35">
      <c r="B28" s="163"/>
      <c r="C28" s="58" t="s">
        <v>622</v>
      </c>
      <c r="D28" s="56" t="s">
        <v>121</v>
      </c>
      <c r="E28" s="56" t="s">
        <v>103</v>
      </c>
      <c r="F28" s="56" t="s">
        <v>9</v>
      </c>
      <c r="G28" s="60">
        <v>2023</v>
      </c>
      <c r="H28" s="56" t="s">
        <v>625</v>
      </c>
      <c r="I28" s="224">
        <f>'6. %'!F27</f>
        <v>6.2500000000000003E-3</v>
      </c>
      <c r="J28" s="71">
        <f ca="1">K28</f>
        <v>6.875E-3</v>
      </c>
      <c r="K28" s="71">
        <f ca="1">-SUMIF('CF (Equity, Debt)'!$C$3:$K$40,'S | 01 '!C28,'CF (Equity, Debt)'!$E$3:$E$40)</f>
        <v>6.875E-3</v>
      </c>
      <c r="L28" s="71">
        <f t="shared" ca="1" si="2"/>
        <v>0</v>
      </c>
      <c r="M28" s="71">
        <f>M27</f>
        <v>0</v>
      </c>
      <c r="N28" s="71">
        <f ca="1">VLOOKUP(C28,NAV!$B$4:$E$44,4,0)</f>
        <v>15</v>
      </c>
      <c r="O28" s="71">
        <f t="shared" ca="1" si="1"/>
        <v>14.993124999999999</v>
      </c>
      <c r="P28" s="64" t="s">
        <v>543</v>
      </c>
      <c r="Q28" s="224" t="str">
        <f>VLOOKUP(C28,'1. IRR Equity'!$AD$12:$AM$30,7,0)</f>
        <v>NM</v>
      </c>
      <c r="R28" s="221"/>
      <c r="S28" s="507"/>
    </row>
    <row r="29" spans="2:19" x14ac:dyDescent="0.35">
      <c r="B29" s="163"/>
      <c r="C29" s="59"/>
      <c r="D29" s="61"/>
      <c r="E29" s="61"/>
      <c r="F29" s="61"/>
      <c r="G29" s="68"/>
      <c r="H29" s="61"/>
      <c r="I29" s="459"/>
      <c r="J29" s="78"/>
      <c r="K29" s="61"/>
      <c r="L29" s="78"/>
      <c r="M29" s="78"/>
      <c r="N29" s="78"/>
      <c r="O29" s="78"/>
      <c r="P29" s="69"/>
      <c r="Q29" s="459"/>
      <c r="R29" s="483"/>
      <c r="S29" s="507"/>
    </row>
    <row r="30" spans="2:19" s="167" customFormat="1" x14ac:dyDescent="0.35">
      <c r="B30" s="165"/>
      <c r="C30" s="217"/>
      <c r="D30" s="217"/>
      <c r="E30" s="217"/>
      <c r="F30" s="217"/>
      <c r="G30" s="217"/>
      <c r="H30" s="217"/>
      <c r="I30" s="218"/>
      <c r="J30" s="219">
        <f t="shared" ref="J30:O30" ca="1" si="5">SUM(J10:J28)</f>
        <v>2108.0362048089241</v>
      </c>
      <c r="K30" s="219">
        <f t="shared" ca="1" si="5"/>
        <v>2100.5330433728436</v>
      </c>
      <c r="L30" s="219">
        <f t="shared" ca="1" si="5"/>
        <v>7.5</v>
      </c>
      <c r="M30" s="219">
        <f t="shared" ca="1" si="5"/>
        <v>12.8207761</v>
      </c>
      <c r="N30" s="219">
        <f t="shared" ca="1" si="5"/>
        <v>2118.5933369349004</v>
      </c>
      <c r="O30" s="219">
        <f t="shared" ca="1" si="5"/>
        <v>30.88106966205639</v>
      </c>
      <c r="P30" s="220">
        <f ca="1">(M30+N30)/K30</f>
        <v>1.0147015395732459</v>
      </c>
      <c r="Q30" s="218">
        <f ca="1">'1. IRR Equity'!AE38</f>
        <v>9.2234104871749927E-3</v>
      </c>
      <c r="R30" s="222"/>
      <c r="S30" s="589"/>
    </row>
    <row r="31" spans="2:19" s="162" customFormat="1" x14ac:dyDescent="0.35">
      <c r="B31" s="160"/>
      <c r="C31" s="59"/>
      <c r="D31" s="62"/>
      <c r="E31" s="62"/>
      <c r="F31" s="62"/>
      <c r="G31" s="62"/>
      <c r="H31" s="62"/>
      <c r="I31" s="76"/>
      <c r="J31" s="73"/>
      <c r="K31" s="73"/>
      <c r="L31" s="73"/>
      <c r="M31" s="73"/>
      <c r="N31" s="73"/>
      <c r="O31" s="73"/>
      <c r="P31" s="66"/>
      <c r="Q31" s="226"/>
      <c r="R31" s="223"/>
      <c r="S31" s="588"/>
    </row>
    <row r="32" spans="2:19" x14ac:dyDescent="0.35">
      <c r="B32" s="163"/>
      <c r="C32" s="70" t="s">
        <v>38</v>
      </c>
      <c r="D32" s="56"/>
      <c r="E32" s="56"/>
      <c r="F32" s="56"/>
      <c r="G32" s="60"/>
      <c r="H32" s="56"/>
      <c r="I32" s="224"/>
      <c r="J32" s="71"/>
      <c r="K32" s="71"/>
      <c r="L32" s="71"/>
      <c r="M32" s="71"/>
      <c r="N32" s="71"/>
      <c r="O32" s="71"/>
      <c r="P32" s="64"/>
      <c r="Q32" s="224"/>
      <c r="R32" s="221"/>
      <c r="S32" s="507"/>
    </row>
    <row r="33" spans="2:19" x14ac:dyDescent="0.35">
      <c r="B33" s="163"/>
      <c r="C33" s="58" t="s">
        <v>58</v>
      </c>
      <c r="D33" s="56" t="s">
        <v>183</v>
      </c>
      <c r="E33" s="56" t="s">
        <v>471</v>
      </c>
      <c r="F33" s="56" t="s">
        <v>9</v>
      </c>
      <c r="G33" s="60">
        <v>2019</v>
      </c>
      <c r="H33" s="56" t="s">
        <v>179</v>
      </c>
      <c r="I33" s="224" t="s">
        <v>177</v>
      </c>
      <c r="J33" s="71">
        <v>8</v>
      </c>
      <c r="K33" s="71">
        <v>8</v>
      </c>
      <c r="L33" s="71">
        <v>0</v>
      </c>
      <c r="M33" s="71">
        <v>0</v>
      </c>
      <c r="N33" s="71">
        <v>0</v>
      </c>
      <c r="O33" s="71">
        <f t="shared" ref="O33:O35" si="6">N33+M33-K33</f>
        <v>-8</v>
      </c>
      <c r="P33" s="64">
        <f>(M33+N33)/K33</f>
        <v>0</v>
      </c>
      <c r="Q33" s="224" t="str">
        <f>VLOOKUP(C33,'2. IRR Debt'!$P$9:$Y$11,7,0)</f>
        <v>NM</v>
      </c>
      <c r="R33" s="221"/>
      <c r="S33" s="507"/>
    </row>
    <row r="34" spans="2:19" x14ac:dyDescent="0.35">
      <c r="B34" s="163"/>
      <c r="C34" s="58" t="s">
        <v>398</v>
      </c>
      <c r="D34" s="56" t="s">
        <v>121</v>
      </c>
      <c r="E34" s="56" t="s">
        <v>102</v>
      </c>
      <c r="F34" s="56" t="s">
        <v>9</v>
      </c>
      <c r="G34" s="60">
        <v>2021</v>
      </c>
      <c r="H34" s="56" t="s">
        <v>181</v>
      </c>
      <c r="I34" s="224" t="s">
        <v>177</v>
      </c>
      <c r="J34" s="71">
        <v>2.3539819999999998</v>
      </c>
      <c r="K34" s="71">
        <f>J34</f>
        <v>2.3539819999999998</v>
      </c>
      <c r="L34" s="71">
        <v>0</v>
      </c>
      <c r="M34" s="71">
        <v>0</v>
      </c>
      <c r="N34" s="71">
        <f>K34</f>
        <v>2.3539819999999998</v>
      </c>
      <c r="O34" s="71">
        <f t="shared" si="6"/>
        <v>0</v>
      </c>
      <c r="P34" s="64">
        <f>(M34+N34)/K34</f>
        <v>1</v>
      </c>
      <c r="Q34" s="224">
        <f>VLOOKUP(C34,'2. IRR Debt'!$P$9:$Y$11,7,0)</f>
        <v>2.9802322387695314E-9</v>
      </c>
      <c r="R34" s="221"/>
      <c r="S34" s="507"/>
    </row>
    <row r="35" spans="2:19" x14ac:dyDescent="0.35">
      <c r="B35" s="163"/>
      <c r="C35" s="58" t="s">
        <v>390</v>
      </c>
      <c r="D35" s="56" t="s">
        <v>122</v>
      </c>
      <c r="E35" s="56" t="s">
        <v>101</v>
      </c>
      <c r="F35" s="56" t="s">
        <v>9</v>
      </c>
      <c r="G35" s="60">
        <v>2021</v>
      </c>
      <c r="H35" s="56" t="s">
        <v>181</v>
      </c>
      <c r="I35" s="224" t="s">
        <v>177</v>
      </c>
      <c r="J35" s="71">
        <v>0.41176499999999999</v>
      </c>
      <c r="K35" s="71">
        <v>0.41176499999999999</v>
      </c>
      <c r="L35" s="71">
        <v>0</v>
      </c>
      <c r="M35" s="71">
        <f>'CF (Equity, Debt)'!F45</f>
        <v>0.47078465000000003</v>
      </c>
      <c r="N35" s="71">
        <v>0</v>
      </c>
      <c r="O35" s="71">
        <f t="shared" si="6"/>
        <v>5.9019650000000035E-2</v>
      </c>
      <c r="P35" s="64">
        <f>(M35+N35)/K35</f>
        <v>1.1433333333333333</v>
      </c>
      <c r="Q35" s="224">
        <f>VLOOKUP(C35,'2. IRR Debt'!$P$9:$Y$11,7,0)</f>
        <v>7.5277027487754833E-2</v>
      </c>
      <c r="R35" s="221"/>
      <c r="S35" s="507"/>
    </row>
    <row r="36" spans="2:19" s="167" customFormat="1" x14ac:dyDescent="0.35">
      <c r="B36" s="165"/>
      <c r="C36" s="217"/>
      <c r="D36" s="217"/>
      <c r="E36" s="217"/>
      <c r="F36" s="217"/>
      <c r="G36" s="217"/>
      <c r="H36" s="217"/>
      <c r="I36" s="225"/>
      <c r="J36" s="219">
        <f>SUM(J33:J35)</f>
        <v>10.765747000000001</v>
      </c>
      <c r="K36" s="219">
        <f>SUM(K33:K35)</f>
        <v>10.765747000000001</v>
      </c>
      <c r="L36" s="219">
        <f>SUM(L33:L35)</f>
        <v>0</v>
      </c>
      <c r="M36" s="219">
        <f>SUM(M33:M35)</f>
        <v>0.47078465000000003</v>
      </c>
      <c r="N36" s="219">
        <f>SUM(N33:N35)</f>
        <v>2.3539819999999998</v>
      </c>
      <c r="O36" s="219">
        <f>N36+M36-K36</f>
        <v>-7.9409803500000011</v>
      </c>
      <c r="P36" s="220">
        <f>(M36+N36)/K36</f>
        <v>0.26238463991397898</v>
      </c>
      <c r="Q36" s="225">
        <f>'2. IRR Debt'!Q15</f>
        <v>-0.32476586326956747</v>
      </c>
      <c r="R36" s="222"/>
      <c r="S36" s="589"/>
    </row>
    <row r="37" spans="2:19" s="162" customFormat="1" x14ac:dyDescent="0.35">
      <c r="B37" s="160"/>
      <c r="C37" s="59"/>
      <c r="D37" s="62"/>
      <c r="E37" s="62"/>
      <c r="F37" s="62"/>
      <c r="G37" s="62"/>
      <c r="H37" s="62"/>
      <c r="I37" s="226"/>
      <c r="J37" s="73"/>
      <c r="K37" s="73"/>
      <c r="L37" s="73"/>
      <c r="M37" s="73"/>
      <c r="N37" s="73"/>
      <c r="O37" s="73"/>
      <c r="P37" s="66"/>
      <c r="Q37" s="226"/>
      <c r="R37" s="62"/>
      <c r="S37" s="588"/>
    </row>
    <row r="38" spans="2:19" x14ac:dyDescent="0.35">
      <c r="B38" s="163"/>
      <c r="C38" s="70" t="s">
        <v>39</v>
      </c>
      <c r="D38" s="56"/>
      <c r="E38" s="56"/>
      <c r="F38" s="56"/>
      <c r="G38" s="60"/>
      <c r="H38" s="56"/>
      <c r="I38" s="224"/>
      <c r="J38" s="71"/>
      <c r="K38" s="71"/>
      <c r="L38" s="71"/>
      <c r="M38" s="71"/>
      <c r="N38" s="71"/>
      <c r="O38" s="71"/>
      <c r="P38" s="64"/>
      <c r="Q38" s="224"/>
      <c r="R38" s="56"/>
      <c r="S38" s="507"/>
    </row>
    <row r="39" spans="2:19" x14ac:dyDescent="0.35">
      <c r="B39" s="163"/>
      <c r="C39" s="58" t="s">
        <v>171</v>
      </c>
      <c r="D39" s="56" t="s">
        <v>121</v>
      </c>
      <c r="E39" s="56" t="s">
        <v>101</v>
      </c>
      <c r="F39" s="56" t="s">
        <v>13</v>
      </c>
      <c r="G39" s="60">
        <v>2020</v>
      </c>
      <c r="H39" s="56" t="s">
        <v>69</v>
      </c>
      <c r="I39" s="224" t="s">
        <v>177</v>
      </c>
      <c r="J39" s="71">
        <f>K39+L39</f>
        <v>28.336808256296706</v>
      </c>
      <c r="K39" s="71">
        <f>-SUM('CF (Funds)'!D32:D38)</f>
        <v>11.058034651530003</v>
      </c>
      <c r="L39" s="71">
        <f>NAV!K49</f>
        <v>17.278773604766702</v>
      </c>
      <c r="M39" s="71">
        <f>SUM('CF (Funds)'!E32:E38)</f>
        <v>2.9557743514081998</v>
      </c>
      <c r="N39" s="71">
        <f>VLOOKUP(C39,NAV!$B$4:$E$44,4,0)</f>
        <v>13.390399107670001</v>
      </c>
      <c r="O39" s="71">
        <f t="shared" ref="O39:O43" si="7">N39+M39-K39</f>
        <v>5.288138807548199</v>
      </c>
      <c r="P39" s="64">
        <v>1.4784782580540818</v>
      </c>
      <c r="Q39" s="224">
        <f>VLOOKUP(C39,'3. IRR Funds'!$P$7:$Y$15,7,0)</f>
        <v>8.7990489602088912E-2</v>
      </c>
      <c r="R39" s="56"/>
      <c r="S39" s="507"/>
    </row>
    <row r="40" spans="2:19" x14ac:dyDescent="0.35">
      <c r="B40" s="163"/>
      <c r="C40" s="58" t="s">
        <v>538</v>
      </c>
      <c r="D40" s="56" t="s">
        <v>121</v>
      </c>
      <c r="E40" s="56" t="s">
        <v>101</v>
      </c>
      <c r="F40" s="56" t="s">
        <v>13</v>
      </c>
      <c r="G40" s="60">
        <v>2023</v>
      </c>
      <c r="H40" s="56" t="s">
        <v>69</v>
      </c>
      <c r="I40" s="224" t="s">
        <v>177</v>
      </c>
      <c r="J40" s="71">
        <f>2.3/0.85</f>
        <v>2.7058823529411762</v>
      </c>
      <c r="K40" s="71">
        <v>2.7058823529411762</v>
      </c>
      <c r="L40" s="71">
        <v>0</v>
      </c>
      <c r="M40" s="71">
        <v>0</v>
      </c>
      <c r="N40" s="71">
        <f>VLOOKUP(C40,NAV!$B$4:$E$44,4,0)</f>
        <v>3.2766079856035097</v>
      </c>
      <c r="O40" s="71">
        <f t="shared" si="7"/>
        <v>0.57072563266233356</v>
      </c>
      <c r="P40" s="64">
        <v>1</v>
      </c>
      <c r="Q40" s="224">
        <f>VLOOKUP(C40,'3. IRR Funds'!$P$7:$Y$15,7,0)</f>
        <v>0</v>
      </c>
      <c r="R40" s="189"/>
      <c r="S40" s="507"/>
    </row>
    <row r="41" spans="2:19" x14ac:dyDescent="0.35">
      <c r="B41" s="163"/>
      <c r="C41" s="58" t="s">
        <v>1</v>
      </c>
      <c r="D41" s="56" t="s">
        <v>121</v>
      </c>
      <c r="E41" s="56" t="s">
        <v>102</v>
      </c>
      <c r="F41" s="56" t="s">
        <v>13</v>
      </c>
      <c r="G41" s="60">
        <v>2020</v>
      </c>
      <c r="H41" s="56" t="s">
        <v>69</v>
      </c>
      <c r="I41" s="224" t="s">
        <v>177</v>
      </c>
      <c r="J41" s="71">
        <v>300</v>
      </c>
      <c r="K41" s="71">
        <v>83.214652999999984</v>
      </c>
      <c r="L41" s="71">
        <v>217.81330800000001</v>
      </c>
      <c r="M41" s="71">
        <v>1.0279609999999999</v>
      </c>
      <c r="N41" s="71">
        <f>VLOOKUP(C41,NAV!$B$4:$E$44,4,0)</f>
        <v>81.695785999999998</v>
      </c>
      <c r="O41" s="71">
        <f t="shared" si="7"/>
        <v>-0.49090599999998119</v>
      </c>
      <c r="P41" s="64">
        <v>0.96555063445376632</v>
      </c>
      <c r="Q41" s="224">
        <f>VLOOKUP(C41,'3. IRR Funds'!$P$7:$Y$15,7,0)</f>
        <v>-2.1562932059168817E-3</v>
      </c>
      <c r="R41" s="56"/>
      <c r="S41" s="507"/>
    </row>
    <row r="42" spans="2:19" x14ac:dyDescent="0.35">
      <c r="B42" s="163"/>
      <c r="C42" s="58" t="s">
        <v>15</v>
      </c>
      <c r="D42" s="56" t="s">
        <v>121</v>
      </c>
      <c r="E42" s="56" t="s">
        <v>102</v>
      </c>
      <c r="F42" s="56" t="s">
        <v>13</v>
      </c>
      <c r="G42" s="60">
        <v>2020</v>
      </c>
      <c r="H42" s="56" t="s">
        <v>69</v>
      </c>
      <c r="I42" s="224" t="s">
        <v>177</v>
      </c>
      <c r="J42" s="71">
        <v>50</v>
      </c>
      <c r="K42" s="71">
        <f>-SUM('CF (Funds)'!D3:D17)</f>
        <v>20.744710000000001</v>
      </c>
      <c r="L42" s="71">
        <f>J42-K42</f>
        <v>29.255289999999999</v>
      </c>
      <c r="M42" s="71">
        <v>0.44382834999999998</v>
      </c>
      <c r="N42" s="71">
        <f>VLOOKUP(C42,NAV!$B$4:$E$44,4,0)</f>
        <v>19.244515</v>
      </c>
      <c r="O42" s="71">
        <f>N42+M42-K42</f>
        <v>-1.0563666500000011</v>
      </c>
      <c r="P42" s="64">
        <v>0.97193723963305834</v>
      </c>
      <c r="Q42" s="224">
        <f>VLOOKUP(C42,'3. IRR Funds'!$P$7:$Y$15,7,0)</f>
        <v>-2.336170375347137E-2</v>
      </c>
      <c r="R42" s="189"/>
      <c r="S42" s="507"/>
    </row>
    <row r="43" spans="2:19" ht="17" x14ac:dyDescent="0.35">
      <c r="B43" s="163"/>
      <c r="C43" s="58" t="s">
        <v>229</v>
      </c>
      <c r="D43" s="56" t="s">
        <v>121</v>
      </c>
      <c r="E43" s="56" t="s">
        <v>103</v>
      </c>
      <c r="F43" s="56" t="s">
        <v>13</v>
      </c>
      <c r="G43" s="60">
        <v>2021</v>
      </c>
      <c r="H43" s="56" t="s">
        <v>69</v>
      </c>
      <c r="I43" s="224">
        <v>0.33</v>
      </c>
      <c r="J43" s="71">
        <v>17.112500000000001</v>
      </c>
      <c r="K43" s="71">
        <v>14.0151375</v>
      </c>
      <c r="L43" s="71">
        <f>J43-K43</f>
        <v>3.0973625000000009</v>
      </c>
      <c r="M43" s="71">
        <v>0</v>
      </c>
      <c r="N43" s="71">
        <f>VLOOKUP(C43,NAV!$B$4:$E$44,4,0)</f>
        <v>13.307625</v>
      </c>
      <c r="O43" s="71">
        <f t="shared" si="7"/>
        <v>-0.70751249999999999</v>
      </c>
      <c r="P43" s="64">
        <v>0.97333027504590375</v>
      </c>
      <c r="Q43" s="224">
        <f>VLOOKUP(C43,'3. IRR Funds'!$P$7:$Y$15,7,0)</f>
        <v>-4.1123560070991522E-2</v>
      </c>
      <c r="R43" s="56" t="s">
        <v>541</v>
      </c>
      <c r="S43" s="507"/>
    </row>
    <row r="44" spans="2:19" s="167" customFormat="1" x14ac:dyDescent="0.35">
      <c r="B44" s="165"/>
      <c r="C44" s="63"/>
      <c r="D44" s="63"/>
      <c r="E44" s="63"/>
      <c r="F44" s="63"/>
      <c r="G44" s="63"/>
      <c r="H44" s="63"/>
      <c r="I44" s="227"/>
      <c r="J44" s="72">
        <f>SUM(J39:J43)</f>
        <v>398.15519060923788</v>
      </c>
      <c r="K44" s="72">
        <f>SUM(K39:K43)</f>
        <v>131.73841750447116</v>
      </c>
      <c r="L44" s="72">
        <f>SUM(L39:L43)</f>
        <v>267.44473410476667</v>
      </c>
      <c r="M44" s="72">
        <f>SUM(M39:M43)</f>
        <v>4.4275637014082001</v>
      </c>
      <c r="N44" s="72">
        <f>SUM(N39:N43)</f>
        <v>130.9149330932735</v>
      </c>
      <c r="O44" s="72">
        <f>N44+M44-K44</f>
        <v>3.6040792902105352</v>
      </c>
      <c r="P44" s="65">
        <f t="shared" ref="P44:P46" si="8">(M44+N44)/K44</f>
        <v>1.0273578456344232</v>
      </c>
      <c r="Q44" s="75">
        <f>'3. IRR Funds'!Q18</f>
        <v>1.008366644382477E-2</v>
      </c>
      <c r="R44" s="63"/>
      <c r="S44" s="589"/>
    </row>
    <row r="45" spans="2:19" s="391" customFormat="1" x14ac:dyDescent="0.35">
      <c r="B45" s="389"/>
      <c r="C45" s="383"/>
      <c r="D45" s="383"/>
      <c r="E45" s="383"/>
      <c r="F45" s="383"/>
      <c r="G45" s="383"/>
      <c r="H45" s="383"/>
      <c r="I45" s="226"/>
      <c r="J45" s="384"/>
      <c r="K45" s="384"/>
      <c r="L45" s="384"/>
      <c r="M45" s="384"/>
      <c r="N45" s="384"/>
      <c r="O45" s="384"/>
      <c r="P45" s="385"/>
      <c r="Q45" s="236"/>
      <c r="R45" s="383"/>
      <c r="S45" s="590"/>
    </row>
    <row r="46" spans="2:19" s="167" customFormat="1" x14ac:dyDescent="0.35">
      <c r="B46" s="165"/>
      <c r="C46" s="386" t="s">
        <v>76</v>
      </c>
      <c r="D46" s="378"/>
      <c r="E46" s="378"/>
      <c r="F46" s="378"/>
      <c r="G46" s="378"/>
      <c r="H46" s="378"/>
      <c r="I46" s="379"/>
      <c r="J46" s="380">
        <f ca="1">J30+J36+J44</f>
        <v>2516.9571424181618</v>
      </c>
      <c r="K46" s="380">
        <f ca="1">K30+K36+K44</f>
        <v>2243.0372078773148</v>
      </c>
      <c r="L46" s="380">
        <f ca="1">L30+L36+L44</f>
        <v>274.94473410476667</v>
      </c>
      <c r="M46" s="380">
        <f ca="1">M30+M36+M44</f>
        <v>17.719124451408199</v>
      </c>
      <c r="N46" s="380">
        <f ca="1">N30+N36+N44</f>
        <v>2251.8622520281742</v>
      </c>
      <c r="O46" s="380">
        <f ca="1">N46+M46-K46</f>
        <v>26.544168602267746</v>
      </c>
      <c r="P46" s="381">
        <f t="shared" ca="1" si="8"/>
        <v>1.0118340295511137</v>
      </c>
      <c r="Q46" s="382">
        <f ca="1">'4.All'!N9</f>
        <v>7.0974320173263555E-3</v>
      </c>
      <c r="R46" s="378"/>
      <c r="S46" s="589"/>
    </row>
    <row r="47" spans="2:19" s="474" customFormat="1" ht="15" thickBot="1" x14ac:dyDescent="0.4">
      <c r="B47" s="467"/>
      <c r="C47" s="468"/>
      <c r="D47" s="469"/>
      <c r="E47" s="469"/>
      <c r="F47" s="469"/>
      <c r="G47" s="469"/>
      <c r="H47" s="469"/>
      <c r="I47" s="470"/>
      <c r="J47" s="471"/>
      <c r="K47" s="471" t="b">
        <f ca="1">ROUND(K46,2)=ROUND('4.All'!J9,2)</f>
        <v>1</v>
      </c>
      <c r="L47" s="471"/>
      <c r="M47" s="471" t="b">
        <f ca="1">ROUND(M46,2)=ROUND('4.All'!L9,2)</f>
        <v>1</v>
      </c>
      <c r="N47" s="471" t="b">
        <f ca="1">ROUND(N46,2)=ROUND('4.All'!M9,2)</f>
        <v>1</v>
      </c>
      <c r="O47" s="471"/>
      <c r="P47" s="472"/>
      <c r="Q47" s="470"/>
      <c r="R47" s="469"/>
      <c r="S47" s="591"/>
    </row>
    <row r="48" spans="2:19" x14ac:dyDescent="0.35">
      <c r="I48" s="173"/>
      <c r="Q48" s="173"/>
    </row>
    <row r="49" spans="2:20" s="162" customFormat="1" x14ac:dyDescent="0.35">
      <c r="B49" s="338"/>
      <c r="C49" s="392" t="s">
        <v>205</v>
      </c>
      <c r="D49" s="228"/>
      <c r="E49" s="229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333"/>
    </row>
    <row r="50" spans="2:20" x14ac:dyDescent="0.35">
      <c r="B50" s="175"/>
      <c r="C50" s="393" t="s">
        <v>329</v>
      </c>
      <c r="K50" s="394"/>
      <c r="N50" s="194"/>
      <c r="O50" s="194"/>
      <c r="Q50" s="194"/>
      <c r="R50" s="194"/>
    </row>
    <row r="51" spans="2:20" x14ac:dyDescent="0.35">
      <c r="B51" s="175"/>
      <c r="C51" s="395" t="s">
        <v>330</v>
      </c>
      <c r="N51" s="194"/>
      <c r="O51" s="194"/>
      <c r="Q51" s="194"/>
      <c r="R51" s="194"/>
    </row>
    <row r="52" spans="2:20" x14ac:dyDescent="0.35">
      <c r="B52" s="175"/>
      <c r="C52" s="395" t="s">
        <v>332</v>
      </c>
      <c r="N52" s="194"/>
      <c r="O52" s="194"/>
      <c r="Q52" s="194"/>
      <c r="R52" s="194"/>
    </row>
    <row r="53" spans="2:20" x14ac:dyDescent="0.35">
      <c r="B53" s="175"/>
      <c r="C53" s="395" t="s">
        <v>594</v>
      </c>
      <c r="N53" s="194"/>
      <c r="O53" s="194"/>
      <c r="Q53" s="194"/>
      <c r="R53" s="194"/>
    </row>
    <row r="54" spans="2:20" x14ac:dyDescent="0.35">
      <c r="B54" s="175"/>
      <c r="C54" s="151" t="s">
        <v>542</v>
      </c>
      <c r="N54" s="194"/>
      <c r="O54" s="194"/>
      <c r="Q54" s="194"/>
      <c r="R54" s="194"/>
    </row>
    <row r="55" spans="2:20" x14ac:dyDescent="0.35">
      <c r="B55" s="175"/>
      <c r="C55" s="81"/>
      <c r="N55" s="194"/>
      <c r="O55" s="194"/>
      <c r="Q55" s="194"/>
      <c r="R55" s="194"/>
      <c r="S55" s="592"/>
      <c r="T55" s="552"/>
    </row>
    <row r="56" spans="2:20" x14ac:dyDescent="0.35">
      <c r="C56" s="392" t="s">
        <v>439</v>
      </c>
      <c r="D56" s="228"/>
      <c r="E56" s="229"/>
      <c r="F56" s="230"/>
      <c r="G56" s="230"/>
      <c r="H56" s="230"/>
      <c r="I56" s="229"/>
      <c r="J56" s="230"/>
      <c r="K56" s="230"/>
      <c r="L56" s="230"/>
      <c r="M56" s="230"/>
      <c r="N56" s="230"/>
      <c r="O56" s="230"/>
      <c r="P56" s="230"/>
      <c r="Q56" s="230"/>
      <c r="R56" s="230"/>
      <c r="S56" s="592"/>
      <c r="T56" s="552"/>
    </row>
    <row r="57" spans="2:20" x14ac:dyDescent="0.35">
      <c r="C57" s="151" t="s">
        <v>451</v>
      </c>
      <c r="N57" s="194"/>
      <c r="O57" s="194"/>
      <c r="Q57" s="194"/>
      <c r="R57" s="194"/>
      <c r="S57" s="592"/>
      <c r="T57" s="552"/>
    </row>
    <row r="58" spans="2:20" x14ac:dyDescent="0.35">
      <c r="C58" s="475" t="s">
        <v>452</v>
      </c>
      <c r="N58" s="194"/>
      <c r="O58" s="194"/>
      <c r="Q58" s="194"/>
      <c r="R58" s="194"/>
    </row>
    <row r="59" spans="2:20" x14ac:dyDescent="0.35">
      <c r="C59" s="151" t="s">
        <v>453</v>
      </c>
      <c r="N59" s="194"/>
      <c r="O59" s="194"/>
      <c r="Q59" s="194"/>
      <c r="R59" s="194"/>
    </row>
    <row r="60" spans="2:20" x14ac:dyDescent="0.35">
      <c r="C60" s="81"/>
      <c r="N60" s="194"/>
      <c r="O60" s="194"/>
      <c r="Q60" s="194"/>
      <c r="R60" s="194"/>
    </row>
    <row r="61" spans="2:20" x14ac:dyDescent="0.35">
      <c r="C61" s="392" t="s">
        <v>443</v>
      </c>
      <c r="D61" s="228"/>
      <c r="E61" s="229"/>
      <c r="F61" s="230"/>
      <c r="G61" s="230"/>
      <c r="H61" s="230"/>
      <c r="I61" s="229"/>
      <c r="J61" s="230"/>
      <c r="K61" s="230"/>
      <c r="L61" s="230"/>
      <c r="M61" s="230"/>
      <c r="N61" s="230"/>
      <c r="O61" s="230"/>
      <c r="P61" s="230"/>
      <c r="Q61" s="230"/>
      <c r="R61" s="230"/>
    </row>
    <row r="62" spans="2:20" x14ac:dyDescent="0.35">
      <c r="C62" s="67" t="s">
        <v>445</v>
      </c>
      <c r="N62" s="194"/>
      <c r="O62" s="194"/>
      <c r="Q62" s="194"/>
      <c r="R62" s="194"/>
    </row>
    <row r="63" spans="2:20" x14ac:dyDescent="0.35">
      <c r="C63" s="67" t="s">
        <v>446</v>
      </c>
      <c r="N63" s="194"/>
      <c r="O63" s="194"/>
      <c r="Q63" s="194"/>
      <c r="R63" s="194"/>
    </row>
    <row r="64" spans="2:20" x14ac:dyDescent="0.35">
      <c r="C64" s="151" t="s">
        <v>447</v>
      </c>
      <c r="N64" s="194"/>
      <c r="O64" s="194"/>
      <c r="Q64" s="194"/>
      <c r="R64" s="194"/>
    </row>
    <row r="65" spans="3:18" x14ac:dyDescent="0.35">
      <c r="C65" s="67" t="s">
        <v>448</v>
      </c>
      <c r="N65" s="194"/>
      <c r="O65" s="194"/>
      <c r="Q65" s="194"/>
      <c r="R65" s="194"/>
    </row>
    <row r="66" spans="3:18" x14ac:dyDescent="0.35">
      <c r="C66" s="151" t="s">
        <v>449</v>
      </c>
      <c r="N66" s="194"/>
      <c r="O66" s="194"/>
      <c r="Q66" s="194"/>
      <c r="R66" s="194"/>
    </row>
    <row r="67" spans="3:18" x14ac:dyDescent="0.35">
      <c r="C67" s="151" t="s">
        <v>450</v>
      </c>
      <c r="P67" s="81"/>
    </row>
    <row r="68" spans="3:18" x14ac:dyDescent="0.35">
      <c r="C68" s="80"/>
      <c r="P68" s="81"/>
    </row>
    <row r="69" spans="3:18" x14ac:dyDescent="0.35">
      <c r="C69" s="392" t="s">
        <v>206</v>
      </c>
      <c r="D69" s="228"/>
      <c r="E69" s="229"/>
      <c r="F69" s="230"/>
      <c r="G69" s="230"/>
      <c r="H69" s="230"/>
      <c r="I69" s="229"/>
      <c r="J69" s="230"/>
      <c r="K69" s="230"/>
      <c r="L69" s="230"/>
      <c r="M69" s="230"/>
      <c r="N69" s="230"/>
      <c r="O69" s="230"/>
      <c r="P69" s="230"/>
      <c r="Q69" s="230"/>
      <c r="R69" s="230"/>
    </row>
    <row r="70" spans="3:18" x14ac:dyDescent="0.35">
      <c r="C70" s="67" t="s">
        <v>397</v>
      </c>
      <c r="P70" s="81"/>
    </row>
    <row r="71" spans="3:18" x14ac:dyDescent="0.35">
      <c r="C71" s="67" t="s">
        <v>198</v>
      </c>
      <c r="P71" s="81"/>
    </row>
    <row r="72" spans="3:18" x14ac:dyDescent="0.35">
      <c r="C72" s="151" t="s">
        <v>331</v>
      </c>
      <c r="I72" s="151"/>
    </row>
    <row r="73" spans="3:18" x14ac:dyDescent="0.35">
      <c r="H73" s="346"/>
      <c r="I73" s="151"/>
    </row>
    <row r="74" spans="3:18" x14ac:dyDescent="0.35">
      <c r="H74" s="151"/>
      <c r="I74" s="151"/>
    </row>
    <row r="75" spans="3:18" x14ac:dyDescent="0.35">
      <c r="C75" s="151"/>
      <c r="E75" s="151"/>
      <c r="H75" s="151"/>
      <c r="I75" s="151"/>
    </row>
    <row r="76" spans="3:18" x14ac:dyDescent="0.35">
      <c r="C76" s="81"/>
      <c r="H76" s="151"/>
      <c r="I76" s="151"/>
    </row>
    <row r="77" spans="3:18" x14ac:dyDescent="0.35">
      <c r="C77" s="81"/>
    </row>
    <row r="78" spans="3:18" x14ac:dyDescent="0.35">
      <c r="F78" s="151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DD73-CD6B-4697-A4CC-71724ED61C48}">
  <sheetPr>
    <tabColor theme="7" tint="0.39997558519241921"/>
  </sheetPr>
  <dimension ref="B1:X72"/>
  <sheetViews>
    <sheetView showGridLines="0" tabSelected="1" zoomScale="70" zoomScaleNormal="70" workbookViewId="0">
      <selection activeCell="W43" sqref="W43"/>
    </sheetView>
  </sheetViews>
  <sheetFormatPr defaultColWidth="9.1796875" defaultRowHeight="14.5" outlineLevelCol="1" x14ac:dyDescent="0.35"/>
  <cols>
    <col min="1" max="2" width="5.453125" style="80" customWidth="1"/>
    <col min="3" max="3" width="40.54296875" style="150" bestFit="1" customWidth="1"/>
    <col min="4" max="4" width="18.7265625" style="150" customWidth="1" outlineLevel="1"/>
    <col min="5" max="5" width="17.1796875" style="81" customWidth="1" outlineLevel="1"/>
    <col min="6" max="6" width="9.453125" style="81" customWidth="1" outlineLevel="1"/>
    <col min="7" max="7" width="23.1796875" style="81" customWidth="1" outlineLevel="1"/>
    <col min="8" max="8" width="14" style="81" customWidth="1"/>
    <col min="9" max="9" width="20.1796875" style="81" customWidth="1"/>
    <col min="10" max="10" width="12.54296875" style="81" customWidth="1"/>
    <col min="11" max="12" width="15.1796875" style="81" customWidth="1"/>
    <col min="13" max="16" width="17.54296875" style="81" customWidth="1"/>
    <col min="17" max="17" width="15.453125" style="81" customWidth="1"/>
    <col min="18" max="18" width="17.54296875" style="194" customWidth="1"/>
    <col min="19" max="19" width="17.54296875" style="81" customWidth="1"/>
    <col min="20" max="20" width="25.54296875" style="81" bestFit="1" customWidth="1"/>
    <col min="21" max="21" width="3" style="80" customWidth="1"/>
    <col min="22" max="22" width="6.26953125" style="80" customWidth="1"/>
    <col min="23" max="23" width="12.1796875" style="80" bestFit="1" customWidth="1"/>
    <col min="24" max="24" width="18.54296875" style="80" customWidth="1"/>
    <col min="25" max="16384" width="9.1796875" style="80"/>
  </cols>
  <sheetData>
    <row r="1" spans="2:24" s="162" customFormat="1" ht="21.75" customHeight="1" thickBot="1" x14ac:dyDescent="0.4">
      <c r="C1" s="335"/>
      <c r="D1" s="335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4"/>
      <c r="S1" s="333"/>
      <c r="T1" s="333"/>
    </row>
    <row r="2" spans="2:24" ht="15" thickBot="1" x14ac:dyDescent="0.4">
      <c r="C2" s="387" t="s">
        <v>241</v>
      </c>
      <c r="D2" s="387"/>
      <c r="E2" s="388">
        <f>D!D2</f>
        <v>45138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2:24" s="162" customFormat="1" ht="21.75" customHeight="1" thickBot="1" x14ac:dyDescent="0.4">
      <c r="C3" s="335"/>
      <c r="D3" s="335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4"/>
      <c r="S3" s="333"/>
      <c r="T3" s="333"/>
    </row>
    <row r="4" spans="2:24" x14ac:dyDescent="0.35">
      <c r="B4" s="152"/>
      <c r="C4" s="153"/>
      <c r="D4" s="153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337"/>
      <c r="S4" s="154"/>
      <c r="T4" s="154"/>
      <c r="U4" s="156"/>
    </row>
    <row r="5" spans="2:24" s="474" customFormat="1" x14ac:dyDescent="0.35">
      <c r="B5" s="524"/>
      <c r="C5" s="525"/>
      <c r="D5" s="525"/>
      <c r="E5" s="526">
        <v>2</v>
      </c>
      <c r="F5" s="526">
        <v>3</v>
      </c>
      <c r="G5" s="526">
        <v>4</v>
      </c>
      <c r="H5" s="526">
        <v>5</v>
      </c>
      <c r="I5" s="526">
        <v>6</v>
      </c>
      <c r="J5" s="526">
        <v>7</v>
      </c>
      <c r="K5" s="526">
        <v>8</v>
      </c>
      <c r="L5" s="526">
        <v>9</v>
      </c>
      <c r="M5" s="526">
        <v>11</v>
      </c>
      <c r="N5" s="526">
        <v>12</v>
      </c>
      <c r="O5" s="526">
        <v>13</v>
      </c>
      <c r="P5" s="526"/>
      <c r="Q5" s="526">
        <v>15</v>
      </c>
      <c r="R5" s="526">
        <v>14</v>
      </c>
      <c r="S5" s="526">
        <v>10</v>
      </c>
      <c r="T5" s="526">
        <v>16</v>
      </c>
      <c r="U5" s="527"/>
    </row>
    <row r="6" spans="2:24" s="159" customFormat="1" ht="60" customHeight="1" x14ac:dyDescent="0.35">
      <c r="B6" s="157"/>
      <c r="C6" s="57" t="s">
        <v>62</v>
      </c>
      <c r="D6" s="57" t="s">
        <v>213</v>
      </c>
      <c r="E6" s="1" t="s">
        <v>33</v>
      </c>
      <c r="F6" s="1" t="s">
        <v>100</v>
      </c>
      <c r="G6" s="1" t="s">
        <v>40</v>
      </c>
      <c r="H6" s="1" t="s">
        <v>190</v>
      </c>
      <c r="I6" s="1" t="s">
        <v>45</v>
      </c>
      <c r="J6" s="1" t="s">
        <v>64</v>
      </c>
      <c r="K6" s="1" t="s">
        <v>41</v>
      </c>
      <c r="L6" s="1" t="s">
        <v>2</v>
      </c>
      <c r="M6" s="1" t="s">
        <v>42</v>
      </c>
      <c r="N6" s="1" t="s">
        <v>36</v>
      </c>
      <c r="O6" s="1" t="s">
        <v>270</v>
      </c>
      <c r="P6" s="550" t="s">
        <v>621</v>
      </c>
      <c r="Q6" s="1" t="s">
        <v>401</v>
      </c>
      <c r="R6" s="1" t="s">
        <v>43</v>
      </c>
      <c r="S6" s="1" t="s">
        <v>60</v>
      </c>
      <c r="T6" s="1" t="s">
        <v>61</v>
      </c>
      <c r="U6" s="158"/>
    </row>
    <row r="7" spans="2:24" s="162" customFormat="1" ht="15" thickBot="1" x14ac:dyDescent="0.4">
      <c r="B7" s="160"/>
      <c r="C7" s="59"/>
      <c r="D7" s="59"/>
      <c r="E7" s="62"/>
      <c r="F7" s="62"/>
      <c r="G7" s="62"/>
      <c r="H7" s="62"/>
      <c r="I7" s="62" t="s">
        <v>128</v>
      </c>
      <c r="J7" s="62" t="s">
        <v>64</v>
      </c>
      <c r="K7" s="62" t="s">
        <v>431</v>
      </c>
      <c r="L7" s="62" t="s">
        <v>431</v>
      </c>
      <c r="M7" s="62" t="s">
        <v>431</v>
      </c>
      <c r="N7" s="62" t="s">
        <v>431</v>
      </c>
      <c r="O7" s="62" t="s">
        <v>431</v>
      </c>
      <c r="P7" s="62"/>
      <c r="Q7" s="62" t="s">
        <v>64</v>
      </c>
      <c r="R7" s="66" t="s">
        <v>432</v>
      </c>
      <c r="S7" s="62" t="s">
        <v>431</v>
      </c>
      <c r="T7" s="62"/>
      <c r="U7" s="161"/>
      <c r="W7" s="573" t="s">
        <v>485</v>
      </c>
      <c r="X7" s="573"/>
    </row>
    <row r="8" spans="2:24" x14ac:dyDescent="0.35">
      <c r="B8" s="163"/>
      <c r="C8" s="58"/>
      <c r="D8" s="105"/>
      <c r="E8" s="56"/>
      <c r="F8" s="56"/>
      <c r="G8" s="56"/>
      <c r="H8" s="56"/>
      <c r="I8" s="60"/>
      <c r="J8" s="224"/>
      <c r="K8" s="71"/>
      <c r="L8" s="71"/>
      <c r="M8" s="71"/>
      <c r="N8" s="71"/>
      <c r="O8" s="71"/>
      <c r="P8" s="71"/>
      <c r="Q8" s="224"/>
      <c r="R8" s="64"/>
      <c r="S8" s="71"/>
      <c r="T8" s="221"/>
      <c r="U8" s="164"/>
    </row>
    <row r="9" spans="2:24" x14ac:dyDescent="0.35">
      <c r="B9" s="163"/>
      <c r="C9" s="58" t="s">
        <v>622</v>
      </c>
      <c r="D9" s="105" t="s">
        <v>455</v>
      </c>
      <c r="E9" s="56" t="str">
        <f>VLOOKUP($C9,'S | 01 '!$C$6:$R$46,E$5,0)</f>
        <v>Unrealized</v>
      </c>
      <c r="F9" s="56" t="str">
        <f>VLOOKUP($C9,'S | 01 '!$C$6:$R$46,F$5,0)</f>
        <v>Divyesh</v>
      </c>
      <c r="G9" s="56" t="str">
        <f>VLOOKUP($C9,'S | 01 '!$C$6:$R$46,G$5,0)</f>
        <v>Mozn</v>
      </c>
      <c r="H9" s="60">
        <f>VLOOKUP($C9,'S | 01 '!$C$6:$R$46,H$5,0)</f>
        <v>2023</v>
      </c>
      <c r="I9" s="60" t="str">
        <f>VLOOKUP($C9,'S | 01 '!$C$6:$R$46,I$5,0)</f>
        <v>Tokens</v>
      </c>
      <c r="J9" s="224">
        <f>VLOOKUP($C9,'S | 01 '!$C$6:$R$46,J$5,0)</f>
        <v>6.2500000000000003E-3</v>
      </c>
      <c r="K9" s="71">
        <f ca="1">VLOOKUP($C9,'S | 01 '!$C$6:$R$46,K$5,0)</f>
        <v>6.875E-3</v>
      </c>
      <c r="L9" s="71">
        <f ca="1">VLOOKUP($C9,'S | 01 '!$C$6:$R$46,L$5,0)</f>
        <v>6.875E-3</v>
      </c>
      <c r="M9" s="71">
        <f>VLOOKUP($C9,'S | 01 '!$C$6:$R$46,M$5,0)</f>
        <v>0</v>
      </c>
      <c r="N9" s="71">
        <f ca="1">VLOOKUP($C9,'S | 01 '!$C$6:$R$46,N$5,0)</f>
        <v>15</v>
      </c>
      <c r="O9" s="71">
        <f ca="1">VLOOKUP($C9,'S | 01 '!$C$6:$R$46,O$5,0)</f>
        <v>14.993124999999999</v>
      </c>
      <c r="P9" s="71" t="s">
        <v>177</v>
      </c>
      <c r="Q9" s="224" t="str">
        <f>VLOOKUP($C9,'S | 01 '!$C$6:$R$46,Q$5,0)</f>
        <v>NM</v>
      </c>
      <c r="R9" s="64" t="str">
        <f>VLOOKUP($C9,'S | 01 '!$C$6:$R$46,R$5,0)</f>
        <v>NM</v>
      </c>
      <c r="S9" s="71">
        <f ca="1">VLOOKUP($C9,'S | 01 '!$C$6:$R$46,S$5,0)</f>
        <v>0</v>
      </c>
      <c r="T9" s="221"/>
      <c r="U9" s="164"/>
    </row>
    <row r="10" spans="2:24" ht="17" x14ac:dyDescent="0.35">
      <c r="B10" s="163"/>
      <c r="C10" s="58" t="s">
        <v>539</v>
      </c>
      <c r="D10" s="105" t="s">
        <v>455</v>
      </c>
      <c r="E10" s="56" t="str">
        <f>VLOOKUP($C10,'S | 01 '!$C$6:$R$46,E$5,0)</f>
        <v>Unrealized</v>
      </c>
      <c r="F10" s="56" t="str">
        <f>VLOOKUP($C10,'S | 01 '!$C$6:$R$46,F$5,0)</f>
        <v>Divyesh</v>
      </c>
      <c r="G10" s="56" t="str">
        <f>VLOOKUP($C10,'S | 01 '!$C$6:$R$46,G$5,0)</f>
        <v>Mozn</v>
      </c>
      <c r="H10" s="60">
        <f>VLOOKUP($C10,'S | 01 '!$C$6:$R$46,H$5,0)</f>
        <v>2023</v>
      </c>
      <c r="I10" s="60" t="str">
        <f>VLOOKUP($C10,'S | 01 '!$C$6:$R$46,I$5,0)</f>
        <v>C Prefs</v>
      </c>
      <c r="J10" s="224">
        <f>VLOOKUP($C10,'S | 01 '!$C$6:$R$46,J$5,0)</f>
        <v>6.2621982517370271E-3</v>
      </c>
      <c r="K10" s="71">
        <f ca="1">VLOOKUP($C10,'S | 01 '!$C$6:$R$46,K$5,0)</f>
        <v>14.999998939999999</v>
      </c>
      <c r="L10" s="71">
        <f ca="1">VLOOKUP($C10,'S | 01 '!$C$6:$R$46,L$5,0)</f>
        <v>14.999998939999999</v>
      </c>
      <c r="M10" s="71">
        <f>VLOOKUP($C10,'S | 01 '!$C$6:$R$46,M$5,0)</f>
        <v>0</v>
      </c>
      <c r="N10" s="71">
        <f ca="1">VLOOKUP($C10,'S | 01 '!$C$6:$R$46,N$5,0)</f>
        <v>14.999998939999999</v>
      </c>
      <c r="O10" s="71">
        <f ca="1">VLOOKUP($C10,'S | 01 '!$C$6:$R$46,O$5,0)</f>
        <v>0</v>
      </c>
      <c r="P10" s="71" t="s">
        <v>177</v>
      </c>
      <c r="Q10" s="224" t="str">
        <f ca="1">VLOOKUP($C10,'S | 01 '!$C$6:$R$46,Q$5,0)</f>
        <v>NM</v>
      </c>
      <c r="R10" s="64">
        <f ca="1">VLOOKUP($C10,'S | 01 '!$C$6:$R$46,R$5,0)</f>
        <v>1</v>
      </c>
      <c r="S10" s="71">
        <f ca="1">VLOOKUP($C10,'S | 01 '!$C$6:$R$46,S$5,0)</f>
        <v>0</v>
      </c>
      <c r="T10" s="221" t="s">
        <v>540</v>
      </c>
      <c r="U10" s="164"/>
    </row>
    <row r="11" spans="2:24" x14ac:dyDescent="0.35">
      <c r="B11" s="163"/>
      <c r="C11" s="58" t="s">
        <v>433</v>
      </c>
      <c r="D11" s="105" t="s">
        <v>455</v>
      </c>
      <c r="E11" s="56" t="str">
        <f>VLOOKUP($C11,'S | 01 '!$C$6:$R$46,E$5,0)</f>
        <v>Unrealized</v>
      </c>
      <c r="F11" s="56" t="str">
        <f>VLOOKUP($C11,'S | 01 '!$C$6:$R$46,F$5,0)</f>
        <v>Anton</v>
      </c>
      <c r="G11" s="56" t="str">
        <f>VLOOKUP($C11,'S | 01 '!$C$6:$R$46,G$5,0)</f>
        <v>Mozn 4</v>
      </c>
      <c r="H11" s="60">
        <f>VLOOKUP($C11,'S | 01 '!$C$6:$R$46,H$5,0)</f>
        <v>2022</v>
      </c>
      <c r="I11" s="60" t="str">
        <f>VLOOKUP($C11,'S | 01 '!$C$6:$R$46,I$5,0)</f>
        <v>SAFE note</v>
      </c>
      <c r="J11" s="224" t="str">
        <f>VLOOKUP($C11,'S | 01 '!$C$6:$R$46,J$5,0)</f>
        <v>n/a</v>
      </c>
      <c r="K11" s="71">
        <f>VLOOKUP($C11,'S | 01 '!$C$6:$R$46,K$5,0)</f>
        <v>15</v>
      </c>
      <c r="L11" s="71">
        <f ca="1">VLOOKUP($C11,'S | 01 '!$C$6:$R$46,L$5,0)</f>
        <v>15</v>
      </c>
      <c r="M11" s="71">
        <f>VLOOKUP($C11,'S | 01 '!$C$6:$R$46,M$5,0)</f>
        <v>0</v>
      </c>
      <c r="N11" s="71">
        <f>VLOOKUP($C11,'S | 01 '!$C$6:$R$46,N$5,0)</f>
        <v>15</v>
      </c>
      <c r="O11" s="71">
        <f ca="1">VLOOKUP($C11,'S | 01 '!$C$6:$R$46,O$5,0)</f>
        <v>0</v>
      </c>
      <c r="P11" s="71">
        <v>0</v>
      </c>
      <c r="Q11" s="224" t="str">
        <f>VLOOKUP($C11,'S | 01 '!$C$6:$R$46,Q$5,0)</f>
        <v>NM</v>
      </c>
      <c r="R11" s="64">
        <f ca="1">VLOOKUP($C11,'S | 01 '!$C$6:$R$46,R$5,0)</f>
        <v>1</v>
      </c>
      <c r="S11" s="71">
        <f ca="1">VLOOKUP($C11,'S | 01 '!$C$6:$R$46,S$5,0)</f>
        <v>0</v>
      </c>
      <c r="T11" s="221"/>
      <c r="U11" s="164"/>
      <c r="W11" s="80" t="s">
        <v>2</v>
      </c>
      <c r="X11" s="708">
        <f ca="1">L29</f>
        <v>986.76754037284388</v>
      </c>
    </row>
    <row r="12" spans="2:24" x14ac:dyDescent="0.35">
      <c r="B12" s="163"/>
      <c r="C12" s="58" t="s">
        <v>396</v>
      </c>
      <c r="D12" s="105" t="s">
        <v>455</v>
      </c>
      <c r="E12" s="56" t="str">
        <f>VLOOKUP($C12,'S | 01 '!$C$6:$R$46,E$5,0)</f>
        <v>Unrealized</v>
      </c>
      <c r="F12" s="56" t="str">
        <f>VLOOKUP($C12,'S | 01 '!$C$6:$R$46,F$5,0)</f>
        <v>Divyesh</v>
      </c>
      <c r="G12" s="56" t="str">
        <f>VLOOKUP($C12,'S | 01 '!$C$6:$R$46,G$5,0)</f>
        <v>Mozn</v>
      </c>
      <c r="H12" s="60">
        <f>VLOOKUP($C12,'S | 01 '!$C$6:$R$46,H$5,0)</f>
        <v>2022</v>
      </c>
      <c r="I12" s="60" t="str">
        <f>VLOOKUP($C12,'S | 01 '!$C$6:$R$46,I$5,0)</f>
        <v>Convertible Note</v>
      </c>
      <c r="J12" s="224" t="str">
        <f>VLOOKUP($C12,'S | 01 '!$C$6:$R$46,J$5,0)</f>
        <v>n/a</v>
      </c>
      <c r="K12" s="71">
        <f>VLOOKUP($C12,'S | 01 '!$C$6:$R$46,K$5,0)</f>
        <v>15</v>
      </c>
      <c r="L12" s="71">
        <f ca="1">VLOOKUP($C12,'S | 01 '!$C$6:$R$46,L$5,0)</f>
        <v>7.5</v>
      </c>
      <c r="M12" s="71">
        <f>VLOOKUP($C12,'S | 01 '!$C$6:$R$46,M$5,0)</f>
        <v>0</v>
      </c>
      <c r="N12" s="71">
        <f>VLOOKUP($C12,'S | 01 '!$C$6:$R$46,N$5,0)</f>
        <v>7.5</v>
      </c>
      <c r="O12" s="71">
        <f ca="1">VLOOKUP($C12,'S | 01 '!$C$6:$R$46,O$5,0)</f>
        <v>0</v>
      </c>
      <c r="P12" s="71">
        <v>0</v>
      </c>
      <c r="Q12" s="224" t="str">
        <f>VLOOKUP($C12,'S | 01 '!$C$6:$R$46,Q$5,0)</f>
        <v>NM</v>
      </c>
      <c r="R12" s="64">
        <f ca="1">VLOOKUP($C12,'S | 01 '!$C$6:$R$46,R$5,0)</f>
        <v>1</v>
      </c>
      <c r="S12" s="71">
        <f ca="1">VLOOKUP($C12,'S | 01 '!$C$6:$R$46,S$5,0)</f>
        <v>7.5</v>
      </c>
      <c r="T12" s="221"/>
      <c r="U12" s="164"/>
      <c r="W12" s="80" t="s">
        <v>402</v>
      </c>
      <c r="X12" s="708">
        <f ca="1">N29</f>
        <v>996.69560225702151</v>
      </c>
    </row>
    <row r="13" spans="2:24" x14ac:dyDescent="0.35">
      <c r="B13" s="163"/>
      <c r="C13" s="58" t="s">
        <v>113</v>
      </c>
      <c r="D13" s="105" t="s">
        <v>455</v>
      </c>
      <c r="E13" s="56" t="str">
        <f>VLOOKUP($C13,'S | 01 '!$C$6:$R$46,E$5,0)</f>
        <v>Unrealized</v>
      </c>
      <c r="F13" s="56" t="str">
        <f>VLOOKUP($C13,'S | 01 '!$C$6:$R$46,F$5,0)</f>
        <v>Elaine</v>
      </c>
      <c r="G13" s="56" t="str">
        <f>VLOOKUP($C13,'S | 01 '!$C$6:$R$46,G$5,0)</f>
        <v>Mozn 2</v>
      </c>
      <c r="H13" s="60">
        <f>VLOOKUP($C13,'S | 01 '!$C$6:$R$46,H$5,0)</f>
        <v>2022</v>
      </c>
      <c r="I13" s="60" t="str">
        <f>VLOOKUP($C13,'S | 01 '!$C$6:$R$46,I$5,0)</f>
        <v>Equity-TBC</v>
      </c>
      <c r="J13" s="224">
        <f>VLOOKUP($C13,'S | 01 '!$C$6:$R$46,J$5,0)</f>
        <v>5.1000000000000004E-2</v>
      </c>
      <c r="K13" s="71">
        <f>VLOOKUP($C13,'S | 01 '!$C$6:$R$46,K$5,0)</f>
        <v>493.5</v>
      </c>
      <c r="L13" s="71">
        <f ca="1">VLOOKUP($C13,'S | 01 '!$C$6:$R$46,L$5,0)</f>
        <v>493.50095619999996</v>
      </c>
      <c r="M13" s="71">
        <f ca="1">VLOOKUP($C13,'S | 01 '!$C$6:$R$46,M$5,0)</f>
        <v>0</v>
      </c>
      <c r="N13" s="71">
        <f>VLOOKUP($C13,'S | 01 '!$C$6:$R$46,N$5,0)</f>
        <v>408.28799457755485</v>
      </c>
      <c r="O13" s="71">
        <f ca="1">VLOOKUP($C13,'S | 01 '!$C$6:$R$46,O$5,0)</f>
        <v>-85.212961622445107</v>
      </c>
      <c r="P13" s="71">
        <v>-64.391000000000005</v>
      </c>
      <c r="Q13" s="224">
        <f>VLOOKUP($C13,'S | 01 '!$C$6:$R$46,Q$5,0)</f>
        <v>-0.11544542349874973</v>
      </c>
      <c r="R13" s="64">
        <f ca="1">VLOOKUP($C13,'S | 01 '!$C$6:$R$46,R$5,0)</f>
        <v>0.82732969297852577</v>
      </c>
      <c r="S13" s="71">
        <f>VLOOKUP($C13,'S | 01 '!$C$6:$R$46,S$5,0)</f>
        <v>0</v>
      </c>
      <c r="T13" s="221"/>
      <c r="U13" s="164"/>
      <c r="W13" s="80" t="s">
        <v>486</v>
      </c>
      <c r="X13" s="708">
        <f ca="1">O29</f>
        <v>23.219622634177654</v>
      </c>
    </row>
    <row r="14" spans="2:24" x14ac:dyDescent="0.35">
      <c r="B14" s="163"/>
      <c r="C14" s="58" t="s">
        <v>398</v>
      </c>
      <c r="D14" s="105" t="s">
        <v>456</v>
      </c>
      <c r="E14" s="56" t="str">
        <f>VLOOKUP($C14,'S | 01 '!$C$6:$R$46,E$5,0)</f>
        <v>Unrealized</v>
      </c>
      <c r="F14" s="56" t="str">
        <f>VLOOKUP($C14,'S | 01 '!$C$6:$R$46,F$5,0)</f>
        <v>Elaine</v>
      </c>
      <c r="G14" s="56" t="str">
        <f>VLOOKUP($C14,'S | 01 '!$C$6:$R$46,G$5,0)</f>
        <v>Mozn</v>
      </c>
      <c r="H14" s="60">
        <f>VLOOKUP($C14,'S | 01 '!$C$6:$R$46,H$5,0)</f>
        <v>2021</v>
      </c>
      <c r="I14" s="60" t="str">
        <f>VLOOKUP($C14,'S | 01 '!$C$6:$R$46,I$5,0)</f>
        <v xml:space="preserve">Loan </v>
      </c>
      <c r="J14" s="224" t="str">
        <f>VLOOKUP($C14,'S | 01 '!$C$6:$R$46,J$5,0)</f>
        <v>n/a</v>
      </c>
      <c r="K14" s="71">
        <f>VLOOKUP($C14,'S | 01 '!$C$6:$R$46,K$5,0)</f>
        <v>2.3539819999999998</v>
      </c>
      <c r="L14" s="71">
        <f>VLOOKUP($C14,'S | 01 '!$C$6:$R$46,L$5,0)</f>
        <v>2.3539819999999998</v>
      </c>
      <c r="M14" s="71">
        <f>VLOOKUP($C14,'S | 01 '!$C$6:$R$46,M$5,0)</f>
        <v>0</v>
      </c>
      <c r="N14" s="71">
        <f>VLOOKUP($C14,'S | 01 '!$C$6:$R$46,N$5,0)</f>
        <v>2.3539819999999998</v>
      </c>
      <c r="O14" s="71">
        <f>VLOOKUP($C14,'S | 01 '!$C$6:$R$46,O$5,0)</f>
        <v>0</v>
      </c>
      <c r="P14" s="71">
        <v>0</v>
      </c>
      <c r="Q14" s="224">
        <f>VLOOKUP($C14,'S | 01 '!$C$6:$R$46,Q$5,0)</f>
        <v>2.9802322387695314E-9</v>
      </c>
      <c r="R14" s="64">
        <f>VLOOKUP($C14,'S | 01 '!$C$6:$R$46,R$5,0)</f>
        <v>1</v>
      </c>
      <c r="S14" s="71">
        <f>VLOOKUP($C14,'S | 01 '!$C$6:$R$46,S$5,0)</f>
        <v>0</v>
      </c>
      <c r="T14" s="221"/>
      <c r="U14" s="164"/>
      <c r="W14" s="80" t="s">
        <v>487</v>
      </c>
      <c r="X14" s="708">
        <f ca="1">X13-P29</f>
        <v>8.6824241787354879</v>
      </c>
    </row>
    <row r="15" spans="2:24" x14ac:dyDescent="0.35">
      <c r="B15" s="163"/>
      <c r="C15" s="58" t="s">
        <v>390</v>
      </c>
      <c r="D15" s="105" t="s">
        <v>456</v>
      </c>
      <c r="E15" s="56" t="str">
        <f>VLOOKUP($C15,'S | 01 '!$C$6:$R$46,E$5,0)</f>
        <v>Realized</v>
      </c>
      <c r="F15" s="56" t="str">
        <f>VLOOKUP($C15,'S | 01 '!$C$6:$R$46,F$5,0)</f>
        <v>Sushil</v>
      </c>
      <c r="G15" s="56" t="str">
        <f>VLOOKUP($C15,'S | 01 '!$C$6:$R$46,G$5,0)</f>
        <v>Mozn</v>
      </c>
      <c r="H15" s="60">
        <f>VLOOKUP($C15,'S | 01 '!$C$6:$R$46,H$5,0)</f>
        <v>2021</v>
      </c>
      <c r="I15" s="60" t="str">
        <f>VLOOKUP($C15,'S | 01 '!$C$6:$R$46,I$5,0)</f>
        <v xml:space="preserve">Loan </v>
      </c>
      <c r="J15" s="224" t="str">
        <f>VLOOKUP($C15,'S | 01 '!$C$6:$R$46,J$5,0)</f>
        <v>n/a</v>
      </c>
      <c r="K15" s="71">
        <f>VLOOKUP($C15,'S | 01 '!$C$6:$R$46,K$5,0)</f>
        <v>0.41176499999999999</v>
      </c>
      <c r="L15" s="71">
        <f>VLOOKUP($C15,'S | 01 '!$C$6:$R$46,L$5,0)</f>
        <v>0.41176499999999999</v>
      </c>
      <c r="M15" s="71">
        <f>VLOOKUP($C15,'S | 01 '!$C$6:$R$46,M$5,0)</f>
        <v>0.47078465000000003</v>
      </c>
      <c r="N15" s="71">
        <f>VLOOKUP($C15,'S | 01 '!$C$6:$R$46,N$5,0)</f>
        <v>0</v>
      </c>
      <c r="O15" s="71">
        <f>VLOOKUP($C15,'S | 01 '!$C$6:$R$46,O$5,0)</f>
        <v>5.9019650000000035E-2</v>
      </c>
      <c r="P15" s="71">
        <v>5.9019650000000035E-2</v>
      </c>
      <c r="Q15" s="224">
        <f>VLOOKUP($C15,'S | 01 '!$C$6:$R$46,Q$5,0)</f>
        <v>7.5277027487754833E-2</v>
      </c>
      <c r="R15" s="64">
        <f>VLOOKUP($C15,'S | 01 '!$C$6:$R$46,R$5,0)</f>
        <v>1.1433333333333333</v>
      </c>
      <c r="S15" s="71">
        <f>VLOOKUP($C15,'S | 01 '!$C$6:$R$46,S$5,0)</f>
        <v>0</v>
      </c>
      <c r="T15" s="221"/>
      <c r="U15" s="164"/>
      <c r="W15" s="80" t="s">
        <v>32</v>
      </c>
      <c r="X15" s="403">
        <f ca="1">Q29</f>
        <v>1.0515186190605163E-2</v>
      </c>
    </row>
    <row r="16" spans="2:24" x14ac:dyDescent="0.35">
      <c r="B16" s="163"/>
      <c r="C16" s="58" t="s">
        <v>24</v>
      </c>
      <c r="D16" s="105" t="s">
        <v>455</v>
      </c>
      <c r="E16" s="56" t="str">
        <f>VLOOKUP($C16,'S | 01 '!$C$6:$R$46,E$5,0)</f>
        <v>Unrealized</v>
      </c>
      <c r="F16" s="56" t="str">
        <f>VLOOKUP($C16,'S | 01 '!$C$6:$R$46,F$5,0)</f>
        <v>Sushil</v>
      </c>
      <c r="G16" s="56" t="str">
        <f>VLOOKUP($C16,'S | 01 '!$C$6:$R$46,G$5,0)</f>
        <v>Mozn 1</v>
      </c>
      <c r="H16" s="60">
        <f>VLOOKUP($C16,'S | 01 '!$C$6:$R$46,H$5,0)</f>
        <v>2021</v>
      </c>
      <c r="I16" s="60" t="str">
        <f>VLOOKUP($C16,'S | 01 '!$C$6:$R$46,I$5,0)</f>
        <v>A (Ordinary Shares)</v>
      </c>
      <c r="J16" s="224">
        <f>VLOOKUP($C16,'S | 01 '!$C$6:$R$46,J$5,0)</f>
        <v>0.03</v>
      </c>
      <c r="K16" s="71">
        <f>VLOOKUP($C16,'S | 01 '!$C$6:$R$46,K$5,0)</f>
        <v>20</v>
      </c>
      <c r="L16" s="71">
        <f ca="1">VLOOKUP($C16,'S | 01 '!$C$6:$R$46,L$5,0)</f>
        <v>20</v>
      </c>
      <c r="M16" s="71">
        <f ca="1">VLOOKUP($C16,'S | 01 '!$C$6:$R$46,M$5,0)</f>
        <v>0</v>
      </c>
      <c r="N16" s="71">
        <f>VLOOKUP($C16,'S | 01 '!$C$6:$R$46,N$5,0)</f>
        <v>20</v>
      </c>
      <c r="O16" s="71">
        <f ca="1">VLOOKUP($C16,'S | 01 '!$C$6:$R$46,O$5,0)</f>
        <v>0</v>
      </c>
      <c r="P16" s="71">
        <v>0</v>
      </c>
      <c r="Q16" s="224">
        <f>VLOOKUP($C16,'S | 01 '!$C$6:$R$46,Q$5,0)</f>
        <v>2.9802322387695314E-9</v>
      </c>
      <c r="R16" s="64">
        <f ca="1">VLOOKUP($C16,'S | 01 '!$C$6:$R$46,R$5,0)</f>
        <v>1</v>
      </c>
      <c r="S16" s="71">
        <f>VLOOKUP($C16,'S | 01 '!$C$6:$R$46,S$5,0)</f>
        <v>0</v>
      </c>
      <c r="T16" s="221"/>
      <c r="U16" s="164"/>
    </row>
    <row r="17" spans="2:24" x14ac:dyDescent="0.35">
      <c r="B17" s="163"/>
      <c r="C17" s="58" t="s">
        <v>52</v>
      </c>
      <c r="D17" s="105" t="s">
        <v>455</v>
      </c>
      <c r="E17" s="56" t="str">
        <f>VLOOKUP($C17,'S | 01 '!$C$6:$R$46,E$5,0)</f>
        <v>Realized</v>
      </c>
      <c r="F17" s="56" t="str">
        <f>VLOOKUP($C17,'S | 01 '!$C$6:$R$46,F$5,0)</f>
        <v>Ignasi</v>
      </c>
      <c r="G17" s="56" t="str">
        <f>VLOOKUP($C17,'S | 01 '!$C$6:$R$46,G$5,0)</f>
        <v>Mozn</v>
      </c>
      <c r="H17" s="60">
        <f>VLOOKUP($C17,'S | 01 '!$C$6:$R$46,H$5,0)</f>
        <v>2021</v>
      </c>
      <c r="I17" s="60" t="str">
        <f>VLOOKUP($C17,'S | 01 '!$C$6:$R$46,I$5,0)</f>
        <v xml:space="preserve">B Prefs </v>
      </c>
      <c r="J17" s="224">
        <f>VLOOKUP($C17,'S | 01 '!$C$6:$R$46,J$5,0)</f>
        <v>1.1489405791845828E-2</v>
      </c>
      <c r="K17" s="71">
        <f>VLOOKUP($C17,'S | 01 '!$C$6:$R$46,K$5,0)</f>
        <v>5.0278211945578235</v>
      </c>
      <c r="L17" s="71">
        <f ca="1">VLOOKUP($C17,'S | 01 '!$C$6:$R$46,L$5,0)</f>
        <v>5.0237201984774336</v>
      </c>
      <c r="M17" s="71">
        <f ca="1">VLOOKUP($C17,'S | 01 '!$C$6:$R$46,M$5,0)</f>
        <v>7.8207760999999989</v>
      </c>
      <c r="N17" s="71">
        <f>VLOOKUP($C17,'S | 01 '!$C$6:$R$46,N$5,0)</f>
        <v>0</v>
      </c>
      <c r="O17" s="71">
        <f ca="1">VLOOKUP($C17,'S | 01 '!$C$6:$R$46,O$5,0)</f>
        <v>2.7970559015225653</v>
      </c>
      <c r="P17" s="71">
        <v>1.6721788054421767</v>
      </c>
      <c r="Q17" s="224">
        <f>VLOOKUP($C17,'S | 01 '!$C$6:$R$46,Q$5,0)</f>
        <v>0.31620330214500436</v>
      </c>
      <c r="R17" s="64">
        <f ca="1">VLOOKUP($C17,'S | 01 '!$C$6:$R$46,R$5,0)</f>
        <v>1.5567698420724714</v>
      </c>
      <c r="S17" s="71">
        <f>VLOOKUP($C17,'S | 01 '!$C$6:$R$46,S$5,0)</f>
        <v>0</v>
      </c>
      <c r="T17" s="221"/>
      <c r="U17" s="164"/>
    </row>
    <row r="18" spans="2:24" x14ac:dyDescent="0.35">
      <c r="B18" s="163"/>
      <c r="C18" s="58" t="s">
        <v>50</v>
      </c>
      <c r="D18" s="105" t="s">
        <v>455</v>
      </c>
      <c r="E18" s="56" t="str">
        <f>VLOOKUP($C18,'S | 01 '!$C$6:$R$46,E$5,0)</f>
        <v>Unrealized</v>
      </c>
      <c r="F18" s="56" t="str">
        <f>VLOOKUP($C18,'S | 01 '!$C$6:$R$46,F$5,0)</f>
        <v>Ignasi</v>
      </c>
      <c r="G18" s="56" t="str">
        <f>VLOOKUP($C18,'S | 01 '!$C$6:$R$46,G$5,0)</f>
        <v>Mozn</v>
      </c>
      <c r="H18" s="60">
        <f>VLOOKUP($C18,'S | 01 '!$C$6:$R$46,H$5,0)</f>
        <v>2021</v>
      </c>
      <c r="I18" s="60" t="str">
        <f>VLOOKUP($C18,'S | 01 '!$C$6:$R$46,I$5,0)</f>
        <v>F Prefs</v>
      </c>
      <c r="J18" s="224">
        <f>VLOOKUP($C18,'S | 01 '!$C$6:$R$46,J$5,0)</f>
        <v>9.4767871363939261E-3</v>
      </c>
      <c r="K18" s="71">
        <f>VLOOKUP($C18,'S | 01 '!$C$6:$R$46,K$5,0)</f>
        <v>40</v>
      </c>
      <c r="L18" s="71">
        <f ca="1">VLOOKUP($C18,'S | 01 '!$C$6:$R$46,L$5,0)</f>
        <v>39.999983359999995</v>
      </c>
      <c r="M18" s="71">
        <f ca="1">VLOOKUP($C18,'S | 01 '!$C$6:$R$46,M$5,0)</f>
        <v>0</v>
      </c>
      <c r="N18" s="71">
        <f>VLOOKUP($C18,'S | 01 '!$C$6:$R$46,N$5,0)</f>
        <v>39.999983359999995</v>
      </c>
      <c r="O18" s="71">
        <f ca="1">VLOOKUP($C18,'S | 01 '!$C$6:$R$46,O$5,0)</f>
        <v>0</v>
      </c>
      <c r="P18" s="71">
        <v>0</v>
      </c>
      <c r="Q18" s="224">
        <f>VLOOKUP($C18,'S | 01 '!$C$6:$R$46,Q$5,0)</f>
        <v>2.9802322387695314E-9</v>
      </c>
      <c r="R18" s="64">
        <f ca="1">VLOOKUP($C18,'S | 01 '!$C$6:$R$46,R$5,0)</f>
        <v>1</v>
      </c>
      <c r="S18" s="71">
        <f>VLOOKUP($C18,'S | 01 '!$C$6:$R$46,S$5,0)</f>
        <v>0</v>
      </c>
      <c r="T18" s="221"/>
      <c r="U18" s="164"/>
    </row>
    <row r="19" spans="2:24" x14ac:dyDescent="0.35">
      <c r="B19" s="163"/>
      <c r="C19" s="58" t="s">
        <v>51</v>
      </c>
      <c r="D19" s="105" t="s">
        <v>455</v>
      </c>
      <c r="E19" s="56" t="str">
        <f>VLOOKUP($C19,'S | 01 '!$C$6:$R$46,E$5,0)</f>
        <v>Unrealized</v>
      </c>
      <c r="F19" s="56" t="str">
        <f>VLOOKUP($C19,'S | 01 '!$C$6:$R$46,F$5,0)</f>
        <v>Sushil</v>
      </c>
      <c r="G19" s="56" t="str">
        <f>VLOOKUP($C19,'S | 01 '!$C$6:$R$46,G$5,0)</f>
        <v>Mozn</v>
      </c>
      <c r="H19" s="60">
        <f>VLOOKUP($C19,'S | 01 '!$C$6:$R$46,H$5,0)</f>
        <v>2021</v>
      </c>
      <c r="I19" s="60" t="str">
        <f>VLOOKUP($C19,'S | 01 '!$C$6:$R$46,I$5,0)</f>
        <v>A Pref Units</v>
      </c>
      <c r="J19" s="224">
        <f>VLOOKUP($C19,'S | 01 '!$C$6:$R$46,J$5,0)</f>
        <v>7.7419354838709681E-2</v>
      </c>
      <c r="K19" s="71">
        <f>VLOOKUP($C19,'S | 01 '!$C$6:$R$46,K$5,0)</f>
        <v>3</v>
      </c>
      <c r="L19" s="71">
        <f ca="1">VLOOKUP($C19,'S | 01 '!$C$6:$R$46,L$5,0)</f>
        <v>3</v>
      </c>
      <c r="M19" s="71">
        <f ca="1">VLOOKUP($C19,'S | 01 '!$C$6:$R$46,M$5,0)</f>
        <v>0</v>
      </c>
      <c r="N19" s="71">
        <f>VLOOKUP($C19,'S | 01 '!$C$6:$R$46,N$5,0)</f>
        <v>3</v>
      </c>
      <c r="O19" s="71">
        <f ca="1">VLOOKUP($C19,'S | 01 '!$C$6:$R$46,O$5,0)</f>
        <v>0</v>
      </c>
      <c r="P19" s="71">
        <v>0</v>
      </c>
      <c r="Q19" s="224">
        <f>VLOOKUP($C19,'S | 01 '!$C$6:$R$46,Q$5,0)</f>
        <v>2.9802322387695314E-9</v>
      </c>
      <c r="R19" s="64">
        <f ca="1">VLOOKUP($C19,'S | 01 '!$C$6:$R$46,R$5,0)</f>
        <v>1</v>
      </c>
      <c r="S19" s="71">
        <f>VLOOKUP($C19,'S | 01 '!$C$6:$R$46,S$5,0)</f>
        <v>0</v>
      </c>
      <c r="T19" s="221"/>
      <c r="U19" s="164"/>
    </row>
    <row r="20" spans="2:24" x14ac:dyDescent="0.35">
      <c r="B20" s="163"/>
      <c r="C20" s="58" t="s">
        <v>49</v>
      </c>
      <c r="D20" s="105" t="s">
        <v>455</v>
      </c>
      <c r="E20" s="56" t="str">
        <f>VLOOKUP($C20,'S | 01 '!$C$6:$R$46,E$5,0)</f>
        <v>Realized</v>
      </c>
      <c r="F20" s="56" t="str">
        <f>VLOOKUP($C20,'S | 01 '!$C$6:$R$46,F$5,0)</f>
        <v>Sushil</v>
      </c>
      <c r="G20" s="56" t="str">
        <f>VLOOKUP($C20,'S | 01 '!$C$6:$R$46,G$5,0)</f>
        <v>Mozn</v>
      </c>
      <c r="H20" s="60">
        <f>VLOOKUP($C20,'S | 01 '!$C$6:$R$46,H$5,0)</f>
        <v>2020</v>
      </c>
      <c r="I20" s="60" t="str">
        <f>VLOOKUP($C20,'S | 01 '!$C$6:$R$46,I$5,0)</f>
        <v>Convertible Note</v>
      </c>
      <c r="J20" s="224" t="str">
        <f>VLOOKUP($C20,'S | 01 '!$C$6:$R$46,J$5,0)</f>
        <v>n/a</v>
      </c>
      <c r="K20" s="71">
        <f>VLOOKUP($C20,'S | 01 '!$C$6:$R$46,K$5,0)</f>
        <v>2.5</v>
      </c>
      <c r="L20" s="71">
        <f ca="1">VLOOKUP($C20,'S | 01 '!$C$6:$R$46,L$5,0)</f>
        <v>2.5</v>
      </c>
      <c r="M20" s="71">
        <f ca="1">VLOOKUP($C20,'S | 01 '!$C$6:$R$46,M$5,0)</f>
        <v>5</v>
      </c>
      <c r="N20" s="71">
        <f>VLOOKUP($C20,'S | 01 '!$C$6:$R$46,N$5,0)</f>
        <v>0</v>
      </c>
      <c r="O20" s="71">
        <f ca="1">VLOOKUP($C20,'S | 01 '!$C$6:$R$46,O$5,0)</f>
        <v>2.5</v>
      </c>
      <c r="P20" s="71">
        <v>2.5</v>
      </c>
      <c r="Q20" s="224">
        <f>VLOOKUP($C20,'S | 01 '!$C$6:$R$46,Q$5,0)</f>
        <v>0.36091765761375438</v>
      </c>
      <c r="R20" s="64">
        <f ca="1">VLOOKUP($C20,'S | 01 '!$C$6:$R$46,R$5,0)</f>
        <v>2</v>
      </c>
      <c r="S20" s="71">
        <f>VLOOKUP($C20,'S | 01 '!$C$6:$R$46,S$5,0)</f>
        <v>0</v>
      </c>
      <c r="T20" s="221"/>
      <c r="U20" s="164"/>
    </row>
    <row r="21" spans="2:24" x14ac:dyDescent="0.35">
      <c r="B21" s="163"/>
      <c r="C21" s="58" t="s">
        <v>11</v>
      </c>
      <c r="D21" s="105" t="s">
        <v>455</v>
      </c>
      <c r="E21" s="56" t="str">
        <f>VLOOKUP($C21,'S | 01 '!$C$6:$R$46,E$5,0)</f>
        <v>Unrealized</v>
      </c>
      <c r="F21" s="56" t="str">
        <f>VLOOKUP($C21,'S | 01 '!$C$6:$R$46,F$5,0)</f>
        <v>Elaine</v>
      </c>
      <c r="G21" s="56" t="str">
        <f>VLOOKUP($C21,'S | 01 '!$C$6:$R$46,G$5,0)</f>
        <v>Mozn</v>
      </c>
      <c r="H21" s="60">
        <f>VLOOKUP($C21,'S | 01 '!$C$6:$R$46,H$5,0)</f>
        <v>2020</v>
      </c>
      <c r="I21" s="60" t="str">
        <f>VLOOKUP($C21,'S | 01 '!$C$6:$R$46,I$5,0)</f>
        <v>Registered Capital</v>
      </c>
      <c r="J21" s="224">
        <f>VLOOKUP($C21,'S | 01 '!$C$6:$R$46,J$5,0)</f>
        <v>0.14380000000000001</v>
      </c>
      <c r="K21" s="71">
        <f>VLOOKUP($C21,'S | 01 '!$C$6:$R$46,K$5,0)</f>
        <v>60</v>
      </c>
      <c r="L21" s="71">
        <f ca="1">VLOOKUP($C21,'S | 01 '!$C$6:$R$46,L$5,0)</f>
        <v>60</v>
      </c>
      <c r="M21" s="71">
        <f ca="1">VLOOKUP($C21,'S | 01 '!$C$6:$R$46,M$5,0)</f>
        <v>0</v>
      </c>
      <c r="N21" s="71">
        <f>VLOOKUP($C21,'S | 01 '!$C$6:$R$46,N$5,0)</f>
        <v>151.06943446641711</v>
      </c>
      <c r="O21" s="71">
        <f ca="1">VLOOKUP($C21,'S | 01 '!$C$6:$R$46,O$5,0)</f>
        <v>91.069434466417107</v>
      </c>
      <c r="P21" s="71">
        <v>96.4</v>
      </c>
      <c r="Q21" s="224">
        <f>VLOOKUP($C21,'S | 01 '!$C$6:$R$46,Q$5,0)</f>
        <v>0.41446041464805594</v>
      </c>
      <c r="R21" s="64">
        <f ca="1">VLOOKUP($C21,'S | 01 '!$C$6:$R$46,R$5,0)</f>
        <v>2.5178239077736184</v>
      </c>
      <c r="S21" s="71">
        <f>VLOOKUP($C21,'S | 01 '!$C$6:$R$46,S$5,0)</f>
        <v>0</v>
      </c>
      <c r="T21" s="221"/>
      <c r="U21" s="164"/>
    </row>
    <row r="22" spans="2:24" x14ac:dyDescent="0.35">
      <c r="B22" s="163"/>
      <c r="C22" s="58" t="s">
        <v>47</v>
      </c>
      <c r="D22" s="105" t="s">
        <v>455</v>
      </c>
      <c r="E22" s="56" t="str">
        <f>VLOOKUP($C22,'S | 01 '!$C$6:$R$46,E$5,0)</f>
        <v>Unrealized</v>
      </c>
      <c r="F22" s="56" t="str">
        <f>VLOOKUP($C22,'S | 01 '!$C$6:$R$46,F$5,0)</f>
        <v>Divyesh</v>
      </c>
      <c r="G22" s="56" t="str">
        <f>VLOOKUP($C22,'S | 01 '!$C$6:$R$46,G$5,0)</f>
        <v>Mozn</v>
      </c>
      <c r="H22" s="60">
        <f>VLOOKUP($C22,'S | 01 '!$C$6:$R$46,H$5,0)</f>
        <v>2020</v>
      </c>
      <c r="I22" s="60" t="str">
        <f>VLOOKUP($C22,'S | 01 '!$C$6:$R$46,I$5,0)</f>
        <v>C Prefs</v>
      </c>
      <c r="J22" s="224">
        <f>VLOOKUP($C22,'S | 01 '!$C$6:$R$46,J$5,0)</f>
        <v>9.7965107245756355E-2</v>
      </c>
      <c r="K22" s="71">
        <f>VLOOKUP($C22,'S | 01 '!$C$6:$R$46,K$5,0)</f>
        <v>90</v>
      </c>
      <c r="L22" s="71">
        <f ca="1">VLOOKUP($C22,'S | 01 '!$C$6:$R$46,L$5,0)</f>
        <v>90</v>
      </c>
      <c r="M22" s="71">
        <f ca="1">VLOOKUP($C22,'S | 01 '!$C$6:$R$46,M$5,0)</f>
        <v>0</v>
      </c>
      <c r="N22" s="71">
        <f>VLOOKUP($C22,'S | 01 '!$C$6:$R$46,N$5,0)</f>
        <v>91.001540300000002</v>
      </c>
      <c r="O22" s="71">
        <f ca="1">VLOOKUP($C22,'S | 01 '!$C$6:$R$46,O$5,0)</f>
        <v>1.001540300000002</v>
      </c>
      <c r="P22" s="71">
        <v>1.042</v>
      </c>
      <c r="Q22" s="224">
        <f>VLOOKUP($C22,'S | 01 '!$C$6:$R$46,Q$5,0)</f>
        <v>3.4190028905868525E-3</v>
      </c>
      <c r="R22" s="64">
        <f ca="1">VLOOKUP($C22,'S | 01 '!$C$6:$R$46,R$5,0)</f>
        <v>1.0111282255555556</v>
      </c>
      <c r="S22" s="71">
        <f>VLOOKUP($C22,'S | 01 '!$C$6:$R$46,S$5,0)</f>
        <v>0</v>
      </c>
      <c r="T22" s="221"/>
      <c r="U22" s="164"/>
    </row>
    <row r="23" spans="2:24" x14ac:dyDescent="0.35">
      <c r="B23" s="163"/>
      <c r="C23" s="58" t="s">
        <v>131</v>
      </c>
      <c r="D23" s="105" t="s">
        <v>455</v>
      </c>
      <c r="E23" s="56" t="str">
        <f>VLOOKUP($C23,'S | 01 '!$C$6:$R$46,E$5,0)</f>
        <v>Unrealized</v>
      </c>
      <c r="F23" s="56" t="str">
        <f>VLOOKUP($C23,'S | 01 '!$C$6:$R$46,F$5,0)</f>
        <v>Divyesh</v>
      </c>
      <c r="G23" s="56" t="str">
        <f>VLOOKUP($C23,'S | 01 '!$C$6:$R$46,G$5,0)</f>
        <v>Mozn</v>
      </c>
      <c r="H23" s="60">
        <f>VLOOKUP($C23,'S | 01 '!$C$6:$R$46,H$5,0)</f>
        <v>2020</v>
      </c>
      <c r="I23" s="60" t="str">
        <f>VLOOKUP($C23,'S | 01 '!$C$6:$R$46,I$5,0)</f>
        <v>Ordinary Shares</v>
      </c>
      <c r="J23" s="224">
        <f>VLOOKUP($C23,'S | 01 '!$C$6:$R$46,J$5,0)</f>
        <v>5.3583930997196792E-2</v>
      </c>
      <c r="K23" s="71">
        <f>VLOOKUP($C23,'S | 01 '!$C$6:$R$46,K$5,0)</f>
        <v>141.4702596743665</v>
      </c>
      <c r="L23" s="71">
        <f ca="1">VLOOKUP($C23,'S | 01 '!$C$6:$R$46,L$5,0)</f>
        <v>141.4702596743665</v>
      </c>
      <c r="M23" s="71">
        <f ca="1">VLOOKUP($C23,'S | 01 '!$C$6:$R$46,M$5,0)</f>
        <v>0</v>
      </c>
      <c r="N23" s="71">
        <f>VLOOKUP($C23,'S | 01 '!$C$6:$R$46,N$5,0)</f>
        <v>150.4004386130496</v>
      </c>
      <c r="O23" s="71">
        <f ca="1">VLOOKUP($C23,'S | 01 '!$C$6:$R$46,O$5,0)</f>
        <v>8.930178938683099</v>
      </c>
      <c r="P23" s="71">
        <v>-9.8450000000000006</v>
      </c>
      <c r="Q23" s="224">
        <f>VLOOKUP($C23,'S | 01 '!$C$6:$R$46,Q$5,0)</f>
        <v>1.9673982262611391E-2</v>
      </c>
      <c r="R23" s="64">
        <f ca="1">VLOOKUP($C23,'S | 01 '!$C$6:$R$46,R$5,0)</f>
        <v>1.063124072573546</v>
      </c>
      <c r="S23" s="71">
        <f>VLOOKUP($C23,'S | 01 '!$C$6:$R$46,S$5,0)</f>
        <v>0</v>
      </c>
      <c r="T23" s="221"/>
      <c r="U23" s="164"/>
    </row>
    <row r="24" spans="2:24" ht="17" x14ac:dyDescent="0.35">
      <c r="B24" s="163"/>
      <c r="C24" s="58" t="s">
        <v>48</v>
      </c>
      <c r="D24" s="105" t="s">
        <v>455</v>
      </c>
      <c r="E24" s="56" t="str">
        <f>VLOOKUP($C24,'S | 01 '!$C$6:$R$46,E$5,0)</f>
        <v>Unrealized</v>
      </c>
      <c r="F24" s="56" t="str">
        <f>VLOOKUP($C24,'S | 01 '!$C$6:$R$46,F$5,0)</f>
        <v>Sushil</v>
      </c>
      <c r="G24" s="56" t="str">
        <f>VLOOKUP($C24,'S | 01 '!$C$6:$R$46,G$5,0)</f>
        <v>Mozn</v>
      </c>
      <c r="H24" s="60">
        <f>VLOOKUP($C24,'S | 01 '!$C$6:$R$46,H$5,0)</f>
        <v>2019</v>
      </c>
      <c r="I24" s="60" t="str">
        <f>VLOOKUP($C24,'S | 01 '!$C$6:$R$46,I$5,0)</f>
        <v>B-1,2 Prefs</v>
      </c>
      <c r="J24" s="224">
        <f>VLOOKUP($C24,'S | 01 '!$C$6:$R$46,J$5,0)</f>
        <v>8.5025484621212399E-2</v>
      </c>
      <c r="K24" s="71">
        <f>VLOOKUP($C24,'S | 01 '!$C$6:$R$46,K$5,0)</f>
        <v>10</v>
      </c>
      <c r="L24" s="71">
        <f ca="1">VLOOKUP($C24,'S | 01 '!$C$6:$R$46,L$5,0)</f>
        <v>10</v>
      </c>
      <c r="M24" s="71">
        <f ca="1">VLOOKUP($C24,'S | 01 '!$C$6:$R$46,M$5,0)</f>
        <v>0</v>
      </c>
      <c r="N24" s="71">
        <f>VLOOKUP($C24,'S | 01 '!$C$6:$R$46,N$5,0)</f>
        <v>78.082229999999996</v>
      </c>
      <c r="O24" s="71">
        <f ca="1">VLOOKUP($C24,'S | 01 '!$C$6:$R$46,O$5,0)</f>
        <v>68.082229999999996</v>
      </c>
      <c r="P24" s="71">
        <v>68.099999999999994</v>
      </c>
      <c r="Q24" s="224">
        <f>VLOOKUP($C24,'S | 01 '!$C$6:$R$46,Q$5,0)</f>
        <v>0.69797843694686912</v>
      </c>
      <c r="R24" s="64">
        <f ca="1">VLOOKUP($C24,'S | 01 '!$C$6:$R$46,R$5,0)</f>
        <v>7.8082229999999999</v>
      </c>
      <c r="S24" s="71">
        <f>VLOOKUP($C24,'S | 01 '!$C$6:$R$46,S$5,0)</f>
        <v>0</v>
      </c>
      <c r="T24" s="221" t="s">
        <v>203</v>
      </c>
      <c r="U24" s="164"/>
    </row>
    <row r="25" spans="2:24" x14ac:dyDescent="0.35">
      <c r="B25" s="163"/>
      <c r="C25" s="58" t="s">
        <v>0</v>
      </c>
      <c r="D25" s="105" t="s">
        <v>455</v>
      </c>
      <c r="E25" s="56" t="str">
        <f>VLOOKUP($C25,'S | 01 '!$C$6:$R$46,E$5,0)</f>
        <v>Unrealized</v>
      </c>
      <c r="F25" s="56" t="str">
        <f>VLOOKUP($C25,'S | 01 '!$C$6:$R$46,F$5,0)</f>
        <v>Elaine</v>
      </c>
      <c r="G25" s="56" t="str">
        <f>VLOOKUP($C25,'S | 01 '!$C$6:$R$46,G$5,0)</f>
        <v>Mozn</v>
      </c>
      <c r="H25" s="60">
        <f>VLOOKUP($C25,'S | 01 '!$C$6:$R$46,H$5,0)</f>
        <v>2019</v>
      </c>
      <c r="I25" s="60" t="str">
        <f>VLOOKUP($C25,'S | 01 '!$C$6:$R$46,I$5,0)</f>
        <v>B Prefs</v>
      </c>
      <c r="J25" s="224">
        <f>VLOOKUP($C25,'S | 01 '!$C$6:$R$46,J$5,0)</f>
        <v>0.14000000235296001</v>
      </c>
      <c r="K25" s="71">
        <f>VLOOKUP($C25,'S | 01 '!$C$6:$R$46,K$5,0)</f>
        <v>8</v>
      </c>
      <c r="L25" s="71">
        <f ca="1">VLOOKUP($C25,'S | 01 '!$C$6:$R$46,L$5,0)</f>
        <v>8</v>
      </c>
      <c r="M25" s="71">
        <f ca="1">VLOOKUP($C25,'S | 01 '!$C$6:$R$46,M$5,0)</f>
        <v>0</v>
      </c>
      <c r="N25" s="71">
        <f>VLOOKUP($C25,'S | 01 '!$C$6:$R$46,N$5,0)</f>
        <v>0</v>
      </c>
      <c r="O25" s="71">
        <f ca="1">VLOOKUP($C25,'S | 01 '!$C$6:$R$46,O$5,0)</f>
        <v>-8</v>
      </c>
      <c r="P25" s="71">
        <v>-8</v>
      </c>
      <c r="Q25" s="224" t="str">
        <f>VLOOKUP($C25,'S | 01 '!$C$6:$R$46,Q$5,0)</f>
        <v>NM</v>
      </c>
      <c r="R25" s="64">
        <f ca="1">VLOOKUP($C25,'S | 01 '!$C$6:$R$46,R$5,0)</f>
        <v>0</v>
      </c>
      <c r="S25" s="71">
        <f>VLOOKUP($C25,'S | 01 '!$C$6:$R$46,S$5,0)</f>
        <v>0</v>
      </c>
      <c r="T25" s="221"/>
      <c r="U25" s="164"/>
    </row>
    <row r="26" spans="2:24" x14ac:dyDescent="0.35">
      <c r="B26" s="163"/>
      <c r="C26" s="58" t="s">
        <v>58</v>
      </c>
      <c r="D26" s="105" t="s">
        <v>456</v>
      </c>
      <c r="E26" s="56" t="str">
        <f>VLOOKUP($C26,'S | 01 '!$C$6:$R$46,E$5,0)</f>
        <v>In default</v>
      </c>
      <c r="F26" s="56" t="str">
        <f>VLOOKUP($C26,'S | 01 '!$C$6:$R$46,F$5,0)</f>
        <v xml:space="preserve">Marty </v>
      </c>
      <c r="G26" s="56" t="str">
        <f>VLOOKUP($C26,'S | 01 '!$C$6:$R$46,G$5,0)</f>
        <v>Mozn</v>
      </c>
      <c r="H26" s="60">
        <f>VLOOKUP($C26,'S | 01 '!$C$6:$R$46,H$5,0)</f>
        <v>2019</v>
      </c>
      <c r="I26" s="60" t="str">
        <f>VLOOKUP($C26,'S | 01 '!$C$6:$R$46,I$5,0)</f>
        <v>Promissory Note</v>
      </c>
      <c r="J26" s="224" t="str">
        <f>VLOOKUP($C26,'S | 01 '!$C$6:$R$46,J$5,0)</f>
        <v>n/a</v>
      </c>
      <c r="K26" s="71">
        <f>VLOOKUP($C26,'S | 01 '!$C$6:$R$46,K$5,0)</f>
        <v>8</v>
      </c>
      <c r="L26" s="71">
        <f>VLOOKUP($C26,'S | 01 '!$C$6:$R$46,L$5,0)</f>
        <v>8</v>
      </c>
      <c r="M26" s="71">
        <f>VLOOKUP($C26,'S | 01 '!$C$6:$R$46,M$5,0)</f>
        <v>0</v>
      </c>
      <c r="N26" s="71">
        <f>VLOOKUP($C26,'S | 01 '!$C$6:$R$46,N$5,0)</f>
        <v>0</v>
      </c>
      <c r="O26" s="71">
        <f>VLOOKUP($C26,'S | 01 '!$C$6:$R$46,O$5,0)</f>
        <v>-8</v>
      </c>
      <c r="P26" s="71">
        <v>-8</v>
      </c>
      <c r="Q26" s="224" t="str">
        <f>VLOOKUP($C26,'S | 01 '!$C$6:$R$46,Q$5,0)</f>
        <v>NM</v>
      </c>
      <c r="R26" s="64">
        <f>VLOOKUP($C26,'S | 01 '!$C$6:$R$46,R$5,0)</f>
        <v>0</v>
      </c>
      <c r="S26" s="71">
        <f>VLOOKUP($C26,'S | 01 '!$C$6:$R$46,S$5,0)</f>
        <v>0</v>
      </c>
      <c r="T26" s="221"/>
      <c r="U26" s="164"/>
    </row>
    <row r="27" spans="2:24" x14ac:dyDescent="0.35">
      <c r="B27" s="163"/>
      <c r="C27" s="58" t="s">
        <v>57</v>
      </c>
      <c r="D27" s="105" t="s">
        <v>455</v>
      </c>
      <c r="E27" s="56" t="str">
        <f>VLOOKUP($C27,'S | 01 '!$C$6:$R$46,E$5,0)</f>
        <v>In Liquidation</v>
      </c>
      <c r="F27" s="56" t="str">
        <f>VLOOKUP($C27,'S | 01 '!$C$6:$R$46,F$5,0)</f>
        <v>Elaine</v>
      </c>
      <c r="G27" s="56" t="str">
        <f>VLOOKUP($C27,'S | 01 '!$C$6:$R$46,G$5,0)</f>
        <v>Mozn</v>
      </c>
      <c r="H27" s="60">
        <f>VLOOKUP($C27,'S | 01 '!$C$6:$R$46,H$5,0)</f>
        <v>2019</v>
      </c>
      <c r="I27" s="60" t="str">
        <f>VLOOKUP($C27,'S | 01 '!$C$6:$R$46,I$5,0)</f>
        <v>C+ Prefs</v>
      </c>
      <c r="J27" s="224">
        <f>VLOOKUP($C27,'S | 01 '!$C$6:$R$46,J$5,0)</f>
        <v>5.6999998161926343E-2</v>
      </c>
      <c r="K27" s="71">
        <f>VLOOKUP($C27,'S | 01 '!$C$6:$R$46,K$5,0)</f>
        <v>65</v>
      </c>
      <c r="L27" s="71">
        <f ca="1">VLOOKUP($C27,'S | 01 '!$C$6:$R$46,L$5,0)</f>
        <v>65</v>
      </c>
      <c r="M27" s="71">
        <f ca="1">VLOOKUP($C27,'S | 01 '!$C$6:$R$46,M$5,0)</f>
        <v>0</v>
      </c>
      <c r="N27" s="71">
        <f>VLOOKUP($C27,'S | 01 '!$C$6:$R$46,N$5,0)</f>
        <v>0</v>
      </c>
      <c r="O27" s="71">
        <f ca="1">VLOOKUP($C27,'S | 01 '!$C$6:$R$46,O$5,0)</f>
        <v>-65</v>
      </c>
      <c r="P27" s="71">
        <v>-65</v>
      </c>
      <c r="Q27" s="224" t="str">
        <f>VLOOKUP($C27,'S | 01 '!$C$6:$R$46,Q$5,0)</f>
        <v>NM</v>
      </c>
      <c r="R27" s="64">
        <f ca="1">VLOOKUP($C27,'S | 01 '!$C$6:$R$46,R$5,0)</f>
        <v>0</v>
      </c>
      <c r="S27" s="71">
        <f>VLOOKUP($C27,'S | 01 '!$C$6:$R$46,S$5,0)</f>
        <v>0</v>
      </c>
      <c r="T27" s="221"/>
      <c r="U27" s="164"/>
    </row>
    <row r="28" spans="2:24" x14ac:dyDescent="0.35">
      <c r="B28" s="163"/>
      <c r="C28" s="59"/>
      <c r="D28" s="67"/>
      <c r="E28" s="61"/>
      <c r="F28" s="61"/>
      <c r="G28" s="61"/>
      <c r="H28" s="61"/>
      <c r="I28" s="68"/>
      <c r="J28" s="459"/>
      <c r="K28" s="78"/>
      <c r="L28" s="78"/>
      <c r="M28" s="78"/>
      <c r="N28" s="78"/>
      <c r="O28" s="78"/>
      <c r="P28" s="78"/>
      <c r="Q28" s="459"/>
      <c r="R28" s="69"/>
      <c r="S28" s="78"/>
      <c r="T28" s="483"/>
      <c r="U28" s="164"/>
    </row>
    <row r="29" spans="2:24" x14ac:dyDescent="0.35">
      <c r="B29" s="163"/>
      <c r="C29" s="63"/>
      <c r="D29" s="63"/>
      <c r="E29" s="63"/>
      <c r="F29" s="63"/>
      <c r="G29" s="63"/>
      <c r="H29" s="63"/>
      <c r="I29" s="63"/>
      <c r="J29" s="227"/>
      <c r="K29" s="72">
        <f t="shared" ref="K29:P29" ca="1" si="0">SUM(K9:K27)</f>
        <v>994.27070180892429</v>
      </c>
      <c r="L29" s="72">
        <f t="shared" ca="1" si="0"/>
        <v>986.76754037284388</v>
      </c>
      <c r="M29" s="72">
        <f t="shared" ca="1" si="0"/>
        <v>13.291560749999999</v>
      </c>
      <c r="N29" s="72">
        <f t="shared" ca="1" si="0"/>
        <v>996.69560225702151</v>
      </c>
      <c r="O29" s="72">
        <f t="shared" ca="1" si="0"/>
        <v>23.219622634177654</v>
      </c>
      <c r="P29" s="72">
        <f t="shared" si="0"/>
        <v>14.537198455442166</v>
      </c>
      <c r="Q29" s="75">
        <f ca="1">'4. Mozn-IRR'!L16</f>
        <v>1.0515186190605163E-2</v>
      </c>
      <c r="R29" s="65">
        <f ca="1">(M29+N29)/L29</f>
        <v>1.0235309955832195</v>
      </c>
      <c r="S29" s="72">
        <f ca="1">SUM(S9:S27)</f>
        <v>7.5</v>
      </c>
      <c r="T29" s="63"/>
      <c r="U29" s="164"/>
    </row>
    <row r="30" spans="2:24" x14ac:dyDescent="0.35">
      <c r="B30" s="163"/>
      <c r="C30" s="58"/>
      <c r="D30" s="105"/>
      <c r="E30" s="56"/>
      <c r="F30" s="56"/>
      <c r="G30" s="56"/>
      <c r="H30" s="56"/>
      <c r="I30" s="60"/>
      <c r="J30" s="224"/>
      <c r="K30" s="71"/>
      <c r="L30" s="71"/>
      <c r="M30" s="71"/>
      <c r="N30" s="71"/>
      <c r="O30" s="71"/>
      <c r="P30" s="71"/>
      <c r="Q30" s="224"/>
      <c r="R30" s="64"/>
      <c r="S30" s="71"/>
      <c r="T30" s="221"/>
      <c r="U30" s="164"/>
    </row>
    <row r="31" spans="2:24" ht="15" thickBot="1" x14ac:dyDescent="0.4">
      <c r="B31" s="163"/>
      <c r="C31" s="58" t="s">
        <v>44</v>
      </c>
      <c r="D31" s="105" t="s">
        <v>455</v>
      </c>
      <c r="E31" s="56" t="str">
        <f>VLOOKUP($C31,'S | 01 '!$C$6:$R$46,E$5,0)</f>
        <v>Unrealized</v>
      </c>
      <c r="F31" s="56" t="str">
        <f>VLOOKUP($C31,'S | 01 '!$C$6:$R$46,F$5,0)</f>
        <v>Elaine</v>
      </c>
      <c r="G31" s="56" t="str">
        <f>VLOOKUP($C31,'S | 01 '!$C$6:$R$46,G$5,0)</f>
        <v>G42 3</v>
      </c>
      <c r="H31" s="60">
        <f>VLOOKUP($C31,'S | 01 '!$C$6:$R$46,H$5,0)</f>
        <v>2022</v>
      </c>
      <c r="I31" s="60" t="str">
        <f>VLOOKUP($C31,'S | 01 '!$C$6:$R$46,I$5,0)</f>
        <v>Equity-TBC</v>
      </c>
      <c r="J31" s="224">
        <f>VLOOKUP($C31,'S | 01 '!$C$6:$R$46,J$5,0)</f>
        <v>1.8823528000000003E-2</v>
      </c>
      <c r="K31" s="71">
        <f ca="1">VLOOKUP($C31,'S | 01 '!$C$6:$R$46,K$5,0)</f>
        <v>800</v>
      </c>
      <c r="L31" s="71">
        <f ca="1">VLOOKUP($C31,'S | 01 '!$C$6:$R$46,L$5,0)</f>
        <v>800</v>
      </c>
      <c r="M31" s="71">
        <f ca="1">VLOOKUP($C31,'S | 01 '!$C$6:$R$46,M$5,0)</f>
        <v>0</v>
      </c>
      <c r="N31" s="71">
        <f>VLOOKUP($C31,'S | 01 '!$C$6:$R$46,N$5,0)</f>
        <v>817.18905035787873</v>
      </c>
      <c r="O31" s="71">
        <f ca="1">VLOOKUP($C31,'S | 01 '!$C$6:$R$46,O$5,0)</f>
        <v>17.189050357878727</v>
      </c>
      <c r="P31" s="71">
        <v>54.67</v>
      </c>
      <c r="Q31" s="224">
        <f>VLOOKUP($C31,'S | 01 '!$C$6:$R$46,Q$5,0)</f>
        <v>2.2479972243309027E-2</v>
      </c>
      <c r="R31" s="64">
        <f ca="1">VLOOKUP($C31,'S | 01 '!$C$6:$R$46,R$5,0)</f>
        <v>1.0214863129473484</v>
      </c>
      <c r="S31" s="71">
        <f ca="1">VLOOKUP($C31,'S | 01 '!$C$6:$R$46,S$5,0)</f>
        <v>0</v>
      </c>
      <c r="T31" s="221"/>
      <c r="U31" s="164"/>
      <c r="W31" s="573" t="s">
        <v>13</v>
      </c>
      <c r="X31" s="573"/>
    </row>
    <row r="32" spans="2:24" ht="17" x14ac:dyDescent="0.35">
      <c r="B32" s="163"/>
      <c r="C32" s="58" t="s">
        <v>25</v>
      </c>
      <c r="D32" s="105" t="s">
        <v>455</v>
      </c>
      <c r="E32" s="56" t="str">
        <f>VLOOKUP($C32,'S | 01 '!$C$6:$R$46,E$5,0)</f>
        <v>Unrealized</v>
      </c>
      <c r="F32" s="56" t="str">
        <f>VLOOKUP($C32,'S | 01 '!$C$6:$R$46,F$5,0)</f>
        <v>Anton</v>
      </c>
      <c r="G32" s="56" t="str">
        <f>VLOOKUP($C32,'S | 01 '!$C$6:$R$46,G$5,0)</f>
        <v>G42</v>
      </c>
      <c r="H32" s="60">
        <f>VLOOKUP($C32,'S | 01 '!$C$6:$R$46,H$5,0)</f>
        <v>2022</v>
      </c>
      <c r="I32" s="60" t="str">
        <f>VLOOKUP($C32,'S | 01 '!$C$6:$R$46,I$5,0)</f>
        <v>Equity-TBC</v>
      </c>
      <c r="J32" s="224">
        <f>VLOOKUP($C32,'S | 01 '!$C$6:$R$46,J$5,0)</f>
        <v>0.11141913554582343</v>
      </c>
      <c r="K32" s="71">
        <f>VLOOKUP($C32,'S | 01 '!$C$6:$R$46,K$5,0)</f>
        <v>300</v>
      </c>
      <c r="L32" s="71">
        <f ca="1">VLOOKUP($C32,'S | 01 '!$C$6:$R$46,L$5,0)</f>
        <v>300</v>
      </c>
      <c r="M32" s="71">
        <f ca="1">VLOOKUP($C32,'S | 01 '!$C$6:$R$46,M$5,0)</f>
        <v>0</v>
      </c>
      <c r="N32" s="71">
        <f>VLOOKUP($C32,'S | 01 '!$C$6:$R$46,N$5,0)</f>
        <v>300</v>
      </c>
      <c r="O32" s="71">
        <f ca="1">VLOOKUP($C32,'S | 01 '!$C$6:$R$46,O$5,0)</f>
        <v>0</v>
      </c>
      <c r="P32" s="71">
        <v>0</v>
      </c>
      <c r="Q32" s="224">
        <f>VLOOKUP($C32,'S | 01 '!$C$6:$R$46,Q$5,0)</f>
        <v>2.9802322387695314E-9</v>
      </c>
      <c r="R32" s="64">
        <f ca="1">VLOOKUP($C32,'S | 01 '!$C$6:$R$46,R$5,0)</f>
        <v>1</v>
      </c>
      <c r="S32" s="71">
        <f>VLOOKUP($C32,'S | 01 '!$C$6:$R$46,S$5,0)</f>
        <v>0</v>
      </c>
      <c r="T32" s="221" t="s">
        <v>204</v>
      </c>
      <c r="U32" s="164"/>
    </row>
    <row r="33" spans="2:24" ht="17" x14ac:dyDescent="0.35">
      <c r="B33" s="163"/>
      <c r="C33" s="58" t="s">
        <v>132</v>
      </c>
      <c r="D33" s="105" t="s">
        <v>455</v>
      </c>
      <c r="E33" s="56" t="str">
        <f>VLOOKUP($C33,'S | 01 '!$C$6:$R$46,E$5,0)</f>
        <v>Unrealized</v>
      </c>
      <c r="F33" s="56" t="str">
        <f>VLOOKUP($C33,'S | 01 '!$C$6:$R$46,F$5,0)</f>
        <v>Divyesh</v>
      </c>
      <c r="G33" s="56" t="str">
        <f>VLOOKUP($C33,'S | 01 '!$C$6:$R$46,G$5,0)</f>
        <v>G42</v>
      </c>
      <c r="H33" s="60">
        <f>VLOOKUP($C33,'S | 01 '!$C$6:$R$46,H$5,0)</f>
        <v>2022</v>
      </c>
      <c r="I33" s="60" t="str">
        <f>VLOOKUP($C33,'S | 01 '!$C$6:$R$46,I$5,0)</f>
        <v>Ordinary Shares</v>
      </c>
      <c r="J33" s="224">
        <f>VLOOKUP($C33,'S | 01 '!$C$6:$R$46,J$5,0)</f>
        <v>9.9316564009108654E-2</v>
      </c>
      <c r="K33" s="71">
        <f ca="1">VLOOKUP($C33,'S | 01 '!$C$6:$R$46,K$5,0)</f>
        <v>24.53125</v>
      </c>
      <c r="L33" s="71">
        <f ca="1">VLOOKUP($C33,'S | 01 '!$C$6:$R$46,L$5,0)</f>
        <v>24.53125</v>
      </c>
      <c r="M33" s="71">
        <f ca="1">VLOOKUP($C33,'S | 01 '!$C$6:$R$46,M$5,0)</f>
        <v>0</v>
      </c>
      <c r="N33" s="71">
        <f>VLOOKUP($C33,'S | 01 '!$C$6:$R$46,N$5,0)</f>
        <v>7.0626663199999999</v>
      </c>
      <c r="O33" s="71">
        <f ca="1">VLOOKUP($C33,'S | 01 '!$C$6:$R$46,O$5,0)</f>
        <v>-17.468583680000002</v>
      </c>
      <c r="P33" s="71">
        <v>-1.3480000000000001</v>
      </c>
      <c r="Q33" s="224" t="str">
        <f>VLOOKUP($C33,'S | 01 '!$C$6:$R$46,Q$5,0)</f>
        <v>NM</v>
      </c>
      <c r="R33" s="64">
        <f ca="1">VLOOKUP($C33,'S | 01 '!$C$6:$R$46,R$5,0)</f>
        <v>0.28790486909554142</v>
      </c>
      <c r="S33" s="71">
        <f ca="1">VLOOKUP($C33,'S | 01 '!$C$6:$R$46,S$5,0)</f>
        <v>0</v>
      </c>
      <c r="T33" s="221" t="s">
        <v>225</v>
      </c>
      <c r="U33" s="164"/>
      <c r="W33" s="80" t="s">
        <v>2</v>
      </c>
      <c r="X33" s="708">
        <f ca="1">L40</f>
        <v>1256.2696675044713</v>
      </c>
    </row>
    <row r="34" spans="2:24" x14ac:dyDescent="0.35">
      <c r="B34" s="163"/>
      <c r="C34" s="58" t="s">
        <v>1</v>
      </c>
      <c r="D34" s="105" t="s">
        <v>457</v>
      </c>
      <c r="E34" s="56" t="str">
        <f>VLOOKUP($C34,'S | 01 '!$C$6:$R$46,E$5,0)</f>
        <v>Unrealized</v>
      </c>
      <c r="F34" s="56" t="str">
        <f>VLOOKUP($C34,'S | 01 '!$C$6:$R$46,F$5,0)</f>
        <v>Elaine</v>
      </c>
      <c r="G34" s="56" t="str">
        <f>VLOOKUP($C34,'S | 01 '!$C$6:$R$46,G$5,0)</f>
        <v>G42</v>
      </c>
      <c r="H34" s="60">
        <f>VLOOKUP($C34,'S | 01 '!$C$6:$R$46,H$5,0)</f>
        <v>2020</v>
      </c>
      <c r="I34" s="60" t="str">
        <f>VLOOKUP($C34,'S | 01 '!$C$6:$R$46,I$5,0)</f>
        <v xml:space="preserve">LP </v>
      </c>
      <c r="J34" s="224" t="str">
        <f>VLOOKUP($C34,'S | 01 '!$C$6:$R$46,J$5,0)</f>
        <v>n/a</v>
      </c>
      <c r="K34" s="71">
        <f>VLOOKUP($C34,'S | 01 '!$C$6:$R$46,K$5,0)</f>
        <v>300</v>
      </c>
      <c r="L34" s="71">
        <f>VLOOKUP($C34,'S | 01 '!$C$6:$R$46,L$5,0)</f>
        <v>83.214652999999984</v>
      </c>
      <c r="M34" s="71">
        <f>VLOOKUP($C34,'S | 01 '!$C$6:$R$46,M$5,0)</f>
        <v>1.0279609999999999</v>
      </c>
      <c r="N34" s="71">
        <f>VLOOKUP($C34,'S | 01 '!$C$6:$R$46,N$5,0)</f>
        <v>81.695785999999998</v>
      </c>
      <c r="O34" s="71">
        <f>VLOOKUP($C34,'S | 01 '!$C$6:$R$46,O$5,0)</f>
        <v>-0.49090599999998119</v>
      </c>
      <c r="P34" s="71">
        <v>-0.30599999999999999</v>
      </c>
      <c r="Q34" s="224">
        <f>VLOOKUP($C34,'S | 01 '!$C$6:$R$46,Q$5,0)</f>
        <v>-2.1562932059168817E-3</v>
      </c>
      <c r="R34" s="64">
        <f>VLOOKUP($C34,'S | 01 '!$C$6:$R$46,R$5,0)</f>
        <v>0.96555063445376632</v>
      </c>
      <c r="S34" s="71">
        <f>VLOOKUP($C34,'S | 01 '!$C$6:$R$46,S$5,0)</f>
        <v>217.81330800000001</v>
      </c>
      <c r="T34" s="56"/>
      <c r="U34" s="164"/>
      <c r="W34" s="80" t="s">
        <v>402</v>
      </c>
      <c r="X34" s="708">
        <f>N40</f>
        <v>1255.1666497711524</v>
      </c>
    </row>
    <row r="35" spans="2:24" x14ac:dyDescent="0.35">
      <c r="B35" s="163"/>
      <c r="C35" s="58" t="s">
        <v>171</v>
      </c>
      <c r="D35" s="105" t="s">
        <v>457</v>
      </c>
      <c r="E35" s="56" t="str">
        <f>VLOOKUP($C35,'S | 01 '!$C$6:$R$46,E$5,0)</f>
        <v>Unrealized</v>
      </c>
      <c r="F35" s="56" t="str">
        <f>VLOOKUP($C35,'S | 01 '!$C$6:$R$46,F$5,0)</f>
        <v>Sushil</v>
      </c>
      <c r="G35" s="56" t="str">
        <f>VLOOKUP($C35,'S | 01 '!$C$6:$R$46,G$5,0)</f>
        <v>G42</v>
      </c>
      <c r="H35" s="60">
        <f>VLOOKUP($C35,'S | 01 '!$C$6:$R$46,H$5,0)</f>
        <v>2020</v>
      </c>
      <c r="I35" s="60" t="str">
        <f>VLOOKUP($C35,'S | 01 '!$C$6:$R$46,I$5,0)</f>
        <v xml:space="preserve">LP </v>
      </c>
      <c r="J35" s="224" t="str">
        <f>VLOOKUP($C35,'S | 01 '!$C$6:$R$46,J$5,0)</f>
        <v>n/a</v>
      </c>
      <c r="K35" s="71">
        <f>VLOOKUP($C35,'S | 01 '!$C$6:$R$46,K$5,0)</f>
        <v>28.336808256296706</v>
      </c>
      <c r="L35" s="71">
        <f>VLOOKUP($C35,'S | 01 '!$C$6:$R$46,L$5,0)</f>
        <v>11.058034651530003</v>
      </c>
      <c r="M35" s="71">
        <f>VLOOKUP($C35,'S | 01 '!$C$6:$R$46,M$5,0)</f>
        <v>2.9557743514081998</v>
      </c>
      <c r="N35" s="71">
        <f>VLOOKUP($C35,'S | 01 '!$C$6:$R$46,N$5,0)</f>
        <v>13.390399107670001</v>
      </c>
      <c r="O35" s="71">
        <f>VLOOKUP($C35,'S | 01 '!$C$6:$R$46,O$5,0)</f>
        <v>5.288138807548199</v>
      </c>
      <c r="P35" s="71">
        <v>5.4450000000000003</v>
      </c>
      <c r="Q35" s="224">
        <f>VLOOKUP($C35,'S | 01 '!$C$6:$R$46,Q$5,0)</f>
        <v>8.7990489602088912E-2</v>
      </c>
      <c r="R35" s="64">
        <f>VLOOKUP($C35,'S | 01 '!$C$6:$R$46,R$5,0)</f>
        <v>1.4784782580540818</v>
      </c>
      <c r="S35" s="71">
        <f>VLOOKUP($C35,'S | 01 '!$C$6:$R$46,S$5,0)</f>
        <v>17.278773604766702</v>
      </c>
      <c r="T35" s="56"/>
      <c r="U35" s="164"/>
      <c r="W35" s="80" t="s">
        <v>486</v>
      </c>
      <c r="X35" s="708">
        <f ca="1">O40</f>
        <v>3.3245459680892964</v>
      </c>
    </row>
    <row r="36" spans="2:24" x14ac:dyDescent="0.35">
      <c r="B36" s="163"/>
      <c r="C36" s="58" t="s">
        <v>538</v>
      </c>
      <c r="D36" s="105" t="s">
        <v>457</v>
      </c>
      <c r="E36" s="56" t="str">
        <f>VLOOKUP($C36,'S | 01 '!$C$6:$R$46,E$5,0)</f>
        <v>Unrealized</v>
      </c>
      <c r="F36" s="56" t="str">
        <f>VLOOKUP($C36,'S | 01 '!$C$6:$R$46,F$5,0)</f>
        <v>Sushil</v>
      </c>
      <c r="G36" s="56" t="str">
        <f>VLOOKUP($C36,'S | 01 '!$C$6:$R$46,G$5,0)</f>
        <v>G42</v>
      </c>
      <c r="H36" s="60">
        <f>VLOOKUP($C36,'S | 01 '!$C$6:$R$46,H$5,0)</f>
        <v>2023</v>
      </c>
      <c r="I36" s="60" t="str">
        <f>VLOOKUP($C36,'S | 01 '!$C$6:$R$46,I$5,0)</f>
        <v xml:space="preserve">LP </v>
      </c>
      <c r="J36" s="224" t="str">
        <f>VLOOKUP($C36,'S | 01 '!$C$6:$R$46,J$5,0)</f>
        <v>n/a</v>
      </c>
      <c r="K36" s="71">
        <f>VLOOKUP($C36,'S | 01 '!$C$6:$R$46,K$5,0)</f>
        <v>2.7058823529411762</v>
      </c>
      <c r="L36" s="71">
        <f>VLOOKUP($C36,'S | 01 '!$C$6:$R$46,L$5,0)</f>
        <v>2.7058823529411762</v>
      </c>
      <c r="M36" s="71">
        <f>VLOOKUP($C36,'S | 01 '!$C$6:$R$46,M$5,0)</f>
        <v>0</v>
      </c>
      <c r="N36" s="71">
        <f>VLOOKUP($C36,'S | 01 '!$C$6:$R$46,N$5,0)</f>
        <v>3.2766079856035097</v>
      </c>
      <c r="O36" s="71">
        <f>VLOOKUP($C36,'S | 01 '!$C$6:$R$46,O$5,0)</f>
        <v>0.57072563266233356</v>
      </c>
      <c r="P36" s="71">
        <v>0</v>
      </c>
      <c r="Q36" s="224">
        <f>VLOOKUP($C36,'S | 01 '!$C$6:$R$46,Q$5,0)</f>
        <v>0</v>
      </c>
      <c r="R36" s="64">
        <f>VLOOKUP($C36,'S | 01 '!$C$6:$R$46,R$5,0)</f>
        <v>1</v>
      </c>
      <c r="S36" s="71">
        <f>VLOOKUP($C36,'S | 01 '!$C$6:$R$46,S$5,0)</f>
        <v>0</v>
      </c>
      <c r="T36" s="189"/>
      <c r="U36" s="164"/>
      <c r="W36" s="80" t="s">
        <v>487</v>
      </c>
      <c r="X36" s="709">
        <f ca="1">O40-P40</f>
        <v>-53.565454031910711</v>
      </c>
    </row>
    <row r="37" spans="2:24" x14ac:dyDescent="0.35">
      <c r="B37" s="163"/>
      <c r="C37" s="58" t="s">
        <v>15</v>
      </c>
      <c r="D37" s="105" t="s">
        <v>457</v>
      </c>
      <c r="E37" s="56" t="str">
        <f>VLOOKUP($C37,'S | 01 '!$C$6:$R$46,E$5,0)</f>
        <v>Unrealized</v>
      </c>
      <c r="F37" s="56" t="str">
        <f>VLOOKUP($C37,'S | 01 '!$C$6:$R$46,F$5,0)</f>
        <v>Elaine</v>
      </c>
      <c r="G37" s="56" t="str">
        <f>VLOOKUP($C37,'S | 01 '!$C$6:$R$46,G$5,0)</f>
        <v>G42</v>
      </c>
      <c r="H37" s="60">
        <f>VLOOKUP($C37,'S | 01 '!$C$6:$R$46,H$5,0)</f>
        <v>2020</v>
      </c>
      <c r="I37" s="60" t="str">
        <f>VLOOKUP($C37,'S | 01 '!$C$6:$R$46,I$5,0)</f>
        <v xml:space="preserve">LP </v>
      </c>
      <c r="J37" s="224" t="str">
        <f>VLOOKUP($C37,'S | 01 '!$C$6:$R$46,J$5,0)</f>
        <v>n/a</v>
      </c>
      <c r="K37" s="71">
        <f>VLOOKUP($C37,'S | 01 '!$C$6:$R$46,K$5,0)</f>
        <v>50</v>
      </c>
      <c r="L37" s="71">
        <f>VLOOKUP($C37,'S | 01 '!$C$6:$R$46,L$5,0)</f>
        <v>20.744710000000001</v>
      </c>
      <c r="M37" s="71">
        <f>VLOOKUP($C37,'S | 01 '!$C$6:$R$46,M$5,0)</f>
        <v>0.44382834999999998</v>
      </c>
      <c r="N37" s="71">
        <f>VLOOKUP($C37,'S | 01 '!$C$6:$R$46,N$5,0)</f>
        <v>19.244515</v>
      </c>
      <c r="O37" s="71">
        <f>VLOOKUP($C37,'S | 01 '!$C$6:$R$46,O$5,0)</f>
        <v>-1.0563666500000011</v>
      </c>
      <c r="P37" s="71">
        <v>-1.2649999999999999</v>
      </c>
      <c r="Q37" s="224">
        <f>VLOOKUP($C37,'S | 01 '!$C$6:$R$46,Q$5,0)</f>
        <v>-2.336170375347137E-2</v>
      </c>
      <c r="R37" s="64">
        <f>VLOOKUP($C37,'S | 01 '!$C$6:$R$46,R$5,0)</f>
        <v>0.97193723963305834</v>
      </c>
      <c r="S37" s="71">
        <f>VLOOKUP($C37,'S | 01 '!$C$6:$R$46,S$5,0)</f>
        <v>29.255289999999999</v>
      </c>
      <c r="T37" s="189"/>
      <c r="U37" s="164"/>
      <c r="W37" s="80" t="s">
        <v>32</v>
      </c>
      <c r="X37" s="403">
        <f>Q40</f>
        <v>2.1642416715621955E-3</v>
      </c>
    </row>
    <row r="38" spans="2:24" x14ac:dyDescent="0.35">
      <c r="B38" s="163"/>
      <c r="C38" s="58" t="s">
        <v>229</v>
      </c>
      <c r="D38" s="105" t="s">
        <v>457</v>
      </c>
      <c r="E38" s="56" t="str">
        <f>VLOOKUP($C38,'S | 01 '!$C$6:$R$46,E$5,0)</f>
        <v>Unrealized</v>
      </c>
      <c r="F38" s="56" t="str">
        <f>VLOOKUP($C38,'S | 01 '!$C$6:$R$46,F$5,0)</f>
        <v>Divyesh</v>
      </c>
      <c r="G38" s="56" t="str">
        <f>VLOOKUP($C38,'S | 01 '!$C$6:$R$46,G$5,0)</f>
        <v>G42</v>
      </c>
      <c r="H38" s="60">
        <f>VLOOKUP($C38,'S | 01 '!$C$6:$R$46,H$5,0)</f>
        <v>2021</v>
      </c>
      <c r="I38" s="60" t="str">
        <f>VLOOKUP($C38,'S | 01 '!$C$6:$R$46,I$5,0)</f>
        <v xml:space="preserve">LP </v>
      </c>
      <c r="J38" s="224">
        <f>VLOOKUP($C38,'S | 01 '!$C$6:$R$46,J$5,0)</f>
        <v>0.33</v>
      </c>
      <c r="K38" s="71">
        <f>VLOOKUP($C38,'S | 01 '!$C$6:$R$46,K$5,0)</f>
        <v>17.112500000000001</v>
      </c>
      <c r="L38" s="71">
        <f>VLOOKUP($C38,'S | 01 '!$C$6:$R$46,L$5,0)</f>
        <v>14.0151375</v>
      </c>
      <c r="M38" s="71">
        <f>VLOOKUP($C38,'S | 01 '!$C$6:$R$46,M$5,0)</f>
        <v>0</v>
      </c>
      <c r="N38" s="71">
        <f>VLOOKUP($C38,'S | 01 '!$C$6:$R$46,N$5,0)</f>
        <v>13.307625</v>
      </c>
      <c r="O38" s="71">
        <f>VLOOKUP($C38,'S | 01 '!$C$6:$R$46,O$5,0)</f>
        <v>-0.70751249999999999</v>
      </c>
      <c r="P38" s="71">
        <v>-0.30599999999999999</v>
      </c>
      <c r="Q38" s="224">
        <f>VLOOKUP($C38,'S | 01 '!$C$6:$R$46,Q$5,0)</f>
        <v>-4.1123560070991522E-2</v>
      </c>
      <c r="R38" s="64">
        <f>VLOOKUP($C38,'S | 01 '!$C$6:$R$46,R$5,0)</f>
        <v>0.97333027504590375</v>
      </c>
      <c r="S38" s="71">
        <f>VLOOKUP($C38,'S | 01 '!$C$6:$R$46,S$5,0)</f>
        <v>3.0973625000000009</v>
      </c>
      <c r="T38" s="56" t="s">
        <v>108</v>
      </c>
      <c r="U38" s="164"/>
    </row>
    <row r="39" spans="2:24" x14ac:dyDescent="0.35">
      <c r="B39" s="163"/>
      <c r="C39" s="58"/>
      <c r="D39" s="105"/>
      <c r="E39" s="56"/>
      <c r="F39" s="56"/>
      <c r="G39" s="56"/>
      <c r="H39" s="56"/>
      <c r="I39" s="60"/>
      <c r="J39" s="224"/>
      <c r="K39" s="71"/>
      <c r="L39" s="71"/>
      <c r="M39" s="71"/>
      <c r="N39" s="71"/>
      <c r="O39" s="71"/>
      <c r="P39" s="71"/>
      <c r="Q39" s="224"/>
      <c r="R39" s="64"/>
      <c r="S39" s="71"/>
      <c r="T39" s="221"/>
      <c r="U39" s="164"/>
      <c r="W39" s="520">
        <f ca="1">O29-P29</f>
        <v>8.6824241787354879</v>
      </c>
    </row>
    <row r="40" spans="2:24" s="167" customFormat="1" x14ac:dyDescent="0.35">
      <c r="B40" s="165"/>
      <c r="C40" s="63"/>
      <c r="D40" s="63"/>
      <c r="E40" s="63"/>
      <c r="F40" s="63"/>
      <c r="G40" s="63"/>
      <c r="H40" s="63"/>
      <c r="I40" s="63"/>
      <c r="J40" s="227"/>
      <c r="K40" s="72">
        <f ca="1">SUM(K31:K38)</f>
        <v>1522.6864406092379</v>
      </c>
      <c r="L40" s="72">
        <f ca="1">SUM(L31:L38)</f>
        <v>1256.2696675044713</v>
      </c>
      <c r="M40" s="72">
        <f ca="1">SUM(M31:M38)</f>
        <v>4.4275637014082001</v>
      </c>
      <c r="N40" s="72">
        <f>SUM(N31:N38)</f>
        <v>1255.1666497711524</v>
      </c>
      <c r="O40" s="72">
        <f ca="1">N40+M40-L40</f>
        <v>3.3245459680892964</v>
      </c>
      <c r="P40" s="72">
        <f>SUM(P31:P38)</f>
        <v>56.890000000000008</v>
      </c>
      <c r="Q40" s="75">
        <f>'4. G42-IRR'!L16</f>
        <v>2.1642416715621955E-3</v>
      </c>
      <c r="R40" s="65">
        <f ca="1">(M40+N40)/L40</f>
        <v>1.0026463633199816</v>
      </c>
      <c r="S40" s="72">
        <f ca="1">SUM(S31:S38)</f>
        <v>267.44473410476667</v>
      </c>
      <c r="T40" s="63">
        <f ca="1">N40+M40-L40</f>
        <v>3.3245459680892964</v>
      </c>
      <c r="U40" s="166"/>
      <c r="W40" s="520">
        <f ca="1">K40-L40</f>
        <v>266.41677310476666</v>
      </c>
    </row>
    <row r="41" spans="2:24" s="391" customFormat="1" x14ac:dyDescent="0.35">
      <c r="B41" s="389"/>
      <c r="C41" s="383"/>
      <c r="D41" s="383"/>
      <c r="E41" s="383"/>
      <c r="F41" s="383"/>
      <c r="G41" s="383"/>
      <c r="H41" s="383"/>
      <c r="I41" s="383"/>
      <c r="J41" s="226"/>
      <c r="K41" s="384"/>
      <c r="L41" s="384"/>
      <c r="M41" s="384"/>
      <c r="N41" s="384"/>
      <c r="O41" s="384"/>
      <c r="P41" s="384"/>
      <c r="Q41" s="236"/>
      <c r="R41" s="385"/>
      <c r="S41" s="384"/>
      <c r="T41" s="383"/>
      <c r="U41" s="390"/>
      <c r="W41" s="520">
        <f ca="1">O40-P40</f>
        <v>-53.565454031910711</v>
      </c>
    </row>
    <row r="42" spans="2:24" s="167" customFormat="1" x14ac:dyDescent="0.35">
      <c r="B42" s="165"/>
      <c r="C42" s="500"/>
      <c r="D42" s="500"/>
      <c r="E42" s="501"/>
      <c r="F42" s="501"/>
      <c r="G42" s="501"/>
      <c r="H42" s="501"/>
      <c r="I42" s="501"/>
      <c r="J42" s="502"/>
      <c r="K42" s="503">
        <f t="shared" ref="K42:P42" ca="1" si="1">K29+K40</f>
        <v>2516.9571424181622</v>
      </c>
      <c r="L42" s="503">
        <f t="shared" ca="1" si="1"/>
        <v>2243.0372078773153</v>
      </c>
      <c r="M42" s="503">
        <f t="shared" ca="1" si="1"/>
        <v>17.719124451408199</v>
      </c>
      <c r="N42" s="503">
        <f t="shared" ca="1" si="1"/>
        <v>2251.8622520281738</v>
      </c>
      <c r="O42" s="503">
        <f t="shared" ca="1" si="1"/>
        <v>26.54416860226695</v>
      </c>
      <c r="P42" s="503">
        <f t="shared" si="1"/>
        <v>71.427198455442181</v>
      </c>
      <c r="Q42" s="723">
        <f ca="1">'4.All'!N9</f>
        <v>7.0974320173263555E-3</v>
      </c>
      <c r="R42" s="504">
        <f ca="1">(M42+N42)/L42</f>
        <v>1.0118340295511132</v>
      </c>
      <c r="S42" s="503">
        <f ca="1">S29+S40</f>
        <v>274.94473410476667</v>
      </c>
      <c r="T42" s="501"/>
      <c r="U42" s="166"/>
      <c r="W42" s="574">
        <f ca="1">SUM(M31:N33)-SUM(L31:L33)</f>
        <v>-0.27953332212109672</v>
      </c>
    </row>
    <row r="43" spans="2:24" s="474" customFormat="1" ht="15" thickBot="1" x14ac:dyDescent="0.4">
      <c r="B43" s="467"/>
      <c r="C43" s="468"/>
      <c r="D43" s="468"/>
      <c r="E43" s="469"/>
      <c r="F43" s="469"/>
      <c r="G43" s="469"/>
      <c r="H43" s="469"/>
      <c r="I43" s="469"/>
      <c r="J43" s="470"/>
      <c r="K43" s="471"/>
      <c r="L43" s="471"/>
      <c r="M43" s="471"/>
      <c r="N43" s="471"/>
      <c r="O43" s="471"/>
      <c r="P43" s="471"/>
      <c r="Q43" s="470"/>
      <c r="R43" s="472"/>
      <c r="S43" s="471"/>
      <c r="T43" s="469"/>
      <c r="U43" s="473"/>
      <c r="W43" s="574">
        <f>SUM(M34:N38)-SUM(L34:L38)</f>
        <v>3.6040792902105636</v>
      </c>
    </row>
    <row r="44" spans="2:24" x14ac:dyDescent="0.35">
      <c r="J44" s="173"/>
      <c r="Q44" s="173"/>
      <c r="W44" s="575">
        <f ca="1">K40-L40</f>
        <v>266.41677310476666</v>
      </c>
    </row>
    <row r="45" spans="2:24" x14ac:dyDescent="0.35">
      <c r="B45" s="175"/>
      <c r="I45" s="528" t="s">
        <v>469</v>
      </c>
      <c r="J45" s="523"/>
      <c r="K45" s="523" t="b">
        <f ca="1">K42='S | 01 '!J46</f>
        <v>1</v>
      </c>
      <c r="L45" s="523" t="b">
        <f ca="1">ROUND(L42,3)=ROUND('S | 01 '!K46,3)</f>
        <v>1</v>
      </c>
      <c r="M45" s="523" t="b">
        <f ca="1">M42='S | 01 '!M46</f>
        <v>1</v>
      </c>
      <c r="N45" s="523" t="b">
        <f ca="1">N42='S | 01 '!N46</f>
        <v>1</v>
      </c>
      <c r="O45" s="523" t="b">
        <f ca="1">ROUND(O42,3)=ROUND('S | 01 '!O46,3)</f>
        <v>1</v>
      </c>
      <c r="P45" s="523"/>
      <c r="S45" s="614" t="b">
        <f ca="1">S29='S | 01 '!L30</f>
        <v>1</v>
      </c>
    </row>
    <row r="46" spans="2:24" s="162" customFormat="1" x14ac:dyDescent="0.35">
      <c r="B46" s="338" t="s">
        <v>470</v>
      </c>
      <c r="C46" s="59"/>
      <c r="D46" s="59"/>
      <c r="E46" s="61"/>
      <c r="F46" s="61"/>
      <c r="G46" s="61"/>
      <c r="H46" s="61"/>
      <c r="I46" s="529"/>
      <c r="J46" s="245"/>
      <c r="K46" s="530"/>
      <c r="M46" s="530"/>
      <c r="N46" s="530"/>
      <c r="O46" s="530"/>
      <c r="P46" s="530"/>
      <c r="Q46" s="77"/>
      <c r="R46" s="69"/>
      <c r="T46" s="61"/>
    </row>
    <row r="47" spans="2:24" x14ac:dyDescent="0.35">
      <c r="B47" s="175"/>
      <c r="C47" s="67"/>
      <c r="D47" s="67"/>
      <c r="E47" s="520"/>
      <c r="F47" s="520"/>
      <c r="G47" s="520"/>
      <c r="H47" s="520"/>
      <c r="I47" s="520"/>
      <c r="J47" s="520"/>
      <c r="K47" s="520"/>
      <c r="M47" s="520"/>
      <c r="N47" s="520"/>
      <c r="O47" s="592">
        <f ca="1">O40-P40</f>
        <v>-53.565454031910711</v>
      </c>
      <c r="P47" s="520"/>
      <c r="Q47" s="520"/>
      <c r="R47" s="520"/>
      <c r="S47" s="520"/>
    </row>
    <row r="48" spans="2:24" s="81" customFormat="1" x14ac:dyDescent="0.35">
      <c r="B48" s="175"/>
      <c r="C48" s="67"/>
      <c r="D48" s="67"/>
      <c r="L48" s="592"/>
      <c r="U48" s="80"/>
    </row>
    <row r="49" spans="2:21" s="81" customFormat="1" x14ac:dyDescent="0.35">
      <c r="B49" s="175"/>
      <c r="C49" s="151"/>
      <c r="D49" s="151"/>
      <c r="E49" s="520"/>
      <c r="F49" s="520"/>
      <c r="G49" s="520"/>
      <c r="H49" s="521"/>
      <c r="I49" s="520"/>
      <c r="J49" s="520"/>
      <c r="K49" s="520"/>
      <c r="L49" s="520"/>
      <c r="M49" s="520"/>
      <c r="N49" s="520"/>
      <c r="P49" s="520"/>
      <c r="Q49" s="520"/>
      <c r="R49" s="520"/>
      <c r="S49" s="520"/>
      <c r="U49" s="80"/>
    </row>
    <row r="50" spans="2:21" s="81" customFormat="1" x14ac:dyDescent="0.35">
      <c r="B50" s="175"/>
      <c r="C50" s="67"/>
      <c r="D50" s="67"/>
      <c r="E50" s="520"/>
      <c r="F50" s="520"/>
      <c r="G50" s="520"/>
      <c r="H50" s="522"/>
      <c r="Q50" s="520"/>
      <c r="R50" s="520"/>
      <c r="U50" s="80"/>
    </row>
    <row r="51" spans="2:21" s="81" customFormat="1" x14ac:dyDescent="0.35">
      <c r="B51" s="175"/>
      <c r="C51" s="67"/>
      <c r="D51" s="67"/>
      <c r="E51" s="520"/>
      <c r="F51" s="520"/>
      <c r="G51" s="520"/>
      <c r="H51" s="520"/>
      <c r="I51" s="520"/>
      <c r="J51" s="520"/>
      <c r="K51" s="520"/>
      <c r="L51" s="520"/>
      <c r="M51" s="520"/>
      <c r="N51" s="520"/>
      <c r="P51" s="520"/>
      <c r="Q51" s="520"/>
      <c r="R51" s="520"/>
      <c r="S51" s="520"/>
      <c r="U51" s="80"/>
    </row>
    <row r="52" spans="2:21" s="81" customFormat="1" x14ac:dyDescent="0.35">
      <c r="B52" s="80"/>
      <c r="C52" s="67"/>
      <c r="D52" s="67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P52" s="520"/>
      <c r="Q52" s="520"/>
      <c r="R52" s="520"/>
      <c r="S52" s="520"/>
      <c r="U52" s="80"/>
    </row>
    <row r="53" spans="2:21" s="81" customFormat="1" x14ac:dyDescent="0.35">
      <c r="B53" s="80"/>
      <c r="C53" s="67"/>
      <c r="D53" s="67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U53" s="80"/>
    </row>
    <row r="54" spans="2:21" s="81" customFormat="1" x14ac:dyDescent="0.35">
      <c r="B54" s="80"/>
      <c r="C54" s="67"/>
      <c r="D54" s="67"/>
      <c r="E54" s="520"/>
      <c r="F54" s="520"/>
      <c r="G54" s="520"/>
      <c r="H54" s="520"/>
      <c r="I54" s="520"/>
      <c r="J54" s="520"/>
      <c r="K54" s="520"/>
      <c r="L54" s="520"/>
      <c r="M54" s="520"/>
      <c r="N54" s="520"/>
      <c r="O54" s="520"/>
      <c r="P54" s="520"/>
      <c r="Q54" s="520"/>
      <c r="R54" s="520"/>
      <c r="S54" s="520"/>
      <c r="U54" s="80"/>
    </row>
    <row r="55" spans="2:21" s="81" customFormat="1" x14ac:dyDescent="0.35">
      <c r="B55" s="80"/>
      <c r="C55" s="150"/>
      <c r="D55" s="150"/>
      <c r="N55" s="194"/>
      <c r="O55" s="194"/>
      <c r="P55" s="194"/>
      <c r="U55" s="80"/>
    </row>
    <row r="56" spans="2:21" s="81" customFormat="1" x14ac:dyDescent="0.35">
      <c r="B56" s="80"/>
      <c r="C56" s="151"/>
      <c r="D56" s="151"/>
      <c r="N56" s="194"/>
      <c r="O56" s="194"/>
      <c r="P56" s="194"/>
      <c r="U56" s="80"/>
    </row>
    <row r="57" spans="2:21" s="81" customFormat="1" x14ac:dyDescent="0.35">
      <c r="B57" s="80"/>
      <c r="C57" s="475"/>
      <c r="D57" s="475"/>
      <c r="N57" s="194"/>
      <c r="O57" s="194"/>
      <c r="P57" s="194"/>
      <c r="U57" s="80"/>
    </row>
    <row r="58" spans="2:21" s="81" customFormat="1" x14ac:dyDescent="0.35">
      <c r="B58" s="80"/>
      <c r="C58" s="151"/>
      <c r="D58" s="151"/>
      <c r="N58" s="194"/>
      <c r="O58" s="194"/>
      <c r="P58" s="194"/>
      <c r="U58" s="80"/>
    </row>
    <row r="59" spans="2:21" s="81" customFormat="1" x14ac:dyDescent="0.35">
      <c r="B59" s="80"/>
      <c r="C59" s="150"/>
      <c r="D59" s="150"/>
      <c r="N59" s="194"/>
      <c r="O59" s="194"/>
      <c r="P59" s="194"/>
      <c r="U59" s="80"/>
    </row>
    <row r="60" spans="2:21" s="81" customFormat="1" x14ac:dyDescent="0.35">
      <c r="B60" s="80"/>
      <c r="C60" s="150"/>
      <c r="D60" s="150"/>
      <c r="N60" s="194"/>
      <c r="O60" s="194"/>
      <c r="P60" s="194"/>
      <c r="U60" s="80"/>
    </row>
    <row r="61" spans="2:21" s="81" customFormat="1" x14ac:dyDescent="0.35">
      <c r="B61" s="80"/>
      <c r="C61" s="150"/>
      <c r="D61" s="150"/>
      <c r="U61" s="80"/>
    </row>
    <row r="62" spans="2:21" s="81" customFormat="1" x14ac:dyDescent="0.35">
      <c r="B62" s="80"/>
      <c r="C62" s="151"/>
      <c r="D62" s="151"/>
      <c r="U62" s="80"/>
    </row>
    <row r="63" spans="2:21" s="81" customFormat="1" x14ac:dyDescent="0.35">
      <c r="B63" s="80"/>
      <c r="C63" s="151"/>
      <c r="D63" s="151"/>
      <c r="U63" s="80"/>
    </row>
    <row r="64" spans="2:21" s="81" customFormat="1" x14ac:dyDescent="0.35">
      <c r="B64" s="80"/>
      <c r="C64" s="151"/>
      <c r="D64" s="151"/>
      <c r="U64" s="80"/>
    </row>
    <row r="65" spans="2:21" s="81" customFormat="1" x14ac:dyDescent="0.35">
      <c r="B65" s="80"/>
      <c r="C65" s="150"/>
      <c r="D65" s="150"/>
      <c r="U65" s="80"/>
    </row>
    <row r="66" spans="2:21" s="81" customFormat="1" x14ac:dyDescent="0.35">
      <c r="B66" s="80"/>
      <c r="C66" s="150"/>
      <c r="D66" s="150"/>
      <c r="H66" s="346"/>
      <c r="J66" s="151"/>
      <c r="R66" s="194"/>
      <c r="U66" s="80"/>
    </row>
    <row r="67" spans="2:21" s="81" customFormat="1" x14ac:dyDescent="0.35">
      <c r="B67" s="80"/>
      <c r="C67" s="150"/>
      <c r="D67" s="150"/>
      <c r="H67" s="346"/>
      <c r="J67" s="151"/>
      <c r="R67" s="194"/>
      <c r="U67" s="80"/>
    </row>
    <row r="68" spans="2:21" s="81" customFormat="1" x14ac:dyDescent="0.35">
      <c r="B68" s="80"/>
      <c r="C68" s="150"/>
      <c r="D68" s="150"/>
      <c r="H68" s="151"/>
      <c r="J68" s="151"/>
      <c r="R68" s="194"/>
      <c r="U68" s="80"/>
    </row>
    <row r="69" spans="2:21" s="81" customFormat="1" x14ac:dyDescent="0.35">
      <c r="B69" s="80"/>
      <c r="C69" s="151"/>
      <c r="D69" s="151"/>
      <c r="F69" s="151"/>
      <c r="H69" s="151"/>
      <c r="J69" s="151"/>
      <c r="R69" s="194"/>
      <c r="U69" s="80"/>
    </row>
    <row r="70" spans="2:21" s="81" customFormat="1" x14ac:dyDescent="0.35">
      <c r="B70" s="80"/>
      <c r="H70" s="151"/>
      <c r="J70" s="151"/>
      <c r="R70" s="194"/>
      <c r="U70" s="80"/>
    </row>
    <row r="71" spans="2:21" s="81" customFormat="1" x14ac:dyDescent="0.35">
      <c r="B71" s="80"/>
      <c r="R71" s="194"/>
      <c r="U71" s="80"/>
    </row>
    <row r="72" spans="2:21" s="81" customFormat="1" x14ac:dyDescent="0.35">
      <c r="B72" s="80"/>
      <c r="C72" s="150"/>
      <c r="D72" s="150"/>
      <c r="G72" s="151"/>
      <c r="R72" s="194"/>
      <c r="U72" s="80"/>
    </row>
  </sheetData>
  <dataConsolidate/>
  <pageMargins left="0.7" right="0.7" top="0.75" bottom="0.75" header="0.3" footer="0.3"/>
  <pageSetup paperSize="9" orientation="portrait" verticalDpi="0" r:id="rId1"/>
  <ignoredErrors>
    <ignoredError sqref="O4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CF64-A973-430D-A6DD-FA3B31FE1EB7}">
  <sheetPr>
    <tabColor theme="7" tint="0.39997558519241921"/>
  </sheetPr>
  <dimension ref="B1:S90"/>
  <sheetViews>
    <sheetView showGridLines="0" zoomScale="80" zoomScaleNormal="80" workbookViewId="0">
      <selection activeCell="D70" sqref="D70:O70"/>
    </sheetView>
  </sheetViews>
  <sheetFormatPr defaultColWidth="9.1796875" defaultRowHeight="14.5" x14ac:dyDescent="0.35"/>
  <cols>
    <col min="1" max="2" width="5.453125" style="80" customWidth="1"/>
    <col min="3" max="3" width="42.26953125" style="150" customWidth="1"/>
    <col min="4" max="4" width="17.1796875" style="81" customWidth="1"/>
    <col min="5" max="5" width="9.453125" style="81" bestFit="1" customWidth="1"/>
    <col min="6" max="6" width="19.7265625" style="81" bestFit="1" customWidth="1"/>
    <col min="7" max="7" width="23.81640625" style="81" customWidth="1"/>
    <col min="8" max="12" width="20.54296875" style="81" customWidth="1"/>
    <col min="13" max="13" width="26" style="81" bestFit="1" customWidth="1"/>
    <col min="14" max="14" width="20.1796875" style="81" customWidth="1"/>
    <col min="15" max="16" width="9.1796875" style="80"/>
    <col min="17" max="17" width="18.54296875" style="80" customWidth="1"/>
    <col min="18" max="16384" width="9.1796875" style="80"/>
  </cols>
  <sheetData>
    <row r="1" spans="2:15" s="162" customFormat="1" ht="21.75" customHeight="1" thickBot="1" x14ac:dyDescent="0.4">
      <c r="C1" s="335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</row>
    <row r="2" spans="2:15" ht="15" thickBot="1" x14ac:dyDescent="0.4">
      <c r="C2" s="387" t="s">
        <v>241</v>
      </c>
      <c r="D2" s="388">
        <f>'S | 01 '!D2</f>
        <v>45138</v>
      </c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2:15" s="162" customFormat="1" ht="21.75" customHeight="1" thickBot="1" x14ac:dyDescent="0.4">
      <c r="C3" s="335"/>
      <c r="D3" s="333"/>
      <c r="E3" s="333"/>
      <c r="F3" s="333"/>
      <c r="G3" s="333"/>
      <c r="H3" s="333"/>
      <c r="I3" s="333"/>
      <c r="J3" s="333"/>
      <c r="K3" s="333"/>
      <c r="L3" s="333"/>
      <c r="M3" s="313" t="s">
        <v>569</v>
      </c>
      <c r="N3" s="333"/>
    </row>
    <row r="4" spans="2:15" x14ac:dyDescent="0.35">
      <c r="B4" s="152"/>
      <c r="C4" s="153"/>
      <c r="D4" s="154"/>
      <c r="E4" s="154"/>
      <c r="F4" s="154"/>
      <c r="G4" s="154"/>
      <c r="H4" s="451"/>
      <c r="I4" s="451"/>
      <c r="J4" s="451"/>
      <c r="K4" s="451"/>
      <c r="L4" s="451"/>
      <c r="M4" s="451"/>
      <c r="N4" s="451"/>
      <c r="O4" s="156"/>
    </row>
    <row r="5" spans="2:15" x14ac:dyDescent="0.35">
      <c r="B5" s="163"/>
      <c r="C5" s="446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33"/>
      <c r="O5" s="164"/>
    </row>
    <row r="6" spans="2:15" s="159" customFormat="1" ht="60" customHeight="1" x14ac:dyDescent="0.35">
      <c r="B6" s="157"/>
      <c r="C6" s="57" t="s">
        <v>62</v>
      </c>
      <c r="D6" s="1" t="s">
        <v>33</v>
      </c>
      <c r="E6" s="1" t="s">
        <v>100</v>
      </c>
      <c r="F6" s="1" t="s">
        <v>40</v>
      </c>
      <c r="G6" s="1" t="s">
        <v>45</v>
      </c>
      <c r="H6" s="1" t="s">
        <v>366</v>
      </c>
      <c r="I6" s="613" t="s">
        <v>557</v>
      </c>
      <c r="J6" s="613" t="s">
        <v>558</v>
      </c>
      <c r="K6" s="613" t="s">
        <v>545</v>
      </c>
      <c r="L6" s="613" t="s">
        <v>64</v>
      </c>
      <c r="M6" s="613" t="s">
        <v>570</v>
      </c>
      <c r="N6" s="641" t="s">
        <v>378</v>
      </c>
      <c r="O6" s="158"/>
    </row>
    <row r="7" spans="2:15" s="162" customFormat="1" x14ac:dyDescent="0.35">
      <c r="B7" s="160"/>
      <c r="C7" s="59"/>
      <c r="D7" s="62"/>
      <c r="E7" s="62"/>
      <c r="F7" s="62"/>
      <c r="G7" s="62"/>
      <c r="H7" s="62"/>
      <c r="I7" s="62"/>
      <c r="J7" s="62"/>
      <c r="K7" s="62"/>
      <c r="L7" s="62"/>
      <c r="M7" s="62"/>
      <c r="N7" s="447"/>
      <c r="O7" s="161"/>
    </row>
    <row r="8" spans="2:15" x14ac:dyDescent="0.35">
      <c r="B8" s="163"/>
      <c r="C8" s="70" t="s">
        <v>37</v>
      </c>
      <c r="D8" s="56"/>
      <c r="E8" s="56"/>
      <c r="F8" s="56"/>
      <c r="G8" s="56"/>
      <c r="H8" s="56"/>
      <c r="I8" s="642"/>
      <c r="J8" s="642"/>
      <c r="K8" s="642"/>
      <c r="L8" s="645"/>
      <c r="M8" s="56"/>
      <c r="N8" s="448"/>
      <c r="O8" s="164"/>
    </row>
    <row r="9" spans="2:15" x14ac:dyDescent="0.35">
      <c r="B9" s="163"/>
      <c r="C9" s="58" t="str">
        <f>'S | 01 '!C10</f>
        <v>Jollychic Holding Limited</v>
      </c>
      <c r="D9" s="56" t="str">
        <f>'S | 01 '!D10</f>
        <v>In Liquidation</v>
      </c>
      <c r="E9" s="56" t="str">
        <f>'S | 01 '!E10</f>
        <v>Elaine</v>
      </c>
      <c r="F9" s="56" t="str">
        <f>'S | 01 '!F10</f>
        <v>Mozn</v>
      </c>
      <c r="G9" s="56" t="str">
        <f>'S | 01 '!H10</f>
        <v>C+ Prefs</v>
      </c>
      <c r="H9" s="56"/>
      <c r="I9" s="643" t="s">
        <v>465</v>
      </c>
      <c r="J9" s="643" t="s">
        <v>465</v>
      </c>
      <c r="K9" s="642" t="str">
        <f>VLOOKUP(C9,'6. %'!$C$6:$J$35,6,0)</f>
        <v>Cayman Islands</v>
      </c>
      <c r="L9" s="645">
        <f>VLOOKUP(C9,'6. %'!$C$6:$J$35,4,0)</f>
        <v>5.6999998161926343E-2</v>
      </c>
      <c r="M9" s="56"/>
      <c r="N9" s="448">
        <v>1</v>
      </c>
      <c r="O9" s="164"/>
    </row>
    <row r="10" spans="2:15" x14ac:dyDescent="0.35">
      <c r="B10" s="163"/>
      <c r="C10" s="58" t="str">
        <f>'S | 01 '!C11</f>
        <v>Mena Mobile Inc</v>
      </c>
      <c r="D10" s="56" t="str">
        <f>'S | 01 '!D11</f>
        <v>Unrealized</v>
      </c>
      <c r="E10" s="56" t="str">
        <f>'S | 01 '!E11</f>
        <v>Elaine</v>
      </c>
      <c r="F10" s="56" t="str">
        <f>'S | 01 '!F11</f>
        <v>Mozn</v>
      </c>
      <c r="G10" s="56" t="str">
        <f>'S | 01 '!H11</f>
        <v>B Prefs</v>
      </c>
      <c r="H10" s="56"/>
      <c r="I10" s="643" t="s">
        <v>465</v>
      </c>
      <c r="J10" s="643" t="s">
        <v>465</v>
      </c>
      <c r="K10" s="642" t="str">
        <f>VLOOKUP(C10,'6. %'!$C$6:$J$35,6,0)</f>
        <v>Cayman Islands</v>
      </c>
      <c r="L10" s="645">
        <f>VLOOKUP(C10,'6. %'!$C$6:$J$35,4,0)</f>
        <v>0.14000000235296001</v>
      </c>
      <c r="M10" s="56"/>
      <c r="N10" s="448">
        <v>2</v>
      </c>
      <c r="O10" s="164"/>
    </row>
    <row r="11" spans="2:15" ht="17" x14ac:dyDescent="0.35">
      <c r="B11" s="163"/>
      <c r="C11" s="58" t="str">
        <f>'S | 01 '!C12</f>
        <v>Flyr Inc</v>
      </c>
      <c r="D11" s="56" t="str">
        <f>'S | 01 '!D12</f>
        <v>Unrealized</v>
      </c>
      <c r="E11" s="56" t="str">
        <f>'S | 01 '!E12</f>
        <v>Sushil</v>
      </c>
      <c r="F11" s="56" t="str">
        <f>'S | 01 '!F12</f>
        <v>Mozn</v>
      </c>
      <c r="G11" s="56" t="str">
        <f>'S | 01 '!H12</f>
        <v>B-1,2 Prefs</v>
      </c>
      <c r="H11" s="56"/>
      <c r="I11" s="643" t="s">
        <v>465</v>
      </c>
      <c r="J11" s="643" t="s">
        <v>465</v>
      </c>
      <c r="K11" s="642" t="str">
        <f>VLOOKUP(C11,'6. %'!$C$6:$J$35,6,0)</f>
        <v>Delaware Corporation</v>
      </c>
      <c r="L11" s="645">
        <f>VLOOKUP(C11,'6. %'!$C$6:$J$35,4,0)</f>
        <v>8.5025484621212399E-2</v>
      </c>
      <c r="M11" s="56" t="s">
        <v>571</v>
      </c>
      <c r="N11" s="448">
        <v>3</v>
      </c>
      <c r="O11" s="164"/>
    </row>
    <row r="12" spans="2:15" x14ac:dyDescent="0.35">
      <c r="B12" s="163"/>
      <c r="C12" s="58" t="str">
        <f>'S | 01 '!C13</f>
        <v xml:space="preserve">Esyasoft Holding </v>
      </c>
      <c r="D12" s="56" t="str">
        <f>'S | 01 '!D13</f>
        <v>Realized</v>
      </c>
      <c r="E12" s="56" t="str">
        <f>'S | 01 '!E13</f>
        <v>Sushil</v>
      </c>
      <c r="F12" s="56" t="str">
        <f>'S | 01 '!F13</f>
        <v>Mozn</v>
      </c>
      <c r="G12" s="56" t="str">
        <f>'S | 01 '!H13</f>
        <v>Convertible Note</v>
      </c>
      <c r="H12" s="56"/>
      <c r="I12" s="643" t="s">
        <v>465</v>
      </c>
      <c r="J12" s="56" t="s">
        <v>177</v>
      </c>
      <c r="K12" s="642" t="str">
        <f>VLOOKUP(C12,'6. %'!$C$6:$J$35,6,0)</f>
        <v xml:space="preserve">DIFC </v>
      </c>
      <c r="L12" s="645" t="str">
        <f>VLOOKUP(C12,'6. %'!$C$6:$J$35,4,0)</f>
        <v>n/a</v>
      </c>
      <c r="M12" s="56"/>
      <c r="N12" s="448">
        <v>4</v>
      </c>
      <c r="O12" s="164"/>
    </row>
    <row r="13" spans="2:15" x14ac:dyDescent="0.35">
      <c r="B13" s="163"/>
      <c r="C13" s="58" t="str">
        <f>'S | 01 '!C14</f>
        <v>Beyond Limits</v>
      </c>
      <c r="D13" s="56" t="str">
        <f>'S | 01 '!D14</f>
        <v>Unrealized</v>
      </c>
      <c r="E13" s="56" t="str">
        <f>'S | 01 '!E14</f>
        <v>Divyesh</v>
      </c>
      <c r="F13" s="56" t="str">
        <f>'S | 01 '!F14</f>
        <v>Mozn</v>
      </c>
      <c r="G13" s="56" t="str">
        <f>'S | 01 '!H14</f>
        <v>C Prefs</v>
      </c>
      <c r="H13" s="56"/>
      <c r="I13" s="643" t="s">
        <v>465</v>
      </c>
      <c r="J13" s="643" t="s">
        <v>465</v>
      </c>
      <c r="K13" s="642" t="str">
        <f>VLOOKUP(C13,'6. %'!$C$6:$J$35,6,0)</f>
        <v>Delaware Corporation</v>
      </c>
      <c r="L13" s="645">
        <f>VLOOKUP(C13,'6. %'!$C$6:$J$35,4,0)</f>
        <v>9.7965107245756355E-2</v>
      </c>
      <c r="M13" s="56"/>
      <c r="N13" s="448">
        <v>5</v>
      </c>
      <c r="O13" s="164"/>
    </row>
    <row r="14" spans="2:15" x14ac:dyDescent="0.35">
      <c r="B14" s="163"/>
      <c r="C14" s="58" t="str">
        <f>'S | 01 '!C15</f>
        <v>ONT plc</v>
      </c>
      <c r="D14" s="56" t="str">
        <f>'S | 01 '!D15</f>
        <v>Unrealized</v>
      </c>
      <c r="E14" s="56" t="str">
        <f>'S | 01 '!E15</f>
        <v>Divyesh</v>
      </c>
      <c r="F14" s="56" t="str">
        <f>'S | 01 '!F15</f>
        <v>Mozn</v>
      </c>
      <c r="G14" s="56" t="str">
        <f>'S | 01 '!H15</f>
        <v>Ordinary Shares</v>
      </c>
      <c r="H14" s="56" t="s">
        <v>365</v>
      </c>
      <c r="I14" s="643" t="s">
        <v>465</v>
      </c>
      <c r="J14" s="643" t="s">
        <v>465</v>
      </c>
      <c r="K14" s="642" t="str">
        <f>VLOOKUP(C14,'6. %'!$C$6:$J$35,6,0)</f>
        <v>UK</v>
      </c>
      <c r="L14" s="645">
        <f>VLOOKUP(C14,'6. %'!$C$6:$J$35,4,0)</f>
        <v>5.3583930997196792E-2</v>
      </c>
      <c r="M14" s="56"/>
      <c r="N14" s="448">
        <v>6</v>
      </c>
      <c r="O14" s="164"/>
    </row>
    <row r="15" spans="2:15" x14ac:dyDescent="0.35">
      <c r="B15" s="163"/>
      <c r="C15" s="58" t="str">
        <f>'S | 01 '!C16</f>
        <v>Heygears</v>
      </c>
      <c r="D15" s="56" t="str">
        <f>'S | 01 '!D16</f>
        <v>Unrealized</v>
      </c>
      <c r="E15" s="56" t="str">
        <f>'S | 01 '!E16</f>
        <v>Elaine</v>
      </c>
      <c r="F15" s="56" t="str">
        <f>'S | 01 '!F16</f>
        <v>Mozn</v>
      </c>
      <c r="G15" s="56" t="str">
        <f>'S | 01 '!H16</f>
        <v>Registered Capital</v>
      </c>
      <c r="H15" s="56"/>
      <c r="I15" s="643" t="s">
        <v>465</v>
      </c>
      <c r="J15" s="643" t="s">
        <v>465</v>
      </c>
      <c r="K15" s="642" t="str">
        <f>VLOOKUP(C15,'6. %'!$C$6:$J$35,6,0)</f>
        <v>PRC</v>
      </c>
      <c r="L15" s="645">
        <f>VLOOKUP(C15,'6. %'!$C$6:$J$35,4,0)</f>
        <v>0.14380000000000001</v>
      </c>
      <c r="M15" s="56"/>
      <c r="N15" s="448">
        <v>7</v>
      </c>
      <c r="O15" s="164"/>
    </row>
    <row r="16" spans="2:15" ht="17" x14ac:dyDescent="0.35">
      <c r="B16" s="163"/>
      <c r="C16" s="58" t="str">
        <f>'S | 01 '!C17</f>
        <v>Jysan Technologies</v>
      </c>
      <c r="D16" s="56" t="str">
        <f>'S | 01 '!D17</f>
        <v>Unrealized</v>
      </c>
      <c r="E16" s="56" t="str">
        <f>'S | 01 '!E17</f>
        <v>Sushil</v>
      </c>
      <c r="F16" s="56" t="s">
        <v>578</v>
      </c>
      <c r="G16" s="56" t="str">
        <f>'S | 01 '!H17</f>
        <v>A (Ordinary Shares)</v>
      </c>
      <c r="H16" s="56"/>
      <c r="I16" s="643" t="s">
        <v>465</v>
      </c>
      <c r="J16" s="56" t="s">
        <v>177</v>
      </c>
      <c r="K16" s="642" t="str">
        <f>VLOOKUP(C16,'6. %'!$C$6:$J$35,6,0)</f>
        <v>UK</v>
      </c>
      <c r="L16" s="645">
        <f>VLOOKUP(C16,'6. %'!$C$6:$J$35,4,0)</f>
        <v>0.03</v>
      </c>
      <c r="M16" s="56"/>
      <c r="N16" s="448">
        <v>8</v>
      </c>
      <c r="O16" s="164"/>
    </row>
    <row r="17" spans="2:15" x14ac:dyDescent="0.35">
      <c r="B17" s="163"/>
      <c r="C17" s="58" t="str">
        <f>'S | 01 '!C18</f>
        <v>Cerebras Systems Inc</v>
      </c>
      <c r="D17" s="56" t="str">
        <f>'S | 01 '!D18</f>
        <v>Unrealized</v>
      </c>
      <c r="E17" s="56" t="str">
        <f>'S | 01 '!E18</f>
        <v>Ignasi</v>
      </c>
      <c r="F17" s="56" t="str">
        <f>'S | 01 '!F18</f>
        <v>Mozn</v>
      </c>
      <c r="G17" s="56" t="str">
        <f>'S | 01 '!H18</f>
        <v>F Prefs</v>
      </c>
      <c r="H17" s="56"/>
      <c r="I17" s="643" t="s">
        <v>465</v>
      </c>
      <c r="J17" s="643" t="s">
        <v>465</v>
      </c>
      <c r="K17" s="642" t="str">
        <f>VLOOKUP(C17,'6. %'!$C$6:$J$35,6,0)</f>
        <v>Delaware Corporation</v>
      </c>
      <c r="L17" s="645">
        <f>VLOOKUP(C17,'6. %'!$C$6:$J$35,4,0)</f>
        <v>9.4767871363939261E-3</v>
      </c>
      <c r="M17" s="56"/>
      <c r="N17" s="448">
        <v>9</v>
      </c>
      <c r="O17" s="164"/>
    </row>
    <row r="18" spans="2:15" x14ac:dyDescent="0.35">
      <c r="B18" s="163"/>
      <c r="C18" s="58" t="str">
        <f>'S | 01 '!C19</f>
        <v>Endless Studios LLC</v>
      </c>
      <c r="D18" s="56" t="str">
        <f>'S | 01 '!D19</f>
        <v>Unrealized</v>
      </c>
      <c r="E18" s="56" t="str">
        <f>'S | 01 '!E19</f>
        <v>Sushil</v>
      </c>
      <c r="F18" s="56" t="str">
        <f>'S | 01 '!F19</f>
        <v>Mozn</v>
      </c>
      <c r="G18" s="56" t="str">
        <f>'S | 01 '!H19</f>
        <v>A Pref Units</v>
      </c>
      <c r="H18" s="56"/>
      <c r="I18" s="643" t="s">
        <v>465</v>
      </c>
      <c r="J18" s="643" t="s">
        <v>465</v>
      </c>
      <c r="K18" s="642" t="str">
        <f>VLOOKUP(C18,'6. %'!$C$6:$J$35,6,0)</f>
        <v>Delaware Corporation</v>
      </c>
      <c r="L18" s="645">
        <f>VLOOKUP(C18,'6. %'!$C$6:$J$35,4,0)</f>
        <v>7.7419354838709681E-2</v>
      </c>
      <c r="M18" s="56"/>
      <c r="N18" s="448">
        <v>10</v>
      </c>
      <c r="O18" s="164"/>
    </row>
    <row r="19" spans="2:15" x14ac:dyDescent="0.35">
      <c r="B19" s="163"/>
      <c r="C19" s="58" t="str">
        <f>'S | 01 '!C20</f>
        <v>Instadeep Limited</v>
      </c>
      <c r="D19" s="56" t="str">
        <f>'S | 01 '!D20</f>
        <v>Realized</v>
      </c>
      <c r="E19" s="56" t="str">
        <f>'S | 01 '!E20</f>
        <v>Ignasi</v>
      </c>
      <c r="F19" s="56" t="str">
        <f>'S | 01 '!F20</f>
        <v>Mozn</v>
      </c>
      <c r="G19" s="56" t="str">
        <f>'S | 01 '!H20</f>
        <v xml:space="preserve">B Prefs </v>
      </c>
      <c r="H19" s="56"/>
      <c r="I19" s="643" t="s">
        <v>465</v>
      </c>
      <c r="J19" s="643" t="s">
        <v>465</v>
      </c>
      <c r="K19" s="642" t="str">
        <f>VLOOKUP(C19,'6. %'!$C$6:$J$35,6,0)</f>
        <v>UK</v>
      </c>
      <c r="L19" s="645">
        <f>VLOOKUP(C19,'6. %'!$C$6:$J$35,4,0)</f>
        <v>1.1489405791845828E-2</v>
      </c>
      <c r="M19" s="56"/>
      <c r="N19" s="448">
        <v>11</v>
      </c>
      <c r="O19" s="164"/>
    </row>
    <row r="20" spans="2:15" ht="17" x14ac:dyDescent="0.35">
      <c r="B20" s="163"/>
      <c r="C20" s="58" t="str">
        <f>'S | 01 '!C21</f>
        <v>X-fusion</v>
      </c>
      <c r="D20" s="56" t="str">
        <f>'S | 01 '!D21</f>
        <v>Unrealized</v>
      </c>
      <c r="E20" s="56" t="str">
        <f>'S | 01 '!E21</f>
        <v>Elaine</v>
      </c>
      <c r="F20" s="56" t="s">
        <v>579</v>
      </c>
      <c r="G20" s="56" t="str">
        <f>'S | 01 '!H21</f>
        <v>Equity-TBC</v>
      </c>
      <c r="H20" s="56"/>
      <c r="I20" s="643" t="s">
        <v>465</v>
      </c>
      <c r="J20" s="643" t="s">
        <v>465</v>
      </c>
      <c r="K20" s="642" t="str">
        <f>VLOOKUP(C20,'6. %'!$C$6:$J$35,6,0)</f>
        <v>PRC</v>
      </c>
      <c r="L20" s="645">
        <f>VLOOKUP(C20,'6. %'!$C$6:$J$35,4,0)</f>
        <v>5.1000000000000004E-2</v>
      </c>
      <c r="M20" s="56"/>
      <c r="N20" s="448">
        <v>12</v>
      </c>
      <c r="O20" s="164"/>
    </row>
    <row r="21" spans="2:15" ht="17" x14ac:dyDescent="0.35">
      <c r="B21" s="163"/>
      <c r="C21" s="58" t="str">
        <f>'S | 01 '!C22</f>
        <v>DriveNets</v>
      </c>
      <c r="D21" s="56" t="str">
        <f>'S | 01 '!D22</f>
        <v>Unrealized</v>
      </c>
      <c r="E21" s="56" t="str">
        <f>'S | 01 '!E22</f>
        <v>Anton</v>
      </c>
      <c r="F21" s="56" t="str">
        <f>'S | 01 '!F22</f>
        <v>G42</v>
      </c>
      <c r="G21" s="56" t="str">
        <f>'S | 01 '!H22</f>
        <v>Equity-TBC</v>
      </c>
      <c r="H21" s="56"/>
      <c r="I21" s="643" t="s">
        <v>465</v>
      </c>
      <c r="J21" s="643" t="s">
        <v>465</v>
      </c>
      <c r="K21" s="642" t="str">
        <f>VLOOKUP(C21,'6. %'!$C$6:$J$35,6,0)</f>
        <v>Israeli Pvt Company</v>
      </c>
      <c r="L21" s="645">
        <f>VLOOKUP(C21,'6. %'!$C$6:$J$35,4,0)</f>
        <v>0.11141913554582343</v>
      </c>
      <c r="M21" s="56" t="s">
        <v>572</v>
      </c>
      <c r="N21" s="448">
        <v>13</v>
      </c>
      <c r="O21" s="164"/>
    </row>
    <row r="22" spans="2:15" ht="17" x14ac:dyDescent="0.35">
      <c r="B22" s="163"/>
      <c r="C22" s="58" t="str">
        <f>'S | 01 '!C23</f>
        <v>vTv Therapeutics Inc.</v>
      </c>
      <c r="D22" s="56" t="str">
        <f>'S | 01 '!D23</f>
        <v>Unrealized</v>
      </c>
      <c r="E22" s="56" t="str">
        <f>'S | 01 '!E23</f>
        <v>Divyesh</v>
      </c>
      <c r="F22" s="56" t="str">
        <f>'S | 01 '!F23</f>
        <v>G42</v>
      </c>
      <c r="G22" s="56" t="str">
        <f>'S | 01 '!H23</f>
        <v>Ordinary Shares</v>
      </c>
      <c r="H22" s="56" t="s">
        <v>365</v>
      </c>
      <c r="I22" s="643" t="s">
        <v>465</v>
      </c>
      <c r="J22" s="643" t="s">
        <v>465</v>
      </c>
      <c r="K22" s="642" t="str">
        <f>VLOOKUP(C22,'6. %'!$C$6:$J$35,6,0)</f>
        <v>Delaware Corporation</v>
      </c>
      <c r="L22" s="645">
        <f>VLOOKUP(C22,'6. %'!$C$6:$J$35,4,0)</f>
        <v>9.9316564009108654E-2</v>
      </c>
      <c r="M22" s="56" t="s">
        <v>573</v>
      </c>
      <c r="N22" s="448">
        <v>14</v>
      </c>
      <c r="O22" s="164"/>
    </row>
    <row r="23" spans="2:15" ht="17" x14ac:dyDescent="0.35">
      <c r="B23" s="163"/>
      <c r="C23" s="58" t="str">
        <f>'S | 01 '!C24</f>
        <v>Honor Device Co Ltd</v>
      </c>
      <c r="D23" s="56" t="str">
        <f>'S | 01 '!D24</f>
        <v>Unrealized</v>
      </c>
      <c r="E23" s="56" t="str">
        <f>'S | 01 '!E24</f>
        <v>Elaine</v>
      </c>
      <c r="F23" s="56" t="s">
        <v>580</v>
      </c>
      <c r="G23" s="56" t="str">
        <f>'S | 01 '!H24</f>
        <v>Equity-TBC</v>
      </c>
      <c r="H23" s="56"/>
      <c r="I23" s="643" t="s">
        <v>465</v>
      </c>
      <c r="J23" s="643" t="s">
        <v>465</v>
      </c>
      <c r="K23" s="642" t="str">
        <f>VLOOKUP(C23,'6. %'!$C$6:$J$35,6,0)</f>
        <v>PRC</v>
      </c>
      <c r="L23" s="645">
        <f>VLOOKUP(C23,'6. %'!$C$6:$J$35,4,0)</f>
        <v>1.8823528000000003E-2</v>
      </c>
      <c r="M23" s="56"/>
      <c r="N23" s="448">
        <v>15</v>
      </c>
      <c r="O23" s="164"/>
    </row>
    <row r="24" spans="2:15" x14ac:dyDescent="0.35">
      <c r="B24" s="163"/>
      <c r="C24" s="58" t="str">
        <f>'S | 01 '!C25</f>
        <v>Applied AI Corporation Limited</v>
      </c>
      <c r="D24" s="56" t="str">
        <f>'S | 01 '!D25</f>
        <v>Unrealized</v>
      </c>
      <c r="E24" s="56" t="str">
        <f>'S | 01 '!E25</f>
        <v>Divyesh</v>
      </c>
      <c r="F24" s="56" t="str">
        <f>'S | 01 '!F25</f>
        <v>Mozn</v>
      </c>
      <c r="G24" s="56" t="str">
        <f>'S | 01 '!H25</f>
        <v>Convertible Note</v>
      </c>
      <c r="H24" s="56"/>
      <c r="I24" s="643" t="s">
        <v>465</v>
      </c>
      <c r="J24" s="643" t="s">
        <v>465</v>
      </c>
      <c r="K24" s="642" t="str">
        <f>VLOOKUP(C24,'6. %'!$C$6:$J$35,6,0)</f>
        <v>ADGM</v>
      </c>
      <c r="L24" s="645" t="str">
        <f>VLOOKUP(C24,'6. %'!$C$6:$J$35,4,0)</f>
        <v>n/a</v>
      </c>
      <c r="M24" s="56"/>
      <c r="N24" s="448">
        <v>16</v>
      </c>
      <c r="O24" s="164"/>
    </row>
    <row r="25" spans="2:15" ht="17" x14ac:dyDescent="0.35">
      <c r="B25" s="163"/>
      <c r="C25" s="58" t="str">
        <f>'S | 01 '!C26</f>
        <v xml:space="preserve">eSpace </v>
      </c>
      <c r="D25" s="56" t="str">
        <f>'S | 01 '!D26</f>
        <v>Unrealized</v>
      </c>
      <c r="E25" s="56" t="str">
        <f>'S | 01 '!E26</f>
        <v>Anton</v>
      </c>
      <c r="F25" s="56" t="s">
        <v>581</v>
      </c>
      <c r="G25" s="56" t="str">
        <f>'S | 01 '!H26</f>
        <v>SAFE note</v>
      </c>
      <c r="H25" s="56"/>
      <c r="I25" s="643" t="s">
        <v>465</v>
      </c>
      <c r="J25" s="643" t="s">
        <v>465</v>
      </c>
      <c r="K25" s="642" t="str">
        <f>VLOOKUP(C25,'6. %'!$C$6:$J$35,6,0)</f>
        <v>Delaware Corporation</v>
      </c>
      <c r="L25" s="645" t="str">
        <f>VLOOKUP(C25,'6. %'!$C$6:$J$35,4,0)</f>
        <v>n/a</v>
      </c>
      <c r="M25" s="56"/>
      <c r="N25" s="448">
        <v>17</v>
      </c>
      <c r="O25" s="164"/>
    </row>
    <row r="26" spans="2:15" x14ac:dyDescent="0.35">
      <c r="B26" s="163"/>
      <c r="C26" s="58" t="str">
        <f>'S | 01 '!C27</f>
        <v>Tools for Humanity Corporation</v>
      </c>
      <c r="D26" s="56" t="str">
        <f>'S | 01 '!D27</f>
        <v>Unrealized</v>
      </c>
      <c r="E26" s="56" t="str">
        <f>'S | 01 '!E27</f>
        <v>Divyesh</v>
      </c>
      <c r="F26" s="56" t="str">
        <f>'S | 01 '!F27</f>
        <v>Mozn</v>
      </c>
      <c r="G26" s="56" t="str">
        <f>'S | 01 '!H27</f>
        <v>C Prefs</v>
      </c>
      <c r="H26" s="56"/>
      <c r="I26" s="643" t="s">
        <v>465</v>
      </c>
      <c r="J26" s="643" t="s">
        <v>465</v>
      </c>
      <c r="K26" s="642" t="str">
        <f>VLOOKUP(C26,'6. %'!$C$6:$J$35,6,0)</f>
        <v>Delaware Corporation</v>
      </c>
      <c r="L26" s="645">
        <f>VLOOKUP(C26,'6. %'!$C$6:$J$35,4,0)</f>
        <v>6.2621982517370271E-3</v>
      </c>
      <c r="M26" s="56"/>
      <c r="N26" s="448">
        <v>24</v>
      </c>
      <c r="O26" s="164"/>
    </row>
    <row r="27" spans="2:15" x14ac:dyDescent="0.35">
      <c r="B27" s="163"/>
      <c r="C27" s="58" t="str">
        <f>'S | 01 '!C28</f>
        <v>WLD Tokens</v>
      </c>
      <c r="D27" s="56" t="str">
        <f>'S | 01 '!D28</f>
        <v>Unrealized</v>
      </c>
      <c r="E27" s="56" t="str">
        <f>'S | 01 '!E28</f>
        <v>Divyesh</v>
      </c>
      <c r="F27" s="56" t="str">
        <f>'S | 01 '!F28</f>
        <v>Mozn</v>
      </c>
      <c r="G27" s="56" t="str">
        <f>'S | 01 '!H28</f>
        <v>Tokens</v>
      </c>
      <c r="H27" s="56"/>
      <c r="I27" s="643" t="s">
        <v>465</v>
      </c>
      <c r="J27" s="643" t="s">
        <v>628</v>
      </c>
      <c r="K27" s="642" t="str">
        <f>VLOOKUP(C27,'6. %'!$C$6:$J$35,6,0)</f>
        <v>DAO | Cayman Islands</v>
      </c>
      <c r="L27" s="645">
        <f>VLOOKUP(C27,'6. %'!$C$6:$J$35,4,0)</f>
        <v>6.2500000000000003E-3</v>
      </c>
      <c r="M27" s="56"/>
      <c r="N27" s="448">
        <v>25</v>
      </c>
      <c r="O27" s="164"/>
    </row>
    <row r="28" spans="2:15" s="167" customFormat="1" x14ac:dyDescent="0.35">
      <c r="B28" s="165"/>
      <c r="C28" s="217"/>
      <c r="D28" s="217"/>
      <c r="E28" s="217"/>
      <c r="F28" s="217"/>
      <c r="G28" s="217"/>
      <c r="H28" s="217"/>
      <c r="I28" s="644"/>
      <c r="J28" s="644"/>
      <c r="K28" s="644"/>
      <c r="L28" s="646"/>
      <c r="M28" s="217"/>
      <c r="N28" s="449"/>
      <c r="O28" s="166"/>
    </row>
    <row r="29" spans="2:15" s="162" customFormat="1" x14ac:dyDescent="0.35">
      <c r="B29" s="160"/>
      <c r="C29" s="59"/>
      <c r="D29" s="62"/>
      <c r="E29" s="62"/>
      <c r="F29" s="62"/>
      <c r="G29" s="62"/>
      <c r="H29" s="62"/>
      <c r="I29" s="62"/>
      <c r="J29" s="62"/>
      <c r="K29" s="62"/>
      <c r="L29" s="647"/>
      <c r="M29" s="62"/>
      <c r="N29" s="447"/>
      <c r="O29" s="161"/>
    </row>
    <row r="30" spans="2:15" x14ac:dyDescent="0.35">
      <c r="B30" s="163"/>
      <c r="C30" s="70" t="s">
        <v>38</v>
      </c>
      <c r="D30" s="56"/>
      <c r="E30" s="56"/>
      <c r="F30" s="56"/>
      <c r="G30" s="56"/>
      <c r="H30" s="56"/>
      <c r="I30" s="56"/>
      <c r="J30" s="56"/>
      <c r="K30" s="56"/>
      <c r="L30" s="645"/>
      <c r="M30" s="56"/>
      <c r="N30" s="448"/>
      <c r="O30" s="164"/>
    </row>
    <row r="31" spans="2:15" x14ac:dyDescent="0.35">
      <c r="B31" s="163"/>
      <c r="C31" s="58" t="s">
        <v>58</v>
      </c>
      <c r="D31" s="56" t="s">
        <v>183</v>
      </c>
      <c r="E31" s="56"/>
      <c r="F31" s="56" t="s">
        <v>9</v>
      </c>
      <c r="G31" s="56" t="s">
        <v>179</v>
      </c>
      <c r="H31" s="56"/>
      <c r="I31" s="56" t="s">
        <v>177</v>
      </c>
      <c r="J31" s="56" t="s">
        <v>177</v>
      </c>
      <c r="K31" s="56" t="s">
        <v>177</v>
      </c>
      <c r="L31" s="645"/>
      <c r="M31" s="56"/>
      <c r="N31" s="448">
        <v>16</v>
      </c>
      <c r="O31" s="164"/>
    </row>
    <row r="32" spans="2:15" x14ac:dyDescent="0.35">
      <c r="B32" s="163"/>
      <c r="C32" s="58" t="s">
        <v>398</v>
      </c>
      <c r="D32" s="56" t="s">
        <v>183</v>
      </c>
      <c r="E32" s="56" t="s">
        <v>102</v>
      </c>
      <c r="F32" s="56" t="s">
        <v>9</v>
      </c>
      <c r="G32" s="56" t="s">
        <v>181</v>
      </c>
      <c r="H32" s="56"/>
      <c r="I32" s="643" t="s">
        <v>465</v>
      </c>
      <c r="J32" s="643" t="s">
        <v>465</v>
      </c>
      <c r="K32" s="56" t="str">
        <f>K10</f>
        <v>Cayman Islands</v>
      </c>
      <c r="L32" s="645"/>
      <c r="M32" s="56"/>
      <c r="N32" s="448">
        <v>17</v>
      </c>
      <c r="O32" s="164"/>
    </row>
    <row r="33" spans="2:15" x14ac:dyDescent="0.35">
      <c r="B33" s="163"/>
      <c r="C33" s="58" t="s">
        <v>390</v>
      </c>
      <c r="D33" s="56" t="s">
        <v>121</v>
      </c>
      <c r="E33" s="56" t="s">
        <v>101</v>
      </c>
      <c r="F33" s="56" t="s">
        <v>9</v>
      </c>
      <c r="G33" s="56" t="s">
        <v>181</v>
      </c>
      <c r="H33" s="56"/>
      <c r="I33" s="643" t="s">
        <v>465</v>
      </c>
      <c r="J33" s="56" t="s">
        <v>177</v>
      </c>
      <c r="K33" s="56" t="str">
        <f>K12</f>
        <v xml:space="preserve">DIFC </v>
      </c>
      <c r="L33" s="645"/>
      <c r="M33" s="56"/>
      <c r="N33" s="448">
        <v>18</v>
      </c>
      <c r="O33" s="164"/>
    </row>
    <row r="34" spans="2:15" s="167" customFormat="1" x14ac:dyDescent="0.35">
      <c r="B34" s="165"/>
      <c r="C34" s="217"/>
      <c r="D34" s="217"/>
      <c r="E34" s="217"/>
      <c r="F34" s="217"/>
      <c r="G34" s="217"/>
      <c r="H34" s="217"/>
      <c r="I34" s="217"/>
      <c r="J34" s="217"/>
      <c r="K34" s="217"/>
      <c r="L34" s="646"/>
      <c r="M34" s="217"/>
      <c r="N34" s="449"/>
      <c r="O34" s="166"/>
    </row>
    <row r="35" spans="2:15" s="162" customFormat="1" x14ac:dyDescent="0.35">
      <c r="B35" s="160"/>
      <c r="C35" s="59"/>
      <c r="D35" s="62"/>
      <c r="E35" s="62"/>
      <c r="F35" s="62"/>
      <c r="G35" s="62"/>
      <c r="H35" s="62"/>
      <c r="I35" s="62"/>
      <c r="J35" s="62"/>
      <c r="K35" s="62"/>
      <c r="L35" s="647"/>
      <c r="M35" s="62"/>
      <c r="N35" s="447"/>
      <c r="O35" s="161"/>
    </row>
    <row r="36" spans="2:15" x14ac:dyDescent="0.35">
      <c r="B36" s="163"/>
      <c r="C36" s="70" t="s">
        <v>39</v>
      </c>
      <c r="D36" s="56"/>
      <c r="E36" s="56"/>
      <c r="F36" s="56"/>
      <c r="G36" s="56"/>
      <c r="H36" s="56"/>
      <c r="I36" s="56"/>
      <c r="J36" s="56"/>
      <c r="K36" s="56"/>
      <c r="L36" s="645"/>
      <c r="M36" s="56"/>
      <c r="N36" s="448"/>
      <c r="O36" s="164"/>
    </row>
    <row r="37" spans="2:15" x14ac:dyDescent="0.35">
      <c r="B37" s="163"/>
      <c r="C37" s="58" t="s">
        <v>171</v>
      </c>
      <c r="D37" s="56" t="s">
        <v>121</v>
      </c>
      <c r="E37" s="56" t="s">
        <v>101</v>
      </c>
      <c r="F37" s="56" t="s">
        <v>13</v>
      </c>
      <c r="G37" s="56" t="s">
        <v>69</v>
      </c>
      <c r="H37" s="56"/>
      <c r="I37" s="643" t="s">
        <v>465</v>
      </c>
      <c r="J37" s="643" t="s">
        <v>465</v>
      </c>
      <c r="K37" s="645" t="str">
        <f>VLOOKUP(C37,'6. %'!$C$6:$J$35,6,0)</f>
        <v xml:space="preserve">Luxembourg </v>
      </c>
      <c r="L37" s="649">
        <f>VLOOKUP(C37,'6. %'!$C$6:$J$35,4,0)</f>
        <v>0.22044081593927894</v>
      </c>
      <c r="M37" s="56"/>
      <c r="N37" s="448">
        <v>19</v>
      </c>
      <c r="O37" s="164"/>
    </row>
    <row r="38" spans="2:15" x14ac:dyDescent="0.35">
      <c r="B38" s="163"/>
      <c r="C38" s="58" t="s">
        <v>538</v>
      </c>
      <c r="D38" s="56" t="s">
        <v>121</v>
      </c>
      <c r="E38" s="56" t="s">
        <v>101</v>
      </c>
      <c r="F38" s="56" t="s">
        <v>13</v>
      </c>
      <c r="G38" s="56" t="s">
        <v>99</v>
      </c>
      <c r="H38" s="56"/>
      <c r="I38" s="643" t="s">
        <v>465</v>
      </c>
      <c r="J38" s="643" t="s">
        <v>465</v>
      </c>
      <c r="K38" s="645" t="str">
        <f>VLOOKUP(C38,'6. %'!$C$6:$J$35,6,0)</f>
        <v xml:space="preserve">Luxembourg </v>
      </c>
      <c r="L38" s="649">
        <f>VLOOKUP(C38,'6. %'!$C$6:$J$35,4,0)</f>
        <v>2.0161290322580645E-2</v>
      </c>
      <c r="M38" s="56"/>
      <c r="N38" s="448">
        <v>20</v>
      </c>
      <c r="O38" s="164"/>
    </row>
    <row r="39" spans="2:15" x14ac:dyDescent="0.35">
      <c r="B39" s="163"/>
      <c r="C39" s="58" t="s">
        <v>1</v>
      </c>
      <c r="D39" s="56" t="s">
        <v>121</v>
      </c>
      <c r="E39" s="56" t="s">
        <v>102</v>
      </c>
      <c r="F39" s="56" t="s">
        <v>13</v>
      </c>
      <c r="G39" s="56" t="s">
        <v>69</v>
      </c>
      <c r="H39" s="56"/>
      <c r="I39" s="56" t="s">
        <v>177</v>
      </c>
      <c r="J39" s="643" t="s">
        <v>465</v>
      </c>
      <c r="K39" s="645" t="str">
        <f>VLOOKUP(C39,'6. %'!$C$6:$J$35,6,0)</f>
        <v>Cayman Islands</v>
      </c>
      <c r="L39" s="645">
        <f>VLOOKUP(C39,'6. %'!$C$6:$J$35,4,0)</f>
        <v>0.99499999897183333</v>
      </c>
      <c r="M39" s="56"/>
      <c r="N39" s="448">
        <v>21</v>
      </c>
      <c r="O39" s="164"/>
    </row>
    <row r="40" spans="2:15" x14ac:dyDescent="0.35">
      <c r="B40" s="163"/>
      <c r="C40" s="58" t="s">
        <v>15</v>
      </c>
      <c r="D40" s="56" t="s">
        <v>121</v>
      </c>
      <c r="E40" s="56" t="s">
        <v>102</v>
      </c>
      <c r="F40" s="56" t="s">
        <v>13</v>
      </c>
      <c r="G40" s="56" t="s">
        <v>69</v>
      </c>
      <c r="H40" s="56"/>
      <c r="I40" s="643" t="s">
        <v>465</v>
      </c>
      <c r="J40" s="643" t="s">
        <v>465</v>
      </c>
      <c r="K40" s="645" t="str">
        <f>VLOOKUP(C40,'6. %'!$C$6:$J$35,6,0)</f>
        <v>Cayman Islands</v>
      </c>
      <c r="L40" s="645">
        <f>VLOOKUP(C40,'6. %'!$C$6:$J$35,4,0)</f>
        <v>0.10066090487405174</v>
      </c>
      <c r="M40" s="56"/>
      <c r="N40" s="448">
        <v>22</v>
      </c>
      <c r="O40" s="164"/>
    </row>
    <row r="41" spans="2:15" ht="17" x14ac:dyDescent="0.35">
      <c r="B41" s="163"/>
      <c r="C41" s="58" t="s">
        <v>229</v>
      </c>
      <c r="D41" s="56" t="s">
        <v>121</v>
      </c>
      <c r="E41" s="56" t="s">
        <v>103</v>
      </c>
      <c r="F41" s="56" t="s">
        <v>13</v>
      </c>
      <c r="G41" s="56" t="s">
        <v>69</v>
      </c>
      <c r="H41" s="56"/>
      <c r="I41" s="643" t="s">
        <v>465</v>
      </c>
      <c r="J41" s="643" t="s">
        <v>465</v>
      </c>
      <c r="K41" s="645" t="str">
        <f>VLOOKUP(C41,'6. %'!$C$6:$J$35,6,0)</f>
        <v>Delaware LLC</v>
      </c>
      <c r="L41" s="645">
        <f>VLOOKUP(C41,'6. %'!$C$6:$J$35,4,0)</f>
        <v>0.33333333333333331</v>
      </c>
      <c r="M41" s="56" t="s">
        <v>541</v>
      </c>
      <c r="N41" s="448">
        <v>23</v>
      </c>
      <c r="O41" s="164"/>
    </row>
    <row r="42" spans="2:15" s="167" customFormat="1" x14ac:dyDescent="0.35">
      <c r="B42" s="165"/>
      <c r="C42" s="217"/>
      <c r="D42" s="217"/>
      <c r="E42" s="217"/>
      <c r="F42" s="217"/>
      <c r="G42" s="217"/>
      <c r="H42" s="217"/>
      <c r="I42" s="217"/>
      <c r="J42" s="217"/>
      <c r="K42" s="217"/>
      <c r="L42" s="646"/>
      <c r="M42" s="217"/>
      <c r="N42" s="449"/>
      <c r="O42" s="166"/>
    </row>
    <row r="43" spans="2:15" ht="15" thickBot="1" x14ac:dyDescent="0.4">
      <c r="B43" s="168"/>
      <c r="C43" s="169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172"/>
    </row>
    <row r="45" spans="2:15" s="162" customFormat="1" x14ac:dyDescent="0.35">
      <c r="B45" s="458" t="s">
        <v>206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</row>
    <row r="46" spans="2:15" s="162" customFormat="1" x14ac:dyDescent="0.35">
      <c r="B46" s="452">
        <v>1</v>
      </c>
      <c r="C46" s="454" t="s">
        <v>375</v>
      </c>
      <c r="D46" s="726" t="s">
        <v>383</v>
      </c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</row>
    <row r="47" spans="2:15" x14ac:dyDescent="0.35">
      <c r="B47" s="457">
        <v>2</v>
      </c>
      <c r="C47" s="456" t="s">
        <v>96</v>
      </c>
      <c r="D47" s="725" t="s">
        <v>603</v>
      </c>
      <c r="E47" s="725"/>
      <c r="F47" s="725"/>
      <c r="G47" s="725"/>
      <c r="H47" s="725"/>
      <c r="I47" s="725"/>
      <c r="J47" s="725"/>
      <c r="K47" s="725"/>
      <c r="L47" s="725"/>
      <c r="M47" s="725"/>
      <c r="N47" s="725"/>
      <c r="O47" s="725"/>
    </row>
    <row r="48" spans="2:15" s="81" customFormat="1" x14ac:dyDescent="0.35">
      <c r="B48" s="452">
        <v>3</v>
      </c>
      <c r="C48" s="453" t="s">
        <v>377</v>
      </c>
      <c r="D48" s="726" t="s">
        <v>382</v>
      </c>
      <c r="E48" s="726"/>
      <c r="F48" s="726"/>
      <c r="G48" s="726"/>
      <c r="H48" s="726"/>
      <c r="I48" s="726"/>
      <c r="J48" s="726"/>
      <c r="K48" s="726"/>
      <c r="L48" s="726"/>
      <c r="M48" s="726"/>
      <c r="N48" s="726"/>
      <c r="O48" s="726"/>
    </row>
    <row r="49" spans="2:15" ht="52.5" customHeight="1" x14ac:dyDescent="0.35">
      <c r="B49" s="457">
        <v>4</v>
      </c>
      <c r="C49" s="456" t="s">
        <v>376</v>
      </c>
      <c r="D49" s="725" t="s">
        <v>509</v>
      </c>
      <c r="E49" s="725"/>
      <c r="F49" s="725"/>
      <c r="G49" s="725"/>
      <c r="H49" s="725"/>
      <c r="I49" s="725"/>
      <c r="J49" s="725"/>
      <c r="K49" s="725"/>
      <c r="L49" s="725"/>
      <c r="M49" s="725"/>
      <c r="N49" s="725"/>
      <c r="O49" s="725"/>
    </row>
    <row r="50" spans="2:15" x14ac:dyDescent="0.35">
      <c r="B50" s="452">
        <v>5</v>
      </c>
      <c r="C50" s="453" t="s">
        <v>47</v>
      </c>
      <c r="D50" s="726" t="s">
        <v>386</v>
      </c>
      <c r="E50" s="726"/>
      <c r="F50" s="726"/>
      <c r="G50" s="726"/>
      <c r="H50" s="726"/>
      <c r="I50" s="726"/>
      <c r="J50" s="726"/>
      <c r="K50" s="726"/>
      <c r="L50" s="726"/>
      <c r="M50" s="726"/>
      <c r="N50" s="726"/>
      <c r="O50" s="726"/>
    </row>
    <row r="51" spans="2:15" x14ac:dyDescent="0.35">
      <c r="B51" s="457">
        <v>6</v>
      </c>
      <c r="C51" s="456" t="s">
        <v>131</v>
      </c>
      <c r="D51" s="725" t="s">
        <v>559</v>
      </c>
      <c r="E51" s="725"/>
      <c r="F51" s="725"/>
      <c r="G51" s="725"/>
      <c r="H51" s="725"/>
      <c r="I51" s="725"/>
      <c r="J51" s="725"/>
      <c r="K51" s="725"/>
      <c r="L51" s="725"/>
      <c r="M51" s="725"/>
      <c r="N51" s="725"/>
      <c r="O51" s="725"/>
    </row>
    <row r="52" spans="2:15" ht="15" customHeight="1" x14ac:dyDescent="0.35">
      <c r="B52" s="452">
        <v>7</v>
      </c>
      <c r="C52" s="453" t="s">
        <v>11</v>
      </c>
      <c r="D52" s="726" t="s">
        <v>384</v>
      </c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6"/>
    </row>
    <row r="53" spans="2:15" x14ac:dyDescent="0.35">
      <c r="B53" s="457">
        <v>8</v>
      </c>
      <c r="C53" s="456" t="s">
        <v>24</v>
      </c>
      <c r="D53" s="725" t="s">
        <v>381</v>
      </c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</row>
    <row r="54" spans="2:15" ht="15" customHeight="1" x14ac:dyDescent="0.35">
      <c r="B54" s="452">
        <v>9</v>
      </c>
      <c r="C54" s="453" t="s">
        <v>50</v>
      </c>
      <c r="D54" s="726" t="s">
        <v>387</v>
      </c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</row>
    <row r="55" spans="2:15" x14ac:dyDescent="0.35">
      <c r="B55" s="457">
        <v>10</v>
      </c>
      <c r="C55" s="456" t="s">
        <v>51</v>
      </c>
      <c r="D55" s="725"/>
      <c r="E55" s="725"/>
      <c r="F55" s="725"/>
      <c r="G55" s="725"/>
      <c r="H55" s="725"/>
      <c r="I55" s="725"/>
      <c r="J55" s="725"/>
      <c r="K55" s="725"/>
      <c r="L55" s="725"/>
      <c r="M55" s="725"/>
      <c r="N55" s="725"/>
      <c r="O55" s="725"/>
    </row>
    <row r="56" spans="2:15" ht="15" customHeight="1" x14ac:dyDescent="0.35">
      <c r="B56" s="452">
        <v>11</v>
      </c>
      <c r="C56" s="453" t="s">
        <v>52</v>
      </c>
      <c r="D56" s="726" t="s">
        <v>629</v>
      </c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</row>
    <row r="57" spans="2:15" x14ac:dyDescent="0.35">
      <c r="B57" s="457">
        <v>12</v>
      </c>
      <c r="C57" s="456" t="s">
        <v>113</v>
      </c>
      <c r="D57" s="725" t="s">
        <v>380</v>
      </c>
      <c r="E57" s="725"/>
      <c r="F57" s="725"/>
      <c r="G57" s="725"/>
      <c r="H57" s="725"/>
      <c r="I57" s="725"/>
      <c r="J57" s="725"/>
      <c r="K57" s="725"/>
      <c r="L57" s="725"/>
      <c r="M57" s="725"/>
      <c r="N57" s="725"/>
      <c r="O57" s="725"/>
    </row>
    <row r="58" spans="2:15" ht="15" customHeight="1" x14ac:dyDescent="0.35">
      <c r="B58" s="452">
        <v>13</v>
      </c>
      <c r="C58" s="453" t="s">
        <v>373</v>
      </c>
      <c r="D58" s="726" t="s">
        <v>385</v>
      </c>
      <c r="E58" s="726"/>
      <c r="F58" s="726"/>
      <c r="G58" s="726"/>
      <c r="H58" s="726"/>
      <c r="I58" s="726"/>
      <c r="J58" s="726"/>
      <c r="K58" s="726"/>
      <c r="L58" s="726"/>
      <c r="M58" s="726"/>
      <c r="N58" s="726"/>
      <c r="O58" s="726"/>
    </row>
    <row r="59" spans="2:15" x14ac:dyDescent="0.35">
      <c r="B59" s="457">
        <v>14</v>
      </c>
      <c r="C59" s="455" t="s">
        <v>367</v>
      </c>
      <c r="D59" s="725" t="s">
        <v>604</v>
      </c>
      <c r="E59" s="725"/>
      <c r="F59" s="725"/>
      <c r="G59" s="725"/>
      <c r="H59" s="725"/>
      <c r="I59" s="725"/>
      <c r="J59" s="725"/>
      <c r="K59" s="725"/>
      <c r="L59" s="725"/>
      <c r="M59" s="725"/>
      <c r="N59" s="725"/>
      <c r="O59" s="725"/>
    </row>
    <row r="60" spans="2:15" x14ac:dyDescent="0.35">
      <c r="B60" s="452">
        <v>15</v>
      </c>
      <c r="C60" s="453" t="s">
        <v>374</v>
      </c>
      <c r="D60" s="726" t="s">
        <v>477</v>
      </c>
      <c r="E60" s="726"/>
      <c r="F60" s="726"/>
      <c r="G60" s="726"/>
      <c r="H60" s="726"/>
      <c r="I60" s="726"/>
      <c r="J60" s="726"/>
      <c r="K60" s="726"/>
      <c r="L60" s="726"/>
      <c r="M60" s="726"/>
      <c r="N60" s="726"/>
      <c r="O60" s="726"/>
    </row>
    <row r="61" spans="2:15" x14ac:dyDescent="0.35">
      <c r="B61" s="457">
        <v>16</v>
      </c>
      <c r="C61" s="456" t="s">
        <v>379</v>
      </c>
      <c r="D61" s="725" t="s">
        <v>392</v>
      </c>
      <c r="E61" s="725"/>
      <c r="F61" s="725"/>
      <c r="G61" s="725"/>
      <c r="H61" s="725"/>
      <c r="I61" s="725"/>
      <c r="J61" s="725"/>
      <c r="K61" s="725"/>
      <c r="L61" s="725"/>
      <c r="M61" s="725"/>
      <c r="N61" s="725"/>
      <c r="O61" s="725"/>
    </row>
    <row r="62" spans="2:15" x14ac:dyDescent="0.35">
      <c r="B62" s="452">
        <v>17</v>
      </c>
      <c r="C62" s="453" t="s">
        <v>389</v>
      </c>
      <c r="D62" s="726" t="s">
        <v>393</v>
      </c>
      <c r="E62" s="726"/>
      <c r="F62" s="726"/>
      <c r="G62" s="726"/>
      <c r="H62" s="726"/>
      <c r="I62" s="726"/>
      <c r="J62" s="726"/>
      <c r="K62" s="726"/>
      <c r="L62" s="726"/>
      <c r="M62" s="726"/>
      <c r="N62" s="726"/>
      <c r="O62" s="726"/>
    </row>
    <row r="63" spans="2:15" x14ac:dyDescent="0.35">
      <c r="B63" s="457">
        <v>18</v>
      </c>
      <c r="C63" s="456" t="s">
        <v>390</v>
      </c>
      <c r="D63" s="725" t="s">
        <v>393</v>
      </c>
      <c r="E63" s="725"/>
      <c r="F63" s="725"/>
      <c r="G63" s="725"/>
      <c r="H63" s="725"/>
      <c r="I63" s="725"/>
      <c r="J63" s="725"/>
      <c r="K63" s="725"/>
      <c r="L63" s="725"/>
      <c r="M63" s="725"/>
      <c r="N63" s="725"/>
      <c r="O63" s="725"/>
    </row>
    <row r="64" spans="2:15" x14ac:dyDescent="0.35">
      <c r="B64" s="452">
        <v>19</v>
      </c>
      <c r="C64" s="453" t="s">
        <v>171</v>
      </c>
      <c r="D64" s="726" t="s">
        <v>607</v>
      </c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6"/>
    </row>
    <row r="65" spans="2:19" x14ac:dyDescent="0.35">
      <c r="B65" s="457">
        <v>20</v>
      </c>
      <c r="C65" s="456" t="s">
        <v>153</v>
      </c>
      <c r="D65" s="725" t="s">
        <v>391</v>
      </c>
      <c r="E65" s="725"/>
      <c r="F65" s="725"/>
      <c r="G65" s="725"/>
      <c r="H65" s="725"/>
      <c r="I65" s="725"/>
      <c r="J65" s="725"/>
      <c r="K65" s="725"/>
      <c r="L65" s="725"/>
      <c r="M65" s="725"/>
      <c r="N65" s="725"/>
      <c r="O65" s="725"/>
    </row>
    <row r="66" spans="2:19" x14ac:dyDescent="0.35">
      <c r="B66" s="452">
        <v>21</v>
      </c>
      <c r="C66" s="453" t="s">
        <v>368</v>
      </c>
      <c r="D66" s="726" t="s">
        <v>369</v>
      </c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</row>
    <row r="67" spans="2:19" x14ac:dyDescent="0.35">
      <c r="B67" s="457">
        <v>22</v>
      </c>
      <c r="C67" s="456" t="s">
        <v>370</v>
      </c>
      <c r="D67" s="725" t="s">
        <v>371</v>
      </c>
      <c r="E67" s="725"/>
      <c r="F67" s="725"/>
      <c r="G67" s="725"/>
      <c r="H67" s="725"/>
      <c r="I67" s="725"/>
      <c r="J67" s="725"/>
      <c r="K67" s="725"/>
      <c r="L67" s="725"/>
      <c r="M67" s="725"/>
      <c r="N67" s="725"/>
      <c r="O67" s="725"/>
    </row>
    <row r="68" spans="2:19" ht="15" customHeight="1" x14ac:dyDescent="0.35">
      <c r="B68" s="452">
        <v>23</v>
      </c>
      <c r="C68" s="453" t="s">
        <v>372</v>
      </c>
      <c r="D68" s="726"/>
      <c r="E68" s="726"/>
      <c r="F68" s="726"/>
      <c r="G68" s="726"/>
      <c r="H68" s="726"/>
      <c r="I68" s="726"/>
      <c r="J68" s="726"/>
      <c r="K68" s="726"/>
      <c r="L68" s="726"/>
      <c r="M68" s="726"/>
      <c r="N68" s="726"/>
      <c r="O68" s="726"/>
    </row>
    <row r="69" spans="2:19" x14ac:dyDescent="0.35">
      <c r="B69" s="457">
        <v>24</v>
      </c>
      <c r="C69" s="456" t="s">
        <v>539</v>
      </c>
      <c r="D69" s="725" t="s">
        <v>602</v>
      </c>
      <c r="E69" s="725"/>
      <c r="F69" s="725"/>
      <c r="G69" s="725"/>
      <c r="H69" s="725"/>
      <c r="I69" s="725"/>
      <c r="J69" s="725"/>
      <c r="K69" s="725"/>
      <c r="L69" s="725"/>
      <c r="M69" s="725"/>
      <c r="N69" s="725"/>
      <c r="O69" s="725"/>
    </row>
    <row r="70" spans="2:19" x14ac:dyDescent="0.35">
      <c r="B70" s="452">
        <v>25</v>
      </c>
      <c r="C70" s="453" t="s">
        <v>622</v>
      </c>
      <c r="D70" s="726" t="s">
        <v>630</v>
      </c>
      <c r="E70" s="726"/>
      <c r="F70" s="726"/>
      <c r="G70" s="726"/>
      <c r="H70" s="726"/>
      <c r="I70" s="726"/>
      <c r="J70" s="726"/>
      <c r="K70" s="726"/>
      <c r="L70" s="726"/>
      <c r="M70" s="726"/>
      <c r="N70" s="726"/>
      <c r="O70" s="726"/>
    </row>
    <row r="71" spans="2:19" x14ac:dyDescent="0.35">
      <c r="B71" s="457"/>
      <c r="C71" s="456"/>
      <c r="D71" s="707"/>
      <c r="E71" s="707"/>
      <c r="F71" s="707"/>
      <c r="G71" s="707"/>
      <c r="H71" s="707"/>
      <c r="I71" s="707"/>
      <c r="J71" s="707"/>
      <c r="K71" s="707"/>
      <c r="L71" s="707"/>
      <c r="M71" s="707"/>
      <c r="N71" s="707"/>
      <c r="O71" s="707"/>
    </row>
    <row r="72" spans="2:19" x14ac:dyDescent="0.35">
      <c r="B72" s="346" t="s">
        <v>388</v>
      </c>
    </row>
    <row r="73" spans="2:19" x14ac:dyDescent="0.35">
      <c r="B73" s="450"/>
    </row>
    <row r="74" spans="2:19" x14ac:dyDescent="0.35">
      <c r="B74" s="450"/>
    </row>
    <row r="75" spans="2:19" s="162" customFormat="1" x14ac:dyDescent="0.35">
      <c r="B75" s="338"/>
      <c r="C75" s="392" t="s">
        <v>205</v>
      </c>
      <c r="D75" s="228"/>
      <c r="E75" s="229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69"/>
      <c r="Q75" s="77"/>
      <c r="R75" s="61"/>
      <c r="S75" s="333"/>
    </row>
    <row r="76" spans="2:19" x14ac:dyDescent="0.35">
      <c r="B76" s="175"/>
      <c r="C76" s="393" t="s">
        <v>329</v>
      </c>
      <c r="K76" s="394"/>
      <c r="N76" s="194"/>
      <c r="O76" s="194"/>
      <c r="P76" s="81"/>
      <c r="Q76" s="81"/>
      <c r="R76" s="81"/>
      <c r="S76" s="81"/>
    </row>
    <row r="77" spans="2:19" x14ac:dyDescent="0.35">
      <c r="B77" s="175"/>
      <c r="C77" s="395" t="s">
        <v>330</v>
      </c>
      <c r="N77" s="194"/>
      <c r="O77" s="194"/>
      <c r="P77" s="81"/>
      <c r="Q77" s="81"/>
      <c r="R77" s="81"/>
      <c r="S77" s="81"/>
    </row>
    <row r="78" spans="2:19" x14ac:dyDescent="0.35">
      <c r="B78" s="175"/>
      <c r="C78" s="395" t="s">
        <v>332</v>
      </c>
      <c r="N78" s="194"/>
      <c r="O78" s="194"/>
      <c r="P78" s="81"/>
      <c r="Q78" s="612"/>
      <c r="R78" s="612"/>
      <c r="S78" s="81"/>
    </row>
    <row r="79" spans="2:19" x14ac:dyDescent="0.35">
      <c r="B79" s="175"/>
      <c r="C79" s="395" t="s">
        <v>544</v>
      </c>
      <c r="N79" s="194"/>
      <c r="O79" s="194"/>
      <c r="P79" s="81"/>
      <c r="Q79" s="612"/>
      <c r="R79" s="81"/>
      <c r="S79" s="81"/>
    </row>
    <row r="80" spans="2:19" x14ac:dyDescent="0.35">
      <c r="B80" s="175"/>
      <c r="C80" s="151" t="s">
        <v>542</v>
      </c>
      <c r="N80" s="194"/>
      <c r="O80" s="194"/>
      <c r="P80" s="81"/>
      <c r="Q80" s="81"/>
      <c r="R80" s="81"/>
      <c r="S80" s="81"/>
    </row>
    <row r="83" spans="3:19" x14ac:dyDescent="0.35">
      <c r="C83" s="392" t="s">
        <v>605</v>
      </c>
      <c r="D83" s="228"/>
      <c r="E83" s="229"/>
      <c r="F83" s="230"/>
      <c r="G83" s="230"/>
      <c r="H83" s="230"/>
      <c r="I83" s="229"/>
      <c r="J83" s="230"/>
      <c r="K83" s="230"/>
      <c r="L83" s="230"/>
      <c r="M83" s="230"/>
      <c r="N83" s="230"/>
      <c r="O83" s="230"/>
      <c r="P83" s="81"/>
      <c r="Q83" s="81"/>
      <c r="R83" s="81"/>
      <c r="S83" s="81"/>
    </row>
    <row r="84" spans="3:19" x14ac:dyDescent="0.35">
      <c r="C84" s="67" t="s">
        <v>445</v>
      </c>
      <c r="N84" s="194"/>
      <c r="O84" s="194"/>
      <c r="P84" s="81"/>
      <c r="Q84" s="81"/>
      <c r="R84" s="81"/>
      <c r="S84" s="81"/>
    </row>
    <row r="85" spans="3:19" x14ac:dyDescent="0.35">
      <c r="C85" s="67" t="s">
        <v>446</v>
      </c>
      <c r="N85" s="194"/>
      <c r="O85" s="194"/>
      <c r="P85" s="81"/>
      <c r="Q85" s="81"/>
      <c r="R85" s="81"/>
      <c r="S85" s="81"/>
    </row>
    <row r="86" spans="3:19" x14ac:dyDescent="0.35">
      <c r="C86" s="150" t="s">
        <v>606</v>
      </c>
      <c r="N86" s="194"/>
      <c r="O86" s="194"/>
      <c r="P86" s="81"/>
      <c r="Q86" s="81"/>
      <c r="R86" s="81"/>
      <c r="S86" s="81"/>
    </row>
    <row r="87" spans="3:19" x14ac:dyDescent="0.35">
      <c r="C87" s="151" t="s">
        <v>577</v>
      </c>
      <c r="N87" s="194"/>
      <c r="O87" s="194"/>
      <c r="P87" s="81"/>
      <c r="Q87" s="81"/>
      <c r="R87" s="81"/>
      <c r="S87" s="81"/>
    </row>
    <row r="88" spans="3:19" x14ac:dyDescent="0.35">
      <c r="C88" s="151" t="s">
        <v>574</v>
      </c>
      <c r="N88" s="194"/>
      <c r="O88" s="194"/>
      <c r="P88" s="81"/>
      <c r="Q88" s="81"/>
      <c r="R88" s="81"/>
      <c r="S88" s="81"/>
    </row>
    <row r="89" spans="3:19" x14ac:dyDescent="0.35">
      <c r="C89" s="151" t="s">
        <v>576</v>
      </c>
      <c r="O89" s="81"/>
      <c r="P89" s="81"/>
      <c r="Q89" s="81"/>
      <c r="R89" s="81"/>
      <c r="S89" s="81"/>
    </row>
    <row r="90" spans="3:19" x14ac:dyDescent="0.35">
      <c r="C90" s="151" t="s">
        <v>575</v>
      </c>
    </row>
  </sheetData>
  <mergeCells count="25">
    <mergeCell ref="D70:O70"/>
    <mergeCell ref="D67:O67"/>
    <mergeCell ref="D69:O69"/>
    <mergeCell ref="D55:O55"/>
    <mergeCell ref="D54:O54"/>
    <mergeCell ref="D56:O56"/>
    <mergeCell ref="D62:O62"/>
    <mergeCell ref="D63:O63"/>
    <mergeCell ref="D65:O65"/>
    <mergeCell ref="D64:O64"/>
    <mergeCell ref="D68:O68"/>
    <mergeCell ref="D66:O66"/>
    <mergeCell ref="D60:O60"/>
    <mergeCell ref="D61:O61"/>
    <mergeCell ref="D57:O57"/>
    <mergeCell ref="D53:O53"/>
    <mergeCell ref="D52:O52"/>
    <mergeCell ref="D59:O59"/>
    <mergeCell ref="D58:O58"/>
    <mergeCell ref="D46:O46"/>
    <mergeCell ref="D49:O49"/>
    <mergeCell ref="D48:O48"/>
    <mergeCell ref="D47:O47"/>
    <mergeCell ref="D51:O51"/>
    <mergeCell ref="D50:O50"/>
  </mergeCells>
  <hyperlinks>
    <hyperlink ref="I9" r:id="rId1" xr:uid="{79EDBEF1-75AE-401D-A296-CBE4C1C82CCC}"/>
    <hyperlink ref="J9" r:id="rId2" xr:uid="{B4A75E4D-F5C1-45D3-AADA-F2E34CE3F269}"/>
    <hyperlink ref="J10" r:id="rId3" xr:uid="{399DB85F-8A79-4DE5-B6EA-53E29DE60DC2}"/>
    <hyperlink ref="I10" r:id="rId4" xr:uid="{C1E4612C-E413-4D79-9A79-CC5846B1631E}"/>
    <hyperlink ref="J11" r:id="rId5" xr:uid="{6A72663C-BB0B-4225-A818-E0E6E96F9708}"/>
    <hyperlink ref="I11" r:id="rId6" xr:uid="{5FEDA666-D4CD-481E-8D95-8DCDA4D21E4D}"/>
    <hyperlink ref="I12" r:id="rId7" xr:uid="{570FB21B-B41D-4955-B5AF-A90C41D7BAEE}"/>
    <hyperlink ref="I13" r:id="rId8" xr:uid="{3FF29725-D814-4CB3-B62F-AFBBEE56D0BD}"/>
    <hyperlink ref="J13" r:id="rId9" xr:uid="{E854D9B7-A489-4809-A8B7-957ADD001571}"/>
    <hyperlink ref="I14" r:id="rId10" xr:uid="{A0E928BC-376F-4214-B62C-05F4B682B792}"/>
    <hyperlink ref="J14" r:id="rId11" xr:uid="{25ADA51A-7940-41D0-86A4-A324465CD031}"/>
    <hyperlink ref="J15" r:id="rId12" xr:uid="{A6558E0C-207D-4AD2-80E9-F3519025B40E}"/>
    <hyperlink ref="J17" r:id="rId13" xr:uid="{ED39E933-E353-463B-8BD9-99AA80916D5A}"/>
    <hyperlink ref="J18" r:id="rId14" xr:uid="{78F6BCA6-A847-42D2-B21F-226ACCF0098C}"/>
    <hyperlink ref="J19" r:id="rId15" xr:uid="{1FC7852F-0B1A-4846-B1A4-D694F65C1703}"/>
    <hyperlink ref="J20" r:id="rId16" xr:uid="{C2367818-C82D-4985-9AB5-1BC986FD9FAF}"/>
    <hyperlink ref="J21" r:id="rId17" xr:uid="{8433F35C-9F16-4631-924D-44B3505C2F5F}"/>
    <hyperlink ref="J22" r:id="rId18" xr:uid="{C7329488-E86B-40BE-92F9-952B6B4118C0}"/>
    <hyperlink ref="J24" r:id="rId19" xr:uid="{E88FE685-8397-4020-B2FD-2C521AF66E88}"/>
    <hyperlink ref="J23" r:id="rId20" xr:uid="{CA9B1364-7597-4FFD-9800-DCB0AEA7509D}"/>
    <hyperlink ref="J25" r:id="rId21" xr:uid="{4592A97C-EA0E-4715-AB7E-37690EE0829E}"/>
    <hyperlink ref="J26" r:id="rId22" xr:uid="{3E741EE5-9AE8-4228-BB3F-055DD0E1EFD5}"/>
    <hyperlink ref="I15" r:id="rId23" xr:uid="{F7775D12-9EBC-4120-861C-7BCD9CC9FF4E}"/>
    <hyperlink ref="I16" r:id="rId24" xr:uid="{F9BCAB21-096D-466F-B86E-963B93F06DF9}"/>
    <hyperlink ref="I17" r:id="rId25" xr:uid="{8FC5EC13-BDD0-46A6-BE55-93ADE7A82787}"/>
    <hyperlink ref="I18" r:id="rId26" xr:uid="{4E4401CD-E21C-4668-8BBB-5378BF9CE800}"/>
    <hyperlink ref="I19" r:id="rId27" xr:uid="{11CE1C13-6239-472B-9213-88A221370431}"/>
    <hyperlink ref="I20" r:id="rId28" xr:uid="{07987429-CB35-4E50-8DEB-D081034A1FE6}"/>
    <hyperlink ref="I21" r:id="rId29" xr:uid="{A5FD4CD5-BF48-4F14-88E8-A7A12ED3EAAD}"/>
    <hyperlink ref="I22" r:id="rId30" xr:uid="{C2FA1A52-BA94-4D62-ACB0-AD875C47A6E1}"/>
    <hyperlink ref="I23" r:id="rId31" xr:uid="{03D157B1-F03B-4E51-98EA-F3D4F6025A1B}"/>
    <hyperlink ref="I24" r:id="rId32" xr:uid="{462338D0-0E24-49AE-A3C1-7D6B876759E0}"/>
    <hyperlink ref="I25" r:id="rId33" xr:uid="{903920B1-4024-44D7-8446-514C6D9B06A6}"/>
    <hyperlink ref="I26" r:id="rId34" xr:uid="{DCD05BA9-0D2F-4CA2-9B83-B4BD34C0ACD1}"/>
    <hyperlink ref="J32" r:id="rId35" xr:uid="{25741B27-6345-46E2-B31F-80FC302EFFD8}"/>
    <hyperlink ref="I32" r:id="rId36" xr:uid="{AB803E2B-AE66-4AB2-BC59-F5AE896FEA09}"/>
    <hyperlink ref="I33" r:id="rId37" xr:uid="{25054B45-CEE7-439B-8EFB-6FF191F7F62E}"/>
    <hyperlink ref="J37" r:id="rId38" xr:uid="{C99E2B76-2510-468A-9203-EBC656E624BA}"/>
    <hyperlink ref="J38" r:id="rId39" xr:uid="{2124797A-9D50-4C21-9A3A-5D91D04EDE84}"/>
    <hyperlink ref="J39" r:id="rId40" xr:uid="{5968BB33-7F2D-4A52-BC15-588AD493B77B}"/>
    <hyperlink ref="J40" r:id="rId41" xr:uid="{FE6BD5E0-2893-4CD8-B5DD-E04676DD7A42}"/>
    <hyperlink ref="I40" r:id="rId42" xr:uid="{87E2F1E3-C20D-45B7-8A83-297D9750DEEF}"/>
    <hyperlink ref="I41" r:id="rId43" xr:uid="{9E42C5D4-BE82-4BA3-80D5-146BCA9FC715}"/>
    <hyperlink ref="J41" r:id="rId44" xr:uid="{D27FEFFF-3B7C-466F-B5A1-B71F78C1A53B}"/>
    <hyperlink ref="I37" r:id="rId45" xr:uid="{35898043-C5B6-4930-9C1C-1D8819067D7A}"/>
    <hyperlink ref="I38" r:id="rId46" xr:uid="{4B207EB0-98BD-4836-AF9C-52D671174113}"/>
    <hyperlink ref="J27" r:id="rId47" xr:uid="{3C0ADE31-0798-4BA0-9066-C85E56E41D3E}"/>
    <hyperlink ref="I27" r:id="rId48" xr:uid="{F453CF55-1C79-4FBB-84EF-0F6D54B54186}"/>
  </hyperlinks>
  <pageMargins left="0.7" right="0.7" top="0.75" bottom="0.75" header="0.3" footer="0.3"/>
  <pageSetup paperSize="9" orientation="portrait" verticalDpi="0" r:id="rId4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0F59-ED17-43C2-A71E-5EBD67871079}">
  <sheetPr>
    <tabColor theme="9" tint="-0.249977111117893"/>
    <pageSetUpPr fitToPage="1"/>
  </sheetPr>
  <dimension ref="B2:O54"/>
  <sheetViews>
    <sheetView zoomScale="80" zoomScaleNormal="80" workbookViewId="0">
      <selection activeCell="G28" sqref="G28"/>
    </sheetView>
  </sheetViews>
  <sheetFormatPr defaultColWidth="9.1796875" defaultRowHeight="14.5" x14ac:dyDescent="0.35"/>
  <cols>
    <col min="1" max="1" width="3.453125" style="80" customWidth="1"/>
    <col min="2" max="2" width="41.54296875" style="80" customWidth="1"/>
    <col min="3" max="3" width="19.1796875" style="80" bestFit="1" customWidth="1"/>
    <col min="4" max="4" width="20.1796875" style="80" bestFit="1" customWidth="1"/>
    <col min="5" max="5" width="23" style="81" bestFit="1" customWidth="1"/>
    <col min="6" max="6" width="24.26953125" style="81" customWidth="1"/>
    <col min="7" max="7" width="27" style="81" customWidth="1"/>
    <col min="8" max="8" width="62.7265625" style="433" customWidth="1"/>
    <col min="9" max="9" width="4.26953125" style="80" customWidth="1"/>
    <col min="10" max="10" width="42.453125" style="80" bestFit="1" customWidth="1"/>
    <col min="11" max="11" width="23.54296875" style="80" customWidth="1"/>
    <col min="12" max="12" width="20.54296875" style="80" customWidth="1"/>
    <col min="13" max="13" width="20" style="80" customWidth="1"/>
    <col min="14" max="14" width="34.81640625" style="80" bestFit="1" customWidth="1"/>
    <col min="15" max="16" width="17.26953125" style="80" customWidth="1"/>
    <col min="17" max="17" width="33.54296875" style="80" bestFit="1" customWidth="1"/>
    <col min="18" max="18" width="4.81640625" style="80" customWidth="1"/>
    <col min="19" max="16384" width="9.1796875" style="80"/>
  </cols>
  <sheetData>
    <row r="2" spans="2:15" x14ac:dyDescent="0.35">
      <c r="B2" s="418" t="s">
        <v>88</v>
      </c>
      <c r="C2" s="419">
        <f>'S | 01 '!D2</f>
        <v>45138</v>
      </c>
      <c r="D2" s="419"/>
      <c r="E2" s="420"/>
      <c r="F2" s="420"/>
      <c r="G2" s="420"/>
      <c r="H2" s="421"/>
    </row>
    <row r="3" spans="2:15" x14ac:dyDescent="0.35">
      <c r="B3" s="551"/>
      <c r="C3" s="551"/>
      <c r="D3" s="551"/>
      <c r="E3" s="551"/>
      <c r="F3" s="551"/>
      <c r="G3" s="551"/>
      <c r="H3" s="551"/>
      <c r="J3" s="83"/>
      <c r="K3" s="83"/>
      <c r="L3" s="83"/>
    </row>
    <row r="4" spans="2:15" ht="15" thickBot="1" x14ac:dyDescent="0.4">
      <c r="B4" s="57"/>
      <c r="C4" s="57"/>
      <c r="D4" s="57"/>
      <c r="E4" s="650"/>
      <c r="F4" s="650"/>
      <c r="G4" s="650"/>
      <c r="H4" s="422"/>
      <c r="J4" s="83"/>
      <c r="K4" s="83"/>
      <c r="L4" s="83"/>
    </row>
    <row r="5" spans="2:15" x14ac:dyDescent="0.35">
      <c r="B5" s="626" t="s">
        <v>129</v>
      </c>
      <c r="C5" s="621" t="s">
        <v>40</v>
      </c>
      <c r="D5" s="621" t="s">
        <v>45</v>
      </c>
      <c r="E5" s="621" t="s">
        <v>36</v>
      </c>
      <c r="F5" s="621" t="s">
        <v>130</v>
      </c>
      <c r="G5" s="621"/>
      <c r="H5" s="624" t="s">
        <v>28</v>
      </c>
      <c r="J5" s="579"/>
      <c r="K5" s="580"/>
      <c r="L5" s="581"/>
      <c r="N5" s="579" t="s">
        <v>468</v>
      </c>
      <c r="O5" s="695"/>
    </row>
    <row r="6" spans="2:15" x14ac:dyDescent="0.35">
      <c r="B6" s="620"/>
      <c r="C6" s="322"/>
      <c r="D6" s="621"/>
      <c r="E6" s="625" t="s">
        <v>126</v>
      </c>
      <c r="F6" s="625" t="s">
        <v>128</v>
      </c>
      <c r="G6" s="625" t="s">
        <v>12</v>
      </c>
      <c r="H6" s="624"/>
      <c r="J6" s="576" t="s">
        <v>496</v>
      </c>
      <c r="K6" s="577">
        <f>C2</f>
        <v>45138</v>
      </c>
      <c r="L6" s="578"/>
      <c r="N6" s="576"/>
      <c r="O6" s="578"/>
    </row>
    <row r="7" spans="2:15" x14ac:dyDescent="0.35">
      <c r="B7" s="620"/>
      <c r="C7" s="322"/>
      <c r="D7" s="621"/>
      <c r="E7" s="622" t="str">
        <f>"NAV | "&amp; TEXT(C2,"dd")&amp;" "&amp;TEXT(C2,"mmm")&amp;" "&amp;TEXT(C2,"yyyy")</f>
        <v>NAV | 31 Jul 2023</v>
      </c>
      <c r="F7" s="623"/>
      <c r="G7" s="623" t="str">
        <f>"PPS |" &amp; TEXT(C2,"dd")&amp;" "&amp;TEXT(C2,"mmm")&amp;" "&amp;TEXT(C2,"yyyy")</f>
        <v>PPS |31 Jul 2023</v>
      </c>
      <c r="H7" s="624"/>
      <c r="J7" s="163"/>
      <c r="K7" s="303"/>
      <c r="L7" s="507" t="s">
        <v>464</v>
      </c>
      <c r="N7" s="696" t="s">
        <v>212</v>
      </c>
      <c r="O7" s="697">
        <f ca="1">SUM(E9:E26)</f>
        <v>2103.5933369349004</v>
      </c>
    </row>
    <row r="8" spans="2:15" x14ac:dyDescent="0.35">
      <c r="B8" s="70" t="s">
        <v>37</v>
      </c>
      <c r="C8" s="425"/>
      <c r="D8" s="425"/>
      <c r="E8" s="616"/>
      <c r="F8" s="427"/>
      <c r="G8" s="383"/>
      <c r="H8" s="428"/>
      <c r="J8" s="508" t="s">
        <v>459</v>
      </c>
      <c r="K8" s="509">
        <v>2.6379999999999999</v>
      </c>
      <c r="L8" s="506" t="s">
        <v>465</v>
      </c>
      <c r="N8" s="696" t="s">
        <v>53</v>
      </c>
      <c r="O8" s="697">
        <f>SUM(E32:E34)</f>
        <v>2.3539819999999998</v>
      </c>
    </row>
    <row r="9" spans="2:15" x14ac:dyDescent="0.35">
      <c r="B9" s="58" t="str">
        <f>'S | 01 '!C10</f>
        <v>Jollychic Holding Limited</v>
      </c>
      <c r="C9" s="81" t="str">
        <f>'S | 01 '!F10</f>
        <v>Mozn</v>
      </c>
      <c r="D9" s="81" t="str">
        <f>'S | 01 '!H10</f>
        <v>C+ Prefs</v>
      </c>
      <c r="E9" s="617">
        <f>F9*G9*10^-6</f>
        <v>0</v>
      </c>
      <c r="F9" s="417">
        <f>SUM('CF (Equity, Debt)'!J4:J6)</f>
        <v>13458655</v>
      </c>
      <c r="G9" s="383"/>
      <c r="H9" s="429" t="s">
        <v>125</v>
      </c>
      <c r="J9" s="163" t="s">
        <v>461</v>
      </c>
      <c r="K9" s="509">
        <v>0.68</v>
      </c>
      <c r="L9" s="506" t="s">
        <v>465</v>
      </c>
      <c r="N9" s="696" t="s">
        <v>427</v>
      </c>
      <c r="O9" s="697">
        <f>SUM(E39:E43)</f>
        <v>130.9149330932735</v>
      </c>
    </row>
    <row r="10" spans="2:15" x14ac:dyDescent="0.35">
      <c r="B10" s="58" t="str">
        <f>'S | 01 '!C11</f>
        <v>Mena Mobile Inc</v>
      </c>
      <c r="C10" s="61" t="str">
        <f>'S | 01 '!F11</f>
        <v>Mozn</v>
      </c>
      <c r="D10" s="81" t="str">
        <f>'S | 01 '!H11</f>
        <v>B Prefs</v>
      </c>
      <c r="E10" s="617">
        <v>0</v>
      </c>
      <c r="F10" s="417">
        <f>'CF (Equity, Debt)'!J7</f>
        <v>21419829</v>
      </c>
      <c r="G10" s="383"/>
      <c r="H10" s="429" t="s">
        <v>533</v>
      </c>
      <c r="J10" s="508" t="s">
        <v>460</v>
      </c>
      <c r="K10" s="509">
        <v>1.28616</v>
      </c>
      <c r="L10" s="506" t="s">
        <v>463</v>
      </c>
      <c r="N10" s="698" t="s">
        <v>76</v>
      </c>
      <c r="O10" s="699">
        <f ca="1">SUM(O7:O9)</f>
        <v>2236.8622520281742</v>
      </c>
    </row>
    <row r="11" spans="2:15" x14ac:dyDescent="0.35">
      <c r="B11" s="58" t="str">
        <f>'S | 01 '!C12</f>
        <v>Flyr Inc</v>
      </c>
      <c r="C11" s="61" t="str">
        <f>'S | 01 '!F12</f>
        <v>Mozn</v>
      </c>
      <c r="D11" s="81" t="str">
        <f>'S | 01 '!H12</f>
        <v>B-1,2 Prefs</v>
      </c>
      <c r="E11" s="617">
        <f>F11*G11*10^-6*(1-20%)</f>
        <v>78.082229999999996</v>
      </c>
      <c r="F11" s="82">
        <v>5205482</v>
      </c>
      <c r="G11" s="383">
        <v>18.75</v>
      </c>
      <c r="H11" s="429" t="s">
        <v>351</v>
      </c>
      <c r="J11" s="163" t="s">
        <v>462</v>
      </c>
      <c r="K11" s="509">
        <v>7.1406900000000002</v>
      </c>
      <c r="L11" s="506" t="s">
        <v>463</v>
      </c>
      <c r="N11" s="696">
        <f>E23/800</f>
        <v>1.0214863129473484</v>
      </c>
      <c r="O11" s="700" t="b">
        <f ca="1">O10='S | 01 '!N46</f>
        <v>0</v>
      </c>
    </row>
    <row r="12" spans="2:15" ht="15" thickBot="1" x14ac:dyDescent="0.4">
      <c r="B12" s="58" t="str">
        <f>'S | 01 '!C13</f>
        <v xml:space="preserve">Esyasoft Holding </v>
      </c>
      <c r="C12" s="61" t="str">
        <f>'S | 01 '!F13</f>
        <v>Mozn</v>
      </c>
      <c r="D12" s="81" t="str">
        <f>'S | 01 '!H13</f>
        <v>Convertible Note</v>
      </c>
      <c r="E12" s="617">
        <v>0</v>
      </c>
      <c r="F12" s="417" t="s">
        <v>177</v>
      </c>
      <c r="G12" s="383"/>
      <c r="H12" s="429" t="s">
        <v>458</v>
      </c>
      <c r="J12" s="168" t="s">
        <v>522</v>
      </c>
      <c r="K12" s="510">
        <v>1.1022700000000001</v>
      </c>
      <c r="L12" s="511" t="s">
        <v>463</v>
      </c>
      <c r="N12" s="168"/>
      <c r="O12" s="701" t="b">
        <f ca="1">O10='4.All'!M9</f>
        <v>0</v>
      </c>
    </row>
    <row r="13" spans="2:15" x14ac:dyDescent="0.35">
      <c r="B13" s="58" t="str">
        <f>'S | 01 '!C14</f>
        <v>Beyond Limits</v>
      </c>
      <c r="C13" s="61" t="str">
        <f>'S | 01 '!F14</f>
        <v>Mozn</v>
      </c>
      <c r="D13" s="81" t="str">
        <f>'S | 01 '!H14</f>
        <v>C Prefs</v>
      </c>
      <c r="E13" s="617">
        <f>F13*G13*10^-6</f>
        <v>91.001540300000002</v>
      </c>
      <c r="F13" s="417">
        <f>SUM('CF (Equity, Debt)'!J11:J14)</f>
        <v>17670202</v>
      </c>
      <c r="G13" s="383">
        <v>5.15</v>
      </c>
      <c r="H13" s="429" t="s">
        <v>352</v>
      </c>
    </row>
    <row r="14" spans="2:15" x14ac:dyDescent="0.35">
      <c r="B14" s="505" t="str">
        <f>'S | 01 '!C15</f>
        <v>ONT plc</v>
      </c>
      <c r="C14" s="61" t="str">
        <f>'S | 01 '!F15</f>
        <v>Mozn</v>
      </c>
      <c r="D14" s="81" t="str">
        <f>'S | 01 '!H15</f>
        <v>Ordinary Shares</v>
      </c>
      <c r="E14" s="618">
        <f>F14*G14*10^-6</f>
        <v>150.4004386130496</v>
      </c>
      <c r="F14" s="417">
        <v>44328120</v>
      </c>
      <c r="G14" s="430">
        <f>K8*K10</f>
        <v>3.3928900799999999</v>
      </c>
      <c r="H14" s="429" t="s">
        <v>353</v>
      </c>
    </row>
    <row r="15" spans="2:15" ht="15" thickBot="1" x14ac:dyDescent="0.4">
      <c r="B15" s="505" t="str">
        <f>'S | 01 '!C16</f>
        <v>Heygears</v>
      </c>
      <c r="C15" s="61" t="str">
        <f>'S | 01 '!F16</f>
        <v>Mozn</v>
      </c>
      <c r="D15" s="81" t="str">
        <f>'S | 01 '!H16</f>
        <v>Registered Capital</v>
      </c>
      <c r="E15" s="618">
        <f>K25/1000000</f>
        <v>151.06943446641711</v>
      </c>
      <c r="F15" s="417">
        <f>'CF (Equity, Debt)'!J20</f>
        <v>4753356.29</v>
      </c>
      <c r="G15" s="383"/>
      <c r="H15" s="429" t="s">
        <v>536</v>
      </c>
    </row>
    <row r="16" spans="2:15" x14ac:dyDescent="0.35">
      <c r="B16" s="58" t="str">
        <f>'S | 01 '!C17</f>
        <v>Jysan Technologies</v>
      </c>
      <c r="C16" s="61" t="str">
        <f>'S | 01 '!F17</f>
        <v>Mozn 1</v>
      </c>
      <c r="D16" s="81" t="str">
        <f>'S | 01 '!H17</f>
        <v>A (Ordinary Shares)</v>
      </c>
      <c r="E16" s="617">
        <f>-'CF (Equity, Debt)'!E21</f>
        <v>20</v>
      </c>
      <c r="F16" s="417">
        <f>'CF (Equity, Debt)'!J21</f>
        <v>7959497</v>
      </c>
      <c r="G16" s="383">
        <f>E16*10^6/F16</f>
        <v>2.5127215953470428</v>
      </c>
      <c r="H16" s="429" t="s">
        <v>497</v>
      </c>
      <c r="J16" s="582" t="s">
        <v>414</v>
      </c>
      <c r="K16" s="583"/>
      <c r="L16" s="594"/>
    </row>
    <row r="17" spans="2:14" x14ac:dyDescent="0.35">
      <c r="B17" s="58" t="str">
        <f>'S | 01 '!C18</f>
        <v>Cerebras Systems Inc</v>
      </c>
      <c r="C17" s="61" t="str">
        <f>'S | 01 '!F18</f>
        <v>Mozn</v>
      </c>
      <c r="D17" s="81" t="str">
        <f>'S | 01 '!H18</f>
        <v>F Prefs</v>
      </c>
      <c r="E17" s="617">
        <f>-'CF (Equity, Debt)'!E22</f>
        <v>39.999983359999995</v>
      </c>
      <c r="F17" s="417">
        <f>'6. %'!D17</f>
        <v>1441711</v>
      </c>
      <c r="G17" s="383"/>
      <c r="H17" s="429" t="s">
        <v>497</v>
      </c>
      <c r="J17" s="163"/>
      <c r="K17" s="175"/>
      <c r="L17" s="596"/>
    </row>
    <row r="18" spans="2:14" x14ac:dyDescent="0.35">
      <c r="B18" s="58" t="str">
        <f>'S | 01 '!C19</f>
        <v>Endless Studios LLC</v>
      </c>
      <c r="C18" s="61" t="str">
        <f>'S | 01 '!F19</f>
        <v>Mozn</v>
      </c>
      <c r="D18" s="81" t="str">
        <f>'S | 01 '!H19</f>
        <v>A Pref Units</v>
      </c>
      <c r="E18" s="617">
        <f>-'CF (Equity, Debt)'!E23</f>
        <v>3</v>
      </c>
      <c r="F18" s="417">
        <f>'CF (Equity, Debt)'!J23</f>
        <v>3000000</v>
      </c>
      <c r="G18" s="383"/>
      <c r="H18" s="429" t="s">
        <v>127</v>
      </c>
      <c r="J18" s="597" t="s">
        <v>404</v>
      </c>
      <c r="K18" s="598">
        <v>7500000000</v>
      </c>
      <c r="L18" s="599"/>
    </row>
    <row r="19" spans="2:14" x14ac:dyDescent="0.35">
      <c r="B19" s="58" t="str">
        <f>'S | 01 '!C20</f>
        <v>Instadeep Limited</v>
      </c>
      <c r="C19" s="61" t="str">
        <f>'S | 01 '!F20</f>
        <v>Mozn</v>
      </c>
      <c r="D19" s="81" t="str">
        <f>'S | 01 '!H20</f>
        <v xml:space="preserve">B Prefs </v>
      </c>
      <c r="E19" s="617">
        <f>-'CF (Equity, Debt)'!E24*G19</f>
        <v>0</v>
      </c>
      <c r="F19" s="417">
        <f>'CF (Equity, Debt)'!J24</f>
        <v>33267</v>
      </c>
      <c r="G19" s="383">
        <v>0</v>
      </c>
      <c r="H19" s="429" t="s">
        <v>633</v>
      </c>
      <c r="J19" s="597" t="s">
        <v>405</v>
      </c>
      <c r="K19" s="600">
        <v>0.14383199999999999</v>
      </c>
      <c r="L19" s="599"/>
    </row>
    <row r="20" spans="2:14" x14ac:dyDescent="0.35">
      <c r="B20" s="505" t="str">
        <f>'S | 01 '!C21</f>
        <v>X-fusion</v>
      </c>
      <c r="C20" s="61" t="str">
        <f>'S | 01 '!F21</f>
        <v>Mozn 2</v>
      </c>
      <c r="D20" s="81" t="str">
        <f>'S | 01 '!H21</f>
        <v>Equity-TBC</v>
      </c>
      <c r="E20" s="618">
        <f>5810000000/K11/1000000*(1-49.82%)</f>
        <v>408.28799457755485</v>
      </c>
      <c r="F20" s="417" t="s">
        <v>177</v>
      </c>
      <c r="G20" s="383"/>
      <c r="H20" s="429" t="s">
        <v>498</v>
      </c>
      <c r="J20" s="597" t="s">
        <v>406</v>
      </c>
      <c r="K20" s="601">
        <v>1078740000</v>
      </c>
      <c r="L20" s="599"/>
    </row>
    <row r="21" spans="2:14" x14ac:dyDescent="0.35">
      <c r="B21" s="58" t="str">
        <f>'S | 01 '!C22</f>
        <v>DriveNets</v>
      </c>
      <c r="C21" s="61" t="str">
        <f>'S | 01 '!F22</f>
        <v>G42</v>
      </c>
      <c r="D21" s="81" t="str">
        <f>'S | 01 '!H22</f>
        <v>Equity-TBC</v>
      </c>
      <c r="E21" s="617">
        <f>-SUM('CF (Equity, Debt)'!E26:E27)</f>
        <v>300</v>
      </c>
      <c r="F21" s="417">
        <f>'6. %'!D21</f>
        <v>86882669</v>
      </c>
      <c r="G21" s="383"/>
      <c r="H21" s="429" t="s">
        <v>127</v>
      </c>
      <c r="J21" s="597" t="s">
        <v>407</v>
      </c>
      <c r="K21" s="602">
        <v>0</v>
      </c>
      <c r="L21" s="599"/>
    </row>
    <row r="22" spans="2:14" x14ac:dyDescent="0.35">
      <c r="B22" s="505" t="str">
        <f>'S | 01 '!C23</f>
        <v>vTv Therapeutics Inc.</v>
      </c>
      <c r="C22" s="61" t="str">
        <f>'S | 01 '!F23</f>
        <v>G42</v>
      </c>
      <c r="D22" s="81" t="str">
        <f>'S | 01 '!H23</f>
        <v>Ordinary Shares</v>
      </c>
      <c r="E22" s="618">
        <f>(F22*G22)*10^-6</f>
        <v>7.0626663199999999</v>
      </c>
      <c r="F22" s="417">
        <f>'CF (Equity, Debt)'!J29</f>
        <v>10386274</v>
      </c>
      <c r="G22" s="430">
        <f>K9</f>
        <v>0.68</v>
      </c>
      <c r="H22" s="429" t="s">
        <v>353</v>
      </c>
      <c r="J22" s="597" t="s">
        <v>408</v>
      </c>
      <c r="K22" s="602">
        <v>0</v>
      </c>
      <c r="L22" s="599"/>
    </row>
    <row r="23" spans="2:14" x14ac:dyDescent="0.35">
      <c r="B23" s="59" t="str">
        <f>'S | 01 '!C24</f>
        <v>Honor Device Co Ltd</v>
      </c>
      <c r="C23" s="61" t="str">
        <f>'S | 01 '!F24</f>
        <v>G42 3</v>
      </c>
      <c r="D23" s="81" t="str">
        <f>'S | 01 '!H24</f>
        <v>Equity-TBC</v>
      </c>
      <c r="E23" s="617">
        <f>310000000000/K11/1000000*4.705882%*0.8/2</f>
        <v>817.18905035787873</v>
      </c>
      <c r="F23" s="417" t="s">
        <v>177</v>
      </c>
      <c r="G23" s="417"/>
      <c r="H23" s="429" t="s">
        <v>499</v>
      </c>
      <c r="J23" s="597" t="s">
        <v>409</v>
      </c>
      <c r="K23" s="601">
        <f>K20*(1-K21)*(1-K22)</f>
        <v>1078740000</v>
      </c>
      <c r="L23" s="603"/>
    </row>
    <row r="24" spans="2:14" x14ac:dyDescent="0.35">
      <c r="B24" s="59" t="str">
        <f>'S | 01 '!C25</f>
        <v>Applied AI Corporation Limited</v>
      </c>
      <c r="C24" s="61" t="str">
        <f>'S | 01 '!F25</f>
        <v>Mozn</v>
      </c>
      <c r="D24" s="81" t="str">
        <f>'S | 01 '!H25</f>
        <v>Convertible Note</v>
      </c>
      <c r="E24" s="617">
        <f>-'CF (Equity, Debt)'!E32-'CF (Equity, Debt)'!E38</f>
        <v>7.5</v>
      </c>
      <c r="F24" s="417" t="s">
        <v>177</v>
      </c>
      <c r="G24" s="417"/>
      <c r="H24" s="429" t="s">
        <v>127</v>
      </c>
      <c r="J24" s="597" t="s">
        <v>495</v>
      </c>
      <c r="K24" s="604">
        <f>K11</f>
        <v>7.1406900000000002</v>
      </c>
      <c r="L24" s="603"/>
    </row>
    <row r="25" spans="2:14" x14ac:dyDescent="0.35">
      <c r="B25" s="59" t="str">
        <f>'S | 01 '!C26</f>
        <v xml:space="preserve">eSpace </v>
      </c>
      <c r="C25" s="61" t="str">
        <f>'S | 01 '!F26</f>
        <v>Mozn 4</v>
      </c>
      <c r="D25" s="81" t="str">
        <f>'S | 01 '!H26</f>
        <v>SAFE note</v>
      </c>
      <c r="E25" s="617">
        <v>15</v>
      </c>
      <c r="F25" s="417" t="s">
        <v>177</v>
      </c>
      <c r="G25" s="417"/>
      <c r="H25" s="429" t="s">
        <v>127</v>
      </c>
      <c r="J25" s="597" t="s">
        <v>410</v>
      </c>
      <c r="K25" s="605">
        <f>K23/K24</f>
        <v>151069434.4664171</v>
      </c>
      <c r="L25" s="599"/>
    </row>
    <row r="26" spans="2:14" x14ac:dyDescent="0.35">
      <c r="B26" s="59" t="str">
        <f>'S | 01 '!C27</f>
        <v>Tools for Humanity Corporation</v>
      </c>
      <c r="C26" s="81" t="str">
        <f>'S | 01 '!F27</f>
        <v>Mozn</v>
      </c>
      <c r="D26" s="81" t="str">
        <f>'S | 01 '!H27</f>
        <v>C Prefs</v>
      </c>
      <c r="E26" s="617">
        <f ca="1">'S | 01 '!K27</f>
        <v>14.999998939999999</v>
      </c>
      <c r="F26" s="417">
        <f>'6. %'!D26</f>
        <v>65413</v>
      </c>
      <c r="G26" s="417"/>
      <c r="H26" s="429" t="s">
        <v>631</v>
      </c>
      <c r="J26" s="597" t="s">
        <v>411</v>
      </c>
      <c r="K26" s="601">
        <v>60000000</v>
      </c>
      <c r="L26" s="599"/>
    </row>
    <row r="27" spans="2:14" ht="15" thickBot="1" x14ac:dyDescent="0.4">
      <c r="B27" s="59" t="str">
        <f>'S | 01 '!C28</f>
        <v>WLD Tokens</v>
      </c>
      <c r="C27" s="81" t="str">
        <f>'S | 01 '!F28</f>
        <v>Mozn</v>
      </c>
      <c r="D27" s="81" t="str">
        <f>'S | 01 '!H28</f>
        <v>Tokens</v>
      </c>
      <c r="E27" s="619">
        <f ca="1">MAX('S | 01 '!K28,F27*G27*10^-6)</f>
        <v>15</v>
      </c>
      <c r="F27" s="417">
        <f>'6. %'!D27</f>
        <v>62500000</v>
      </c>
      <c r="G27" s="430">
        <f>0.24</f>
        <v>0.24</v>
      </c>
      <c r="H27" s="429" t="s">
        <v>632</v>
      </c>
      <c r="J27" s="606" t="s">
        <v>412</v>
      </c>
      <c r="K27" s="607">
        <v>1.90391818080482</v>
      </c>
      <c r="L27" s="172"/>
    </row>
    <row r="28" spans="2:14" x14ac:dyDescent="0.35">
      <c r="B28" s="63"/>
      <c r="C28" s="63"/>
      <c r="D28" s="63"/>
      <c r="E28" s="378"/>
      <c r="F28" s="63"/>
      <c r="G28" s="63"/>
      <c r="H28" s="431"/>
    </row>
    <row r="29" spans="2:14" x14ac:dyDescent="0.35">
      <c r="B29" s="383"/>
      <c r="C29" s="383"/>
      <c r="D29" s="383"/>
      <c r="E29" s="383"/>
      <c r="F29" s="383"/>
      <c r="G29" s="383"/>
      <c r="H29" s="432"/>
    </row>
    <row r="30" spans="2:14" ht="15" thickBot="1" x14ac:dyDescent="0.4">
      <c r="B30" s="423"/>
      <c r="C30" s="423"/>
      <c r="D30" s="423"/>
      <c r="E30" s="423"/>
      <c r="F30" s="423"/>
      <c r="G30" s="423"/>
      <c r="H30" s="424"/>
      <c r="J30" s="433"/>
    </row>
    <row r="31" spans="2:14" x14ac:dyDescent="0.35">
      <c r="B31" s="70" t="s">
        <v>38</v>
      </c>
      <c r="C31" s="425"/>
      <c r="D31" s="426"/>
      <c r="E31" s="426"/>
      <c r="F31" s="426"/>
      <c r="G31" s="426"/>
      <c r="H31" s="428"/>
      <c r="J31" s="582" t="s">
        <v>31</v>
      </c>
      <c r="K31" s="595"/>
      <c r="L31" s="583"/>
      <c r="M31" s="583"/>
      <c r="N31" s="593"/>
    </row>
    <row r="32" spans="2:14" x14ac:dyDescent="0.35">
      <c r="B32" s="58" t="s">
        <v>58</v>
      </c>
      <c r="C32" s="61" t="s">
        <v>9</v>
      </c>
      <c r="D32" s="383" t="s">
        <v>179</v>
      </c>
      <c r="E32" s="383">
        <f>'S | 01 '!N33</f>
        <v>0</v>
      </c>
      <c r="F32" s="383"/>
      <c r="G32" s="383"/>
      <c r="H32" s="429" t="s">
        <v>183</v>
      </c>
      <c r="J32" s="163"/>
      <c r="K32" s="175"/>
      <c r="L32" s="175"/>
      <c r="M32" s="175"/>
      <c r="N32" s="164"/>
    </row>
    <row r="33" spans="2:14" x14ac:dyDescent="0.35">
      <c r="B33" s="58" t="s">
        <v>398</v>
      </c>
      <c r="C33" s="61" t="s">
        <v>9</v>
      </c>
      <c r="D33" s="383" t="s">
        <v>180</v>
      </c>
      <c r="E33" s="383">
        <f>'S | 01 '!N34</f>
        <v>2.3539819999999998</v>
      </c>
      <c r="F33" s="383"/>
      <c r="G33" s="383"/>
      <c r="H33" s="429" t="s">
        <v>127</v>
      </c>
      <c r="J33" s="691" t="s">
        <v>186</v>
      </c>
      <c r="K33" s="672" t="s">
        <v>511</v>
      </c>
      <c r="L33" s="672" t="s">
        <v>512</v>
      </c>
      <c r="M33" s="672" t="s">
        <v>610</v>
      </c>
      <c r="N33" s="685"/>
    </row>
    <row r="34" spans="2:14" x14ac:dyDescent="0.35">
      <c r="B34" s="59" t="s">
        <v>390</v>
      </c>
      <c r="C34" s="61" t="s">
        <v>9</v>
      </c>
      <c r="D34" s="383" t="s">
        <v>180</v>
      </c>
      <c r="E34" s="383">
        <v>0</v>
      </c>
      <c r="F34" s="383"/>
      <c r="G34" s="383"/>
      <c r="H34" s="429" t="s">
        <v>478</v>
      </c>
      <c r="J34" s="163" t="s">
        <v>513</v>
      </c>
      <c r="K34" s="673">
        <v>23234462</v>
      </c>
      <c r="L34" s="673">
        <v>23234462</v>
      </c>
      <c r="M34" s="673">
        <v>23234462</v>
      </c>
      <c r="N34" s="685" t="s">
        <v>527</v>
      </c>
    </row>
    <row r="35" spans="2:14" x14ac:dyDescent="0.35">
      <c r="B35" s="63"/>
      <c r="C35" s="63"/>
      <c r="D35" s="63"/>
      <c r="E35" s="63"/>
      <c r="F35" s="63"/>
      <c r="G35" s="63"/>
      <c r="H35" s="431"/>
      <c r="J35" s="163" t="s">
        <v>514</v>
      </c>
      <c r="K35" s="673">
        <v>19178323</v>
      </c>
      <c r="L35" s="673">
        <v>9436936</v>
      </c>
      <c r="M35" s="673">
        <v>9626402</v>
      </c>
      <c r="N35" s="685"/>
    </row>
    <row r="36" spans="2:14" x14ac:dyDescent="0.35">
      <c r="B36" s="383"/>
      <c r="C36" s="383"/>
      <c r="D36" s="383"/>
      <c r="E36" s="383"/>
      <c r="F36" s="383"/>
      <c r="G36" s="383"/>
      <c r="H36" s="432"/>
      <c r="J36" s="163" t="s">
        <v>515</v>
      </c>
      <c r="K36" s="674">
        <f>K34-K35</f>
        <v>4056139</v>
      </c>
      <c r="L36" s="674">
        <f>L34-L35</f>
        <v>13797526</v>
      </c>
      <c r="M36" s="674">
        <f>M34-M35</f>
        <v>13608060</v>
      </c>
      <c r="N36" s="685"/>
    </row>
    <row r="37" spans="2:14" x14ac:dyDescent="0.35">
      <c r="B37" s="423"/>
      <c r="C37" s="423"/>
      <c r="D37" s="423"/>
      <c r="E37" s="423"/>
      <c r="F37" s="423"/>
      <c r="G37" s="423"/>
      <c r="H37" s="424"/>
      <c r="J37" s="163" t="s">
        <v>516</v>
      </c>
      <c r="K37" s="674">
        <v>13103567</v>
      </c>
      <c r="L37" s="674">
        <v>3803379</v>
      </c>
      <c r="M37" s="674"/>
      <c r="N37" s="685"/>
    </row>
    <row r="38" spans="2:14" x14ac:dyDescent="0.35">
      <c r="B38" s="70" t="s">
        <v>39</v>
      </c>
      <c r="C38" s="425"/>
      <c r="D38" s="426"/>
      <c r="E38" s="426"/>
      <c r="F38" s="426"/>
      <c r="G38" s="426"/>
      <c r="H38" s="428"/>
      <c r="J38" s="692" t="s">
        <v>402</v>
      </c>
      <c r="K38" s="675">
        <v>32325017</v>
      </c>
      <c r="L38" s="675">
        <v>12031777</v>
      </c>
      <c r="M38" s="675">
        <v>12148021</v>
      </c>
      <c r="N38" s="685" t="s">
        <v>527</v>
      </c>
    </row>
    <row r="39" spans="2:14" x14ac:dyDescent="0.35">
      <c r="B39" s="58" t="s">
        <v>171</v>
      </c>
      <c r="C39" s="61" t="s">
        <v>13</v>
      </c>
      <c r="D39" s="81" t="s">
        <v>69</v>
      </c>
      <c r="E39" s="383">
        <f>M38*10^-6*K12</f>
        <v>13.390399107670001</v>
      </c>
      <c r="F39" s="417"/>
      <c r="G39" s="383"/>
      <c r="H39" s="429" t="s">
        <v>618</v>
      </c>
      <c r="J39" s="163" t="s">
        <v>517</v>
      </c>
      <c r="K39" s="676"/>
      <c r="L39" s="674">
        <f>K35-L35</f>
        <v>9741387</v>
      </c>
      <c r="M39" s="674"/>
      <c r="N39" s="685" t="s">
        <v>520</v>
      </c>
    </row>
    <row r="40" spans="2:14" x14ac:dyDescent="0.35">
      <c r="B40" s="58" t="s">
        <v>538</v>
      </c>
      <c r="C40" s="61" t="s">
        <v>13</v>
      </c>
      <c r="D40" s="81" t="s">
        <v>99</v>
      </c>
      <c r="E40" s="383">
        <f>E39*'S | 02'!L36/'S | 02'!L35</f>
        <v>3.2766079856035097</v>
      </c>
      <c r="F40" s="417"/>
      <c r="G40" s="383"/>
      <c r="H40" s="429" t="s">
        <v>537</v>
      </c>
      <c r="J40" s="163" t="s">
        <v>518</v>
      </c>
      <c r="K40" s="676"/>
      <c r="L40" s="674">
        <f>L42-L39</f>
        <v>2728214.0199999996</v>
      </c>
      <c r="M40" s="674"/>
      <c r="N40" s="685" t="s">
        <v>520</v>
      </c>
    </row>
    <row r="41" spans="2:14" x14ac:dyDescent="0.35">
      <c r="B41" s="58" t="s">
        <v>1</v>
      </c>
      <c r="C41" s="61" t="s">
        <v>13</v>
      </c>
      <c r="D41" s="81" t="s">
        <v>69</v>
      </c>
      <c r="E41" s="383">
        <v>81.695785999999998</v>
      </c>
      <c r="F41" s="82"/>
      <c r="G41" s="383"/>
      <c r="H41" s="429" t="s">
        <v>618</v>
      </c>
      <c r="J41" s="163"/>
      <c r="K41" s="676"/>
      <c r="L41" s="674"/>
      <c r="M41" s="674"/>
      <c r="N41" s="685"/>
    </row>
    <row r="42" spans="2:14" x14ac:dyDescent="0.35">
      <c r="B42" s="58" t="s">
        <v>15</v>
      </c>
      <c r="C42" s="61" t="s">
        <v>13</v>
      </c>
      <c r="D42" s="81" t="s">
        <v>69</v>
      </c>
      <c r="E42" s="383">
        <f>21.157072-'CF (Funds)'!D17</f>
        <v>19.244515</v>
      </c>
      <c r="F42" s="417"/>
      <c r="G42" s="383"/>
      <c r="H42" s="429" t="s">
        <v>618</v>
      </c>
      <c r="J42" s="693" t="s">
        <v>519</v>
      </c>
      <c r="K42" s="675"/>
      <c r="L42" s="677">
        <v>12469601.02</v>
      </c>
      <c r="M42" s="673"/>
      <c r="N42" s="685" t="s">
        <v>521</v>
      </c>
    </row>
    <row r="43" spans="2:14" x14ac:dyDescent="0.35">
      <c r="B43" s="58" t="s">
        <v>229</v>
      </c>
      <c r="C43" s="61" t="s">
        <v>13</v>
      </c>
      <c r="D43" s="81" t="s">
        <v>69</v>
      </c>
      <c r="E43" s="383">
        <v>13.307625</v>
      </c>
      <c r="F43" s="417"/>
      <c r="G43" s="383"/>
      <c r="H43" s="429" t="s">
        <v>618</v>
      </c>
      <c r="J43" s="692" t="s">
        <v>60</v>
      </c>
      <c r="K43" s="675"/>
      <c r="L43" s="675">
        <f>15675627.21</f>
        <v>15675627.210000001</v>
      </c>
      <c r="M43" s="674"/>
      <c r="N43" s="685" t="s">
        <v>527</v>
      </c>
    </row>
    <row r="44" spans="2:14" x14ac:dyDescent="0.35">
      <c r="B44" s="63"/>
      <c r="C44" s="63"/>
      <c r="D44" s="63"/>
      <c r="E44" s="63"/>
      <c r="F44" s="63"/>
      <c r="G44" s="63"/>
      <c r="H44" s="431"/>
      <c r="J44" s="163"/>
      <c r="K44" s="175"/>
      <c r="L44" s="175"/>
      <c r="M44" s="175"/>
      <c r="N44" s="686"/>
    </row>
    <row r="45" spans="2:14" x14ac:dyDescent="0.35">
      <c r="J45" s="163"/>
      <c r="K45" s="678"/>
      <c r="L45" s="175"/>
      <c r="M45" s="175"/>
      <c r="N45" s="164"/>
    </row>
    <row r="46" spans="2:14" x14ac:dyDescent="0.35">
      <c r="B46" s="92" t="s">
        <v>133</v>
      </c>
      <c r="C46" s="92"/>
      <c r="F46" s="81" t="s">
        <v>32</v>
      </c>
      <c r="J46" s="694" t="s">
        <v>524</v>
      </c>
      <c r="K46" s="175"/>
      <c r="L46" s="175"/>
      <c r="M46" s="175"/>
      <c r="N46" s="164"/>
    </row>
    <row r="47" spans="2:14" x14ac:dyDescent="0.35">
      <c r="B47" s="80" t="s">
        <v>611</v>
      </c>
      <c r="F47" s="81" t="s">
        <v>9</v>
      </c>
      <c r="G47" s="724">
        <f ca="1">'S | 02'!Q29</f>
        <v>1.0515186190605163E-2</v>
      </c>
      <c r="J47" s="163" t="s">
        <v>523</v>
      </c>
      <c r="K47" s="687">
        <f>K48+K49</f>
        <v>28.336808256296703</v>
      </c>
      <c r="L47" s="175"/>
      <c r="M47" s="175"/>
      <c r="N47" s="164"/>
    </row>
    <row r="48" spans="2:14" x14ac:dyDescent="0.35">
      <c r="F48" s="81" t="s">
        <v>13</v>
      </c>
      <c r="G48" s="724">
        <f>'S | 02'!Q40</f>
        <v>2.1642416715621955E-3</v>
      </c>
      <c r="J48" s="163" t="s">
        <v>525</v>
      </c>
      <c r="K48" s="687">
        <f>-SUM('CF (Funds)'!D32:D36)-L39*1.08341*10^-6</f>
        <v>11.058034651530001</v>
      </c>
      <c r="L48" s="688">
        <f>L35*10^-6*K12</f>
        <v>10.40205144472</v>
      </c>
      <c r="M48" s="688"/>
      <c r="N48" s="164"/>
    </row>
    <row r="49" spans="6:14" x14ac:dyDescent="0.35">
      <c r="F49" s="81" t="s">
        <v>643</v>
      </c>
      <c r="G49" s="724">
        <f ca="1">'S | 02'!Q42</f>
        <v>7.0974320173263555E-3</v>
      </c>
      <c r="J49" s="163" t="s">
        <v>526</v>
      </c>
      <c r="K49" s="687">
        <f>L43*10^-6*K12</f>
        <v>17.278773604766702</v>
      </c>
      <c r="L49" s="175"/>
      <c r="M49" s="175"/>
      <c r="N49" s="164"/>
    </row>
    <row r="50" spans="6:14" x14ac:dyDescent="0.35">
      <c r="J50" s="163" t="s">
        <v>402</v>
      </c>
      <c r="K50" s="687">
        <f>L38*10^-6*K12</f>
        <v>13.262266833790001</v>
      </c>
      <c r="L50" s="175"/>
      <c r="M50" s="175"/>
      <c r="N50" s="164"/>
    </row>
    <row r="51" spans="6:14" x14ac:dyDescent="0.35">
      <c r="J51" s="163" t="s">
        <v>613</v>
      </c>
      <c r="K51" s="689">
        <v>105.4</v>
      </c>
      <c r="L51" s="175"/>
      <c r="M51" s="175"/>
      <c r="N51" s="164"/>
    </row>
    <row r="52" spans="6:14" x14ac:dyDescent="0.35">
      <c r="J52" s="163" t="s">
        <v>612</v>
      </c>
      <c r="K52" s="687">
        <f>M34*10^-6</f>
        <v>23.234462000000001</v>
      </c>
      <c r="L52" s="690">
        <f>K52/K51</f>
        <v>0.22044081593927894</v>
      </c>
      <c r="M52" s="175"/>
      <c r="N52" s="164"/>
    </row>
    <row r="53" spans="6:14" x14ac:dyDescent="0.35">
      <c r="J53" s="163" t="s">
        <v>614</v>
      </c>
      <c r="K53" s="687">
        <v>2.125</v>
      </c>
      <c r="L53" s="690">
        <f>K53/K51</f>
        <v>2.0161290322580645E-2</v>
      </c>
      <c r="M53" s="175"/>
      <c r="N53" s="164"/>
    </row>
    <row r="54" spans="6:14" ht="15" thickBot="1" x14ac:dyDescent="0.4">
      <c r="J54" s="168"/>
      <c r="K54" s="679"/>
      <c r="L54" s="680"/>
      <c r="M54" s="680"/>
      <c r="N54" s="172"/>
    </row>
  </sheetData>
  <hyperlinks>
    <hyperlink ref="L8" r:id="rId1" xr:uid="{CC6E9707-04B1-41FD-8B83-19BDFBE26526}"/>
    <hyperlink ref="L9" r:id="rId2" xr:uid="{8A0F78DA-9703-4A11-A62D-7660BBB7B435}"/>
  </hyperlinks>
  <pageMargins left="0.25" right="0.25" top="0.75" bottom="0.75" header="0.3" footer="0.3"/>
  <pageSetup paperSize="9" scale="64" orientation="landscape" verticalDpi="1200" r:id="rId3"/>
  <colBreaks count="1" manualBreakCount="1">
    <brk id="8" max="1048575" man="1"/>
  </colBreaks>
  <ignoredErrors>
    <ignoredError sqref="F9:F11 F1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350D-FDAA-41B0-B646-0851DEE3AA18}">
  <sheetPr>
    <tabColor theme="9" tint="-0.249977111117893"/>
  </sheetPr>
  <dimension ref="B2:O50"/>
  <sheetViews>
    <sheetView zoomScale="90" zoomScaleNormal="90" workbookViewId="0">
      <selection activeCell="H21" sqref="H21"/>
    </sheetView>
  </sheetViews>
  <sheetFormatPr defaultColWidth="9.1796875" defaultRowHeight="13" outlineLevelCol="1" x14ac:dyDescent="0.3"/>
  <cols>
    <col min="1" max="1" width="5.54296875" style="136" customWidth="1"/>
    <col min="2" max="2" width="22.54296875" style="136" customWidth="1"/>
    <col min="3" max="3" width="26.81640625" style="136" bestFit="1" customWidth="1"/>
    <col min="4" max="4" width="21.54296875" style="145" customWidth="1"/>
    <col min="5" max="5" width="12.54296875" style="136" customWidth="1"/>
    <col min="6" max="6" width="11.81640625" style="136" customWidth="1"/>
    <col min="7" max="7" width="17" style="136" customWidth="1" outlineLevel="1"/>
    <col min="8" max="8" width="19.26953125" style="147" customWidth="1" outlineLevel="1"/>
    <col min="9" max="9" width="19.7265625" style="136" customWidth="1" outlineLevel="1"/>
    <col min="10" max="10" width="17.81640625" style="136" customWidth="1"/>
    <col min="11" max="11" width="9.54296875" style="136" bestFit="1" customWidth="1"/>
    <col min="12" max="16384" width="9.1796875" style="136"/>
  </cols>
  <sheetData>
    <row r="2" spans="2:15" s="128" customFormat="1" x14ac:dyDescent="0.3">
      <c r="B2" s="190" t="s">
        <v>483</v>
      </c>
      <c r="C2" s="191"/>
      <c r="D2" s="192"/>
      <c r="E2" s="193"/>
      <c r="F2" s="193"/>
      <c r="G2" s="193"/>
      <c r="H2" s="193"/>
      <c r="I2" s="193"/>
      <c r="J2" s="193"/>
      <c r="K2" s="193"/>
    </row>
    <row r="3" spans="2:15" s="128" customFormat="1" ht="36" customHeight="1" x14ac:dyDescent="0.3">
      <c r="B3" s="125" t="s">
        <v>5</v>
      </c>
      <c r="C3" s="125" t="s">
        <v>6</v>
      </c>
      <c r="D3" s="126" t="s">
        <v>7</v>
      </c>
      <c r="E3" s="127" t="s">
        <v>135</v>
      </c>
      <c r="F3" s="127" t="s">
        <v>184</v>
      </c>
      <c r="G3" s="127" t="s">
        <v>84</v>
      </c>
      <c r="H3" s="127" t="s">
        <v>624</v>
      </c>
      <c r="I3" s="127" t="s">
        <v>623</v>
      </c>
      <c r="J3" s="127" t="s">
        <v>187</v>
      </c>
      <c r="K3" s="127" t="s">
        <v>28</v>
      </c>
    </row>
    <row r="4" spans="2:15" ht="12.75" customHeight="1" x14ac:dyDescent="0.3">
      <c r="B4" s="129" t="str">
        <f>VLOOKUP(C4,'S | 01 '!$C$10:$F$43,4,0)</f>
        <v>Mozn</v>
      </c>
      <c r="C4" s="130" t="s">
        <v>57</v>
      </c>
      <c r="D4" s="131">
        <v>43470</v>
      </c>
      <c r="E4" s="134">
        <f t="shared" ref="E4:E27" si="0">-I4*10^-6</f>
        <v>-30</v>
      </c>
      <c r="F4" s="133"/>
      <c r="G4" s="132" t="s">
        <v>12</v>
      </c>
      <c r="H4" s="133">
        <v>30000000</v>
      </c>
      <c r="I4" s="711">
        <f t="shared" ref="I4:I14" si="1">H4</f>
        <v>30000000</v>
      </c>
      <c r="J4" s="135">
        <v>6100312</v>
      </c>
      <c r="K4" s="132"/>
      <c r="L4" s="147"/>
      <c r="N4" s="128" t="s">
        <v>172</v>
      </c>
    </row>
    <row r="5" spans="2:15" ht="12.75" customHeight="1" x14ac:dyDescent="0.3">
      <c r="B5" s="129" t="str">
        <f>VLOOKUP(C5,'S | 01 '!$C$10:$F$43,4,0)</f>
        <v>Mozn</v>
      </c>
      <c r="C5" s="130" t="s">
        <v>57</v>
      </c>
      <c r="D5" s="131">
        <v>43724</v>
      </c>
      <c r="E5" s="134">
        <f t="shared" si="0"/>
        <v>-20</v>
      </c>
      <c r="F5" s="133"/>
      <c r="G5" s="132" t="s">
        <v>12</v>
      </c>
      <c r="H5" s="133">
        <v>20000000</v>
      </c>
      <c r="I5" s="711">
        <f t="shared" si="1"/>
        <v>20000000</v>
      </c>
      <c r="J5" s="135">
        <v>4204767.4285714282</v>
      </c>
      <c r="K5" s="132"/>
      <c r="L5" s="147"/>
      <c r="N5" s="136" t="s">
        <v>134</v>
      </c>
      <c r="O5" s="147">
        <v>3.6779999999999999</v>
      </c>
    </row>
    <row r="6" spans="2:15" ht="12.75" customHeight="1" x14ac:dyDescent="0.3">
      <c r="B6" s="129" t="str">
        <f>VLOOKUP(C6,'S | 01 '!$C$10:$F$43,4,0)</f>
        <v>Mozn</v>
      </c>
      <c r="C6" s="130" t="s">
        <v>57</v>
      </c>
      <c r="D6" s="131">
        <v>43724</v>
      </c>
      <c r="E6" s="134">
        <f t="shared" si="0"/>
        <v>-15</v>
      </c>
      <c r="F6" s="133"/>
      <c r="G6" s="132" t="s">
        <v>12</v>
      </c>
      <c r="H6" s="133">
        <v>15000000</v>
      </c>
      <c r="I6" s="711">
        <f t="shared" si="1"/>
        <v>15000000</v>
      </c>
      <c r="J6" s="135">
        <v>3153575.5714285714</v>
      </c>
      <c r="K6" s="132"/>
      <c r="L6" s="147"/>
    </row>
    <row r="7" spans="2:15" ht="12.75" customHeight="1" x14ac:dyDescent="0.3">
      <c r="B7" s="137" t="str">
        <f>VLOOKUP(C7,'S | 01 '!$C$10:$F$43,4,0)</f>
        <v>Mozn</v>
      </c>
      <c r="C7" s="138" t="s">
        <v>0</v>
      </c>
      <c r="D7" s="139">
        <v>43563</v>
      </c>
      <c r="E7" s="142">
        <f t="shared" si="0"/>
        <v>-8</v>
      </c>
      <c r="F7" s="141"/>
      <c r="G7" s="140" t="s">
        <v>12</v>
      </c>
      <c r="H7" s="141">
        <v>8000000</v>
      </c>
      <c r="I7" s="712">
        <f t="shared" si="1"/>
        <v>8000000</v>
      </c>
      <c r="J7" s="143">
        <v>21419829</v>
      </c>
      <c r="K7" s="140"/>
      <c r="L7" s="147"/>
    </row>
    <row r="8" spans="2:15" ht="12.75" customHeight="1" x14ac:dyDescent="0.3">
      <c r="B8" s="129" t="str">
        <f>VLOOKUP(C8,'S | 01 '!$C$10:$F$43,4,0)</f>
        <v>Mozn</v>
      </c>
      <c r="C8" s="130" t="s">
        <v>48</v>
      </c>
      <c r="D8" s="131">
        <v>43570</v>
      </c>
      <c r="E8" s="134">
        <f t="shared" si="0"/>
        <v>-4.9999980900000001</v>
      </c>
      <c r="F8" s="133"/>
      <c r="G8" s="132" t="s">
        <v>12</v>
      </c>
      <c r="H8" s="133">
        <v>4999998.09</v>
      </c>
      <c r="I8" s="711">
        <f t="shared" si="1"/>
        <v>4999998.09</v>
      </c>
      <c r="J8" s="135">
        <v>2625467</v>
      </c>
      <c r="K8" s="132"/>
      <c r="L8" s="147"/>
    </row>
    <row r="9" spans="2:15" ht="12.75" customHeight="1" x14ac:dyDescent="0.3">
      <c r="B9" s="129" t="str">
        <f>VLOOKUP(C9,'S | 01 '!$C$10:$F$43,4,0)</f>
        <v>Mozn</v>
      </c>
      <c r="C9" s="130" t="s">
        <v>48</v>
      </c>
      <c r="D9" s="131">
        <v>43915</v>
      </c>
      <c r="E9" s="134">
        <f t="shared" si="0"/>
        <v>-5.0000019099999999</v>
      </c>
      <c r="F9" s="133"/>
      <c r="G9" s="132" t="s">
        <v>12</v>
      </c>
      <c r="H9" s="133">
        <f>10000000-H8</f>
        <v>5000001.91</v>
      </c>
      <c r="I9" s="711">
        <f t="shared" si="1"/>
        <v>5000001.91</v>
      </c>
      <c r="J9" s="135">
        <v>2580015</v>
      </c>
      <c r="K9" s="132"/>
      <c r="L9" s="147"/>
    </row>
    <row r="10" spans="2:15" ht="12.75" customHeight="1" x14ac:dyDescent="0.3">
      <c r="B10" s="137" t="str">
        <f>VLOOKUP(C10,'S | 01 '!$C$10:$F$43,4,0)</f>
        <v>Mozn</v>
      </c>
      <c r="C10" s="138" t="s">
        <v>49</v>
      </c>
      <c r="D10" s="139">
        <v>43870</v>
      </c>
      <c r="E10" s="142">
        <f t="shared" si="0"/>
        <v>-2.5</v>
      </c>
      <c r="F10" s="141"/>
      <c r="G10" s="140" t="s">
        <v>12</v>
      </c>
      <c r="H10" s="141">
        <v>2500000</v>
      </c>
      <c r="I10" s="712">
        <f t="shared" si="1"/>
        <v>2500000</v>
      </c>
      <c r="J10" s="143" t="s">
        <v>114</v>
      </c>
      <c r="K10" s="140"/>
      <c r="L10" s="147"/>
    </row>
    <row r="11" spans="2:15" ht="12.75" customHeight="1" x14ac:dyDescent="0.3">
      <c r="B11" s="129" t="str">
        <f>VLOOKUP(C11,'S | 01 '!$C$10:$F$43,4,0)</f>
        <v>Mozn</v>
      </c>
      <c r="C11" s="130" t="s">
        <v>47</v>
      </c>
      <c r="D11" s="131">
        <v>43879</v>
      </c>
      <c r="E11" s="134">
        <f t="shared" si="0"/>
        <v>-20</v>
      </c>
      <c r="F11" s="133"/>
      <c r="G11" s="132" t="s">
        <v>12</v>
      </c>
      <c r="H11" s="133">
        <v>20000000</v>
      </c>
      <c r="I11" s="711">
        <f t="shared" si="1"/>
        <v>20000000</v>
      </c>
      <c r="J11" s="135">
        <v>4084038</v>
      </c>
      <c r="K11" s="132"/>
      <c r="L11" s="147"/>
    </row>
    <row r="12" spans="2:15" ht="12.75" customHeight="1" x14ac:dyDescent="0.3">
      <c r="B12" s="129" t="str">
        <f>VLOOKUP(C12,'S | 01 '!$C$10:$F$43,4,0)</f>
        <v>Mozn</v>
      </c>
      <c r="C12" s="130" t="s">
        <v>47</v>
      </c>
      <c r="D12" s="131">
        <v>43921</v>
      </c>
      <c r="E12" s="134">
        <f t="shared" si="0"/>
        <v>-30</v>
      </c>
      <c r="F12" s="133"/>
      <c r="G12" s="132" t="s">
        <v>12</v>
      </c>
      <c r="H12" s="133">
        <v>30000000</v>
      </c>
      <c r="I12" s="711">
        <f t="shared" si="1"/>
        <v>30000000</v>
      </c>
      <c r="J12" s="135">
        <v>5822642</v>
      </c>
      <c r="K12" s="132"/>
      <c r="L12" s="147"/>
    </row>
    <row r="13" spans="2:15" ht="12.75" customHeight="1" x14ac:dyDescent="0.3">
      <c r="B13" s="129" t="str">
        <f>VLOOKUP(C13,'S | 01 '!$C$10:$F$43,4,0)</f>
        <v>Mozn</v>
      </c>
      <c r="C13" s="130" t="s">
        <v>47</v>
      </c>
      <c r="D13" s="131">
        <v>43989</v>
      </c>
      <c r="E13" s="134">
        <f t="shared" si="0"/>
        <v>-30</v>
      </c>
      <c r="F13" s="133"/>
      <c r="G13" s="132" t="s">
        <v>12</v>
      </c>
      <c r="H13" s="133">
        <v>30000000</v>
      </c>
      <c r="I13" s="711">
        <f t="shared" si="1"/>
        <v>30000000</v>
      </c>
      <c r="J13" s="135">
        <v>5822642</v>
      </c>
      <c r="K13" s="132"/>
      <c r="L13" s="147"/>
    </row>
    <row r="14" spans="2:15" ht="12.75" customHeight="1" x14ac:dyDescent="0.3">
      <c r="B14" s="129" t="str">
        <f>VLOOKUP(C14,'S | 01 '!$C$10:$F$43,4,0)</f>
        <v>Mozn</v>
      </c>
      <c r="C14" s="130" t="s">
        <v>47</v>
      </c>
      <c r="D14" s="131">
        <v>44103</v>
      </c>
      <c r="E14" s="134">
        <f t="shared" si="0"/>
        <v>-10</v>
      </c>
      <c r="F14" s="133"/>
      <c r="G14" s="132" t="s">
        <v>12</v>
      </c>
      <c r="H14" s="133">
        <v>10000000</v>
      </c>
      <c r="I14" s="711">
        <f t="shared" si="1"/>
        <v>10000000</v>
      </c>
      <c r="J14" s="135">
        <v>1940880</v>
      </c>
      <c r="K14" s="132"/>
      <c r="L14" s="147"/>
    </row>
    <row r="15" spans="2:15" ht="12.75" customHeight="1" x14ac:dyDescent="0.3">
      <c r="B15" s="137" t="str">
        <f>VLOOKUP(C15,'S | 01 '!$C$10:$F$43,4,0)</f>
        <v>Mozn</v>
      </c>
      <c r="C15" s="138" t="s">
        <v>131</v>
      </c>
      <c r="D15" s="139">
        <v>43968</v>
      </c>
      <c r="E15" s="142">
        <f t="shared" si="0"/>
        <v>-50</v>
      </c>
      <c r="F15" s="141"/>
      <c r="G15" s="140" t="s">
        <v>12</v>
      </c>
      <c r="H15" s="141">
        <v>50000000</v>
      </c>
      <c r="I15" s="712">
        <v>50000000</v>
      </c>
      <c r="J15" s="143">
        <v>15277680</v>
      </c>
      <c r="K15" s="140"/>
      <c r="L15" s="147"/>
    </row>
    <row r="16" spans="2:15" ht="12.75" customHeight="1" x14ac:dyDescent="0.3">
      <c r="B16" s="137" t="str">
        <f>VLOOKUP(C16,'S | 01 '!$C$10:$F$43,4,0)</f>
        <v>Mozn</v>
      </c>
      <c r="C16" s="138" t="s">
        <v>131</v>
      </c>
      <c r="D16" s="139">
        <v>44006</v>
      </c>
      <c r="E16" s="142">
        <f t="shared" si="0"/>
        <v>-27.268350856443721</v>
      </c>
      <c r="F16" s="141"/>
      <c r="G16" s="140" t="s">
        <v>27</v>
      </c>
      <c r="H16" s="180">
        <v>21029625</v>
      </c>
      <c r="I16" s="712">
        <v>27268350.856443722</v>
      </c>
      <c r="J16" s="143">
        <v>9000000</v>
      </c>
      <c r="K16" s="140"/>
      <c r="L16" s="147"/>
    </row>
    <row r="17" spans="2:13" ht="12.75" customHeight="1" x14ac:dyDescent="0.3">
      <c r="B17" s="137" t="str">
        <f>VLOOKUP(C17,'S | 01 '!$C$10:$F$43,4,0)</f>
        <v>Mozn</v>
      </c>
      <c r="C17" s="138" t="s">
        <v>131</v>
      </c>
      <c r="D17" s="139">
        <v>43837</v>
      </c>
      <c r="E17" s="142">
        <f t="shared" si="0"/>
        <v>-18.109441299619355</v>
      </c>
      <c r="F17" s="141"/>
      <c r="G17" s="140" t="s">
        <v>27</v>
      </c>
      <c r="H17" s="180">
        <v>14386480</v>
      </c>
      <c r="I17" s="712">
        <v>18109441.299619358</v>
      </c>
      <c r="J17" s="143">
        <v>6362180</v>
      </c>
      <c r="K17" s="140"/>
      <c r="L17" s="147"/>
    </row>
    <row r="18" spans="2:13" ht="12.75" customHeight="1" x14ac:dyDescent="0.3">
      <c r="B18" s="137" t="str">
        <f>VLOOKUP(C18,'S | 01 '!$C$10:$F$43,4,0)</f>
        <v>Mozn</v>
      </c>
      <c r="C18" s="138" t="s">
        <v>131</v>
      </c>
      <c r="D18" s="139">
        <v>43990</v>
      </c>
      <c r="E18" s="142">
        <f t="shared" si="0"/>
        <v>-34.851687094159864</v>
      </c>
      <c r="F18" s="141"/>
      <c r="G18" s="140" t="s">
        <v>27</v>
      </c>
      <c r="H18" s="180">
        <v>26085572.879999999</v>
      </c>
      <c r="I18" s="712">
        <v>34851687.094159864</v>
      </c>
      <c r="J18" s="143">
        <v>11381140</v>
      </c>
      <c r="K18" s="140"/>
      <c r="L18" s="147"/>
    </row>
    <row r="19" spans="2:13" ht="12.75" customHeight="1" x14ac:dyDescent="0.3">
      <c r="B19" s="137" t="str">
        <f>VLOOKUP(C19,'S | 01 '!$C$10:$F$43,4,0)</f>
        <v>Mozn</v>
      </c>
      <c r="C19" s="138" t="s">
        <v>131</v>
      </c>
      <c r="D19" s="139">
        <v>44315</v>
      </c>
      <c r="E19" s="142">
        <f t="shared" si="0"/>
        <v>-11.240780424143557</v>
      </c>
      <c r="F19" s="141"/>
      <c r="G19" s="140" t="s">
        <v>27</v>
      </c>
      <c r="H19" s="180">
        <v>8074920</v>
      </c>
      <c r="I19" s="712">
        <v>11240780.424143557</v>
      </c>
      <c r="J19" s="143">
        <v>2307120</v>
      </c>
      <c r="K19" s="140"/>
      <c r="L19" s="147"/>
    </row>
    <row r="20" spans="2:13" ht="12.75" customHeight="1" x14ac:dyDescent="0.3">
      <c r="B20" s="129" t="str">
        <f>VLOOKUP(C20,'S | 01 '!$C$10:$F$43,4,0)</f>
        <v>Mozn</v>
      </c>
      <c r="C20" s="130" t="s">
        <v>11</v>
      </c>
      <c r="D20" s="131">
        <v>44166</v>
      </c>
      <c r="E20" s="134">
        <f t="shared" si="0"/>
        <v>-60</v>
      </c>
      <c r="F20" s="133"/>
      <c r="G20" s="132" t="s">
        <v>12</v>
      </c>
      <c r="H20" s="133">
        <v>60000000</v>
      </c>
      <c r="I20" s="711">
        <f>H20</f>
        <v>60000000</v>
      </c>
      <c r="J20" s="135">
        <v>4753356.29</v>
      </c>
      <c r="K20" s="132"/>
      <c r="L20" s="147"/>
    </row>
    <row r="21" spans="2:13" ht="12.75" customHeight="1" x14ac:dyDescent="0.3">
      <c r="B21" s="137" t="str">
        <f>VLOOKUP(C21,'S | 01 '!$C$10:$F$43,4,0)</f>
        <v>Mozn 1</v>
      </c>
      <c r="C21" s="138" t="s">
        <v>24</v>
      </c>
      <c r="D21" s="139">
        <v>44363</v>
      </c>
      <c r="E21" s="142">
        <f t="shared" si="0"/>
        <v>-20</v>
      </c>
      <c r="F21" s="141"/>
      <c r="G21" s="140" t="s">
        <v>12</v>
      </c>
      <c r="H21" s="141">
        <v>20000000</v>
      </c>
      <c r="I21" s="712">
        <f>H21</f>
        <v>20000000</v>
      </c>
      <c r="J21" s="143">
        <v>7959497</v>
      </c>
      <c r="K21" s="140"/>
      <c r="L21" s="147"/>
    </row>
    <row r="22" spans="2:13" ht="12.75" customHeight="1" x14ac:dyDescent="0.3">
      <c r="B22" s="129" t="str">
        <f>VLOOKUP(C22,'S | 01 '!$C$10:$F$43,4,0)</f>
        <v>Mozn</v>
      </c>
      <c r="C22" s="130" t="s">
        <v>50</v>
      </c>
      <c r="D22" s="131">
        <v>44488</v>
      </c>
      <c r="E22" s="134">
        <f t="shared" si="0"/>
        <v>-39.999983359999995</v>
      </c>
      <c r="F22" s="133"/>
      <c r="G22" s="132" t="s">
        <v>12</v>
      </c>
      <c r="H22" s="133">
        <v>39999983.359999999</v>
      </c>
      <c r="I22" s="711">
        <f>H22</f>
        <v>39999983.359999999</v>
      </c>
      <c r="J22" s="135">
        <v>1441711</v>
      </c>
      <c r="K22" s="132"/>
      <c r="L22" s="147"/>
    </row>
    <row r="23" spans="2:13" ht="12.75" customHeight="1" x14ac:dyDescent="0.3">
      <c r="B23" s="137" t="str">
        <f>VLOOKUP(C23,'S | 01 '!$C$10:$F$43,4,0)</f>
        <v>Mozn</v>
      </c>
      <c r="C23" s="138" t="s">
        <v>51</v>
      </c>
      <c r="D23" s="139">
        <v>44494</v>
      </c>
      <c r="E23" s="142">
        <f t="shared" si="0"/>
        <v>-3</v>
      </c>
      <c r="F23" s="141"/>
      <c r="G23" s="140" t="s">
        <v>12</v>
      </c>
      <c r="H23" s="141">
        <v>3000000</v>
      </c>
      <c r="I23" s="712">
        <f>H23</f>
        <v>3000000</v>
      </c>
      <c r="J23" s="143">
        <v>3000000</v>
      </c>
      <c r="K23" s="140"/>
      <c r="L23" s="147"/>
    </row>
    <row r="24" spans="2:13" ht="12.75" customHeight="1" x14ac:dyDescent="0.3">
      <c r="B24" s="129" t="str">
        <f>VLOOKUP(C24,'S | 01 '!$C$10:$F$43,4,0)</f>
        <v>Mozn</v>
      </c>
      <c r="C24" s="130" t="s">
        <v>52</v>
      </c>
      <c r="D24" s="131">
        <v>44550</v>
      </c>
      <c r="E24" s="134">
        <f t="shared" si="0"/>
        <v>-5.0237201984774336</v>
      </c>
      <c r="F24" s="133"/>
      <c r="G24" s="132" t="s">
        <v>27</v>
      </c>
      <c r="H24" s="181">
        <v>3679995.54</v>
      </c>
      <c r="I24" s="711">
        <v>5023720.198477434</v>
      </c>
      <c r="J24" s="135">
        <v>33267</v>
      </c>
      <c r="K24" s="132"/>
      <c r="L24" s="147"/>
    </row>
    <row r="25" spans="2:13" ht="12.75" customHeight="1" x14ac:dyDescent="0.3">
      <c r="B25" s="137" t="str">
        <f>VLOOKUP(C25,'S | 01 '!$C$10:$F$43,4,0)</f>
        <v>Mozn 2</v>
      </c>
      <c r="C25" s="138" t="s">
        <v>113</v>
      </c>
      <c r="D25" s="139">
        <v>44574</v>
      </c>
      <c r="E25" s="142">
        <f t="shared" si="0"/>
        <v>-493.50095619999996</v>
      </c>
      <c r="F25" s="141"/>
      <c r="G25" s="140" t="s">
        <v>12</v>
      </c>
      <c r="H25" s="141">
        <v>893500956.20000005</v>
      </c>
      <c r="I25" s="712">
        <v>493500956.19999999</v>
      </c>
      <c r="J25" s="143"/>
      <c r="K25" s="140"/>
      <c r="L25" s="147"/>
    </row>
    <row r="26" spans="2:13" ht="12.75" customHeight="1" x14ac:dyDescent="0.3">
      <c r="B26" s="129" t="str">
        <f>VLOOKUP(C26,'S | 01 '!$C$10:$F$43,4,0)</f>
        <v>G42</v>
      </c>
      <c r="C26" s="130" t="s">
        <v>25</v>
      </c>
      <c r="D26" s="131">
        <v>44643</v>
      </c>
      <c r="E26" s="134">
        <f t="shared" si="0"/>
        <v>-200</v>
      </c>
      <c r="F26" s="133"/>
      <c r="G26" s="132" t="s">
        <v>12</v>
      </c>
      <c r="H26" s="133">
        <v>200000000</v>
      </c>
      <c r="I26" s="711">
        <f>H26</f>
        <v>200000000</v>
      </c>
      <c r="J26" s="135"/>
      <c r="K26" s="132"/>
      <c r="L26" s="147"/>
    </row>
    <row r="27" spans="2:13" ht="12.75" customHeight="1" x14ac:dyDescent="0.3">
      <c r="B27" s="129" t="str">
        <f>VLOOKUP(C27,'S | 01 '!$C$10:$F$43,4,0)</f>
        <v>G42</v>
      </c>
      <c r="C27" s="130" t="s">
        <v>25</v>
      </c>
      <c r="D27" s="131">
        <v>44680</v>
      </c>
      <c r="E27" s="134">
        <f t="shared" si="0"/>
        <v>-100</v>
      </c>
      <c r="F27" s="133"/>
      <c r="G27" s="132" t="s">
        <v>12</v>
      </c>
      <c r="H27" s="133">
        <v>100000000</v>
      </c>
      <c r="I27" s="711">
        <f>H27</f>
        <v>100000000</v>
      </c>
      <c r="J27" s="135"/>
      <c r="K27" s="132"/>
      <c r="L27" s="147"/>
    </row>
    <row r="28" spans="2:13" ht="12.75" customHeight="1" x14ac:dyDescent="0.3">
      <c r="B28" s="137" t="str">
        <f>VLOOKUP(C28,'S | 01 '!$C$10:$F$43,4,0)</f>
        <v>Mozn</v>
      </c>
      <c r="C28" s="138" t="s">
        <v>49</v>
      </c>
      <c r="D28" s="139">
        <v>44691</v>
      </c>
      <c r="E28" s="142"/>
      <c r="F28" s="142">
        <v>5</v>
      </c>
      <c r="G28" s="140" t="s">
        <v>12</v>
      </c>
      <c r="H28" s="141"/>
      <c r="I28" s="712"/>
      <c r="J28" s="143"/>
      <c r="K28" s="140"/>
      <c r="L28" s="147"/>
    </row>
    <row r="29" spans="2:13" ht="12.75" customHeight="1" x14ac:dyDescent="0.3">
      <c r="B29" s="129" t="str">
        <f>VLOOKUP(C29,'S | 01 '!$C$10:$F$43,4,0)</f>
        <v>G42</v>
      </c>
      <c r="C29" s="130" t="s">
        <v>132</v>
      </c>
      <c r="D29" s="131">
        <v>44712</v>
      </c>
      <c r="E29" s="134">
        <f>-I29*10^-6</f>
        <v>-12.5</v>
      </c>
      <c r="F29" s="133"/>
      <c r="G29" s="132" t="s">
        <v>12</v>
      </c>
      <c r="H29" s="133">
        <v>12500000</v>
      </c>
      <c r="I29" s="711">
        <f t="shared" ref="I29:I35" si="2">H29</f>
        <v>12500000</v>
      </c>
      <c r="J29" s="135">
        <v>10386274</v>
      </c>
      <c r="K29" s="132"/>
      <c r="L29" s="147"/>
    </row>
    <row r="30" spans="2:13" ht="12.75" customHeight="1" x14ac:dyDescent="0.3">
      <c r="B30" s="137" t="str">
        <f>VLOOKUP(C30,'S | 01 '!$C$10:$F$43,4,0)</f>
        <v>G42 3</v>
      </c>
      <c r="C30" s="138" t="s">
        <v>44</v>
      </c>
      <c r="D30" s="139">
        <v>44769</v>
      </c>
      <c r="E30" s="142">
        <f t="shared" ref="E30:E38" si="3">-I30*10^-6</f>
        <v>-600</v>
      </c>
      <c r="F30" s="141"/>
      <c r="G30" s="140" t="s">
        <v>12</v>
      </c>
      <c r="H30" s="141">
        <v>600000000</v>
      </c>
      <c r="I30" s="712">
        <f t="shared" si="2"/>
        <v>600000000</v>
      </c>
      <c r="J30" s="143"/>
      <c r="K30" s="140"/>
      <c r="L30" s="147"/>
      <c r="M30" s="128"/>
    </row>
    <row r="31" spans="2:13" ht="12.75" customHeight="1" x14ac:dyDescent="0.3">
      <c r="B31" s="137" t="str">
        <f>VLOOKUP(C31,'S | 01 '!$C$10:$F$43,4,0)</f>
        <v>G42 3</v>
      </c>
      <c r="C31" s="138" t="s">
        <v>44</v>
      </c>
      <c r="D31" s="139">
        <v>44849</v>
      </c>
      <c r="E31" s="142">
        <f t="shared" si="3"/>
        <v>-200</v>
      </c>
      <c r="F31" s="141"/>
      <c r="G31" s="140" t="s">
        <v>12</v>
      </c>
      <c r="H31" s="141">
        <v>200000000</v>
      </c>
      <c r="I31" s="712">
        <f t="shared" si="2"/>
        <v>200000000</v>
      </c>
      <c r="J31" s="143"/>
      <c r="K31" s="140"/>
      <c r="L31" s="147"/>
    </row>
    <row r="32" spans="2:13" ht="12.75" customHeight="1" x14ac:dyDescent="0.3">
      <c r="B32" s="129" t="str">
        <f>VLOOKUP(C32,'S | 01 '!$C$10:$F$43,4,0)</f>
        <v>Mozn</v>
      </c>
      <c r="C32" s="130" t="s">
        <v>396</v>
      </c>
      <c r="D32" s="131">
        <v>44861</v>
      </c>
      <c r="E32" s="134">
        <f t="shared" si="3"/>
        <v>-4.75</v>
      </c>
      <c r="F32" s="133"/>
      <c r="G32" s="132" t="s">
        <v>12</v>
      </c>
      <c r="H32" s="133">
        <v>4750000</v>
      </c>
      <c r="I32" s="711">
        <f t="shared" si="2"/>
        <v>4750000</v>
      </c>
      <c r="J32" s="135"/>
      <c r="K32" s="132"/>
      <c r="L32" s="147"/>
    </row>
    <row r="33" spans="2:13" ht="12.75" customHeight="1" x14ac:dyDescent="0.3">
      <c r="B33" s="137" t="str">
        <f>VLOOKUP(C33,'S | 01 '!$C$10:$F$43,4,0)</f>
        <v>Mozn 4</v>
      </c>
      <c r="C33" s="138" t="s">
        <v>433</v>
      </c>
      <c r="D33" s="139">
        <v>44892</v>
      </c>
      <c r="E33" s="142">
        <f t="shared" si="3"/>
        <v>-15</v>
      </c>
      <c r="F33" s="141"/>
      <c r="G33" s="140" t="s">
        <v>12</v>
      </c>
      <c r="H33" s="141">
        <v>15000000</v>
      </c>
      <c r="I33" s="712">
        <f t="shared" si="2"/>
        <v>15000000</v>
      </c>
      <c r="J33" s="143"/>
      <c r="K33" s="140"/>
      <c r="L33" s="147"/>
      <c r="M33" s="128"/>
    </row>
    <row r="34" spans="2:13" ht="12.75" customHeight="1" x14ac:dyDescent="0.3">
      <c r="B34" s="129" t="str">
        <f>VLOOKUP(C34,'S | 01 '!$C$10:$F$43,4,0)</f>
        <v>G42</v>
      </c>
      <c r="C34" s="130" t="s">
        <v>132</v>
      </c>
      <c r="D34" s="131">
        <v>44985</v>
      </c>
      <c r="E34" s="134">
        <f t="shared" si="3"/>
        <v>-12.03125</v>
      </c>
      <c r="F34" s="133"/>
      <c r="G34" s="132" t="s">
        <v>12</v>
      </c>
      <c r="H34" s="133">
        <v>12031250</v>
      </c>
      <c r="I34" s="711">
        <f t="shared" si="2"/>
        <v>12031250</v>
      </c>
      <c r="J34" s="135">
        <v>10386274</v>
      </c>
      <c r="K34" s="132"/>
      <c r="L34" s="147"/>
    </row>
    <row r="35" spans="2:13" ht="12.75" customHeight="1" x14ac:dyDescent="0.3">
      <c r="B35" s="137" t="str">
        <f>VLOOKUP(C35,'S | 01 '!$C$10:$F$43,4,0)</f>
        <v>Mozn</v>
      </c>
      <c r="C35" s="138" t="s">
        <v>539</v>
      </c>
      <c r="D35" s="139">
        <v>45075</v>
      </c>
      <c r="E35" s="142">
        <f t="shared" si="3"/>
        <v>-14.999998939999999</v>
      </c>
      <c r="F35" s="142"/>
      <c r="G35" s="140" t="s">
        <v>12</v>
      </c>
      <c r="H35" s="141">
        <v>14999998.939999999</v>
      </c>
      <c r="I35" s="712">
        <f t="shared" si="2"/>
        <v>14999998.939999999</v>
      </c>
      <c r="J35" s="143"/>
      <c r="K35" s="140"/>
      <c r="L35" s="147"/>
    </row>
    <row r="36" spans="2:13" ht="12.75" customHeight="1" x14ac:dyDescent="0.3">
      <c r="B36" s="129" t="str">
        <f>VLOOKUP(C36,'S | 01 '!$C$10:$F$43,4,0)</f>
        <v>Mozn</v>
      </c>
      <c r="C36" s="130" t="s">
        <v>622</v>
      </c>
      <c r="D36" s="131">
        <v>45075</v>
      </c>
      <c r="E36" s="134">
        <f t="shared" si="3"/>
        <v>-5.875E-3</v>
      </c>
      <c r="F36" s="133"/>
      <c r="G36" s="132" t="s">
        <v>12</v>
      </c>
      <c r="H36" s="133"/>
      <c r="I36" s="711">
        <v>5875</v>
      </c>
      <c r="J36" s="135"/>
      <c r="K36" s="132"/>
      <c r="L36" s="147"/>
    </row>
    <row r="37" spans="2:13" ht="12.75" customHeight="1" x14ac:dyDescent="0.3">
      <c r="B37" s="129" t="str">
        <f>VLOOKUP(C37,'S | 01 '!$C$10:$F$43,4,0)</f>
        <v>Mozn</v>
      </c>
      <c r="C37" s="130" t="s">
        <v>622</v>
      </c>
      <c r="D37" s="131">
        <v>45114</v>
      </c>
      <c r="E37" s="134">
        <f t="shared" si="3"/>
        <v>-1E-3</v>
      </c>
      <c r="F37" s="133"/>
      <c r="G37" s="132" t="s">
        <v>12</v>
      </c>
      <c r="H37" s="133"/>
      <c r="I37" s="711">
        <v>1000</v>
      </c>
      <c r="J37" s="135"/>
      <c r="K37" s="132"/>
      <c r="L37" s="147"/>
    </row>
    <row r="38" spans="2:13" ht="12.75" customHeight="1" x14ac:dyDescent="0.3">
      <c r="B38" s="137" t="str">
        <f>VLOOKUP(C38,'S | 01 '!$C$10:$F$43,4,0)</f>
        <v>Mozn</v>
      </c>
      <c r="C38" s="138" t="s">
        <v>396</v>
      </c>
      <c r="D38" s="139">
        <v>45121</v>
      </c>
      <c r="E38" s="142">
        <f t="shared" si="3"/>
        <v>-2.75</v>
      </c>
      <c r="F38" s="142"/>
      <c r="G38" s="140" t="s">
        <v>12</v>
      </c>
      <c r="H38" s="141"/>
      <c r="I38" s="712">
        <v>2750000</v>
      </c>
      <c r="J38" s="143"/>
      <c r="K38" s="140"/>
      <c r="L38" s="147"/>
    </row>
    <row r="39" spans="2:13" ht="12.75" customHeight="1" x14ac:dyDescent="0.3">
      <c r="B39" s="137" t="str">
        <f>VLOOKUP(C39,'S | 01 '!$C$10:$F$43,4,0)</f>
        <v>Mozn</v>
      </c>
      <c r="C39" s="138" t="s">
        <v>52</v>
      </c>
      <c r="D39" s="139">
        <v>45138</v>
      </c>
      <c r="E39" s="142"/>
      <c r="F39" s="142">
        <f>I39*10^-6</f>
        <v>7.8207760999999989</v>
      </c>
      <c r="G39" s="140" t="s">
        <v>12</v>
      </c>
      <c r="H39" s="180">
        <v>6090345.2199999997</v>
      </c>
      <c r="I39" s="712">
        <v>7820776.0999999996</v>
      </c>
      <c r="J39" s="143"/>
      <c r="K39" s="143"/>
      <c r="L39" s="715"/>
    </row>
    <row r="40" spans="2:13" x14ac:dyDescent="0.3">
      <c r="D40" s="553"/>
      <c r="H40" s="144"/>
      <c r="I40" s="713"/>
    </row>
    <row r="41" spans="2:13" s="128" customFormat="1" x14ac:dyDescent="0.3">
      <c r="B41" s="190" t="s">
        <v>185</v>
      </c>
      <c r="C41" s="191"/>
      <c r="D41" s="192"/>
      <c r="E41" s="193"/>
      <c r="F41" s="193"/>
      <c r="G41" s="193"/>
      <c r="H41" s="193"/>
      <c r="I41" s="714"/>
      <c r="J41" s="193"/>
      <c r="K41" s="193"/>
    </row>
    <row r="42" spans="2:13" ht="12.75" customHeight="1" x14ac:dyDescent="0.3">
      <c r="B42" s="129" t="s">
        <v>9</v>
      </c>
      <c r="C42" s="130" t="s">
        <v>58</v>
      </c>
      <c r="D42" s="131">
        <v>43635</v>
      </c>
      <c r="E42" s="134">
        <v>-8</v>
      </c>
      <c r="F42" s="133"/>
      <c r="G42" s="132" t="s">
        <v>12</v>
      </c>
      <c r="H42" s="133">
        <v>8000000</v>
      </c>
      <c r="I42" s="711">
        <f>H42</f>
        <v>8000000</v>
      </c>
      <c r="J42" s="135"/>
      <c r="K42" s="132"/>
    </row>
    <row r="43" spans="2:13" ht="12.75" customHeight="1" x14ac:dyDescent="0.3">
      <c r="B43" s="137" t="s">
        <v>9</v>
      </c>
      <c r="C43" s="138" t="s">
        <v>398</v>
      </c>
      <c r="D43" s="139">
        <v>44293</v>
      </c>
      <c r="E43" s="142">
        <v>-2.3539819999999998</v>
      </c>
      <c r="F43" s="141"/>
      <c r="G43" s="140" t="s">
        <v>12</v>
      </c>
      <c r="H43" s="141">
        <f>-E43*10^6</f>
        <v>2353982</v>
      </c>
      <c r="I43" s="712">
        <f>H43</f>
        <v>2353982</v>
      </c>
      <c r="J43" s="143"/>
      <c r="K43" s="140"/>
    </row>
    <row r="44" spans="2:13" ht="12.75" customHeight="1" x14ac:dyDescent="0.3">
      <c r="B44" s="129" t="s">
        <v>9</v>
      </c>
      <c r="C44" s="130" t="s">
        <v>390</v>
      </c>
      <c r="D44" s="131">
        <v>44384</v>
      </c>
      <c r="E44" s="134">
        <f>-I44*10^-6</f>
        <v>-0.41176499999999999</v>
      </c>
      <c r="F44" s="133"/>
      <c r="G44" s="132" t="s">
        <v>12</v>
      </c>
      <c r="H44" s="133">
        <v>2500000</v>
      </c>
      <c r="I44" s="711">
        <v>411765</v>
      </c>
      <c r="J44" s="135"/>
      <c r="K44" s="132"/>
    </row>
    <row r="45" spans="2:13" x14ac:dyDescent="0.3">
      <c r="B45" s="137" t="s">
        <v>9</v>
      </c>
      <c r="C45" s="138" t="s">
        <v>390</v>
      </c>
      <c r="D45" s="139">
        <v>44902</v>
      </c>
      <c r="E45" s="142"/>
      <c r="F45" s="142">
        <f>(411765+59019.65)*10^-6</f>
        <v>0.47078465000000003</v>
      </c>
      <c r="G45" s="140" t="s">
        <v>12</v>
      </c>
      <c r="H45" s="141">
        <f>F45*10^6</f>
        <v>470784.65</v>
      </c>
      <c r="I45" s="712">
        <v>470784.65</v>
      </c>
      <c r="J45" s="143"/>
      <c r="K45" s="140"/>
    </row>
    <row r="46" spans="2:13" x14ac:dyDescent="0.3">
      <c r="D46" s="554"/>
      <c r="I46" s="713"/>
      <c r="J46" s="146"/>
    </row>
    <row r="47" spans="2:13" x14ac:dyDescent="0.3">
      <c r="I47" s="713"/>
      <c r="J47" s="146"/>
    </row>
    <row r="48" spans="2:13" x14ac:dyDescent="0.3">
      <c r="I48" s="713"/>
    </row>
    <row r="49" spans="9:9" x14ac:dyDescent="0.3">
      <c r="I49" s="713"/>
    </row>
    <row r="50" spans="9:9" x14ac:dyDescent="0.3">
      <c r="I50" s="713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2F5-41F2-4107-9F69-101D6EF0D1A4}">
  <sheetPr>
    <tabColor theme="9" tint="-0.249977111117893"/>
  </sheetPr>
  <dimension ref="A2:H44"/>
  <sheetViews>
    <sheetView zoomScale="90" zoomScaleNormal="90" workbookViewId="0">
      <selection activeCell="C39" sqref="C39"/>
    </sheetView>
  </sheetViews>
  <sheetFormatPr defaultColWidth="9.1796875" defaultRowHeight="14.5" outlineLevelCol="1" x14ac:dyDescent="0.35"/>
  <cols>
    <col min="1" max="1" width="16.26953125" style="81" customWidth="1"/>
    <col min="2" max="2" width="30.1796875" style="80" bestFit="1" customWidth="1"/>
    <col min="3" max="3" width="15.81640625" style="80" customWidth="1"/>
    <col min="4" max="4" width="14.1796875" style="80" customWidth="1"/>
    <col min="5" max="5" width="13" style="80" customWidth="1"/>
    <col min="6" max="6" width="10.26953125" style="80" customWidth="1"/>
    <col min="7" max="7" width="16" style="80" customWidth="1" outlineLevel="1"/>
    <col min="8" max="8" width="47.81640625" style="80" customWidth="1"/>
    <col min="9" max="16384" width="9.1796875" style="80"/>
  </cols>
  <sheetData>
    <row r="2" spans="1:8" s="114" customFormat="1" ht="33.75" customHeight="1" x14ac:dyDescent="0.3">
      <c r="A2" s="112" t="s">
        <v>168</v>
      </c>
      <c r="B2" s="113" t="s">
        <v>6</v>
      </c>
      <c r="C2" s="112" t="s">
        <v>7</v>
      </c>
      <c r="D2" s="112" t="s">
        <v>223</v>
      </c>
      <c r="E2" s="112" t="s">
        <v>224</v>
      </c>
      <c r="F2" s="112" t="s">
        <v>29</v>
      </c>
      <c r="G2" s="112" t="s">
        <v>214</v>
      </c>
      <c r="H2" s="112" t="s">
        <v>8</v>
      </c>
    </row>
    <row r="3" spans="1:8" s="118" customFormat="1" ht="15.75" customHeight="1" x14ac:dyDescent="0.3">
      <c r="A3" s="115" t="s">
        <v>13</v>
      </c>
      <c r="B3" s="116" t="s">
        <v>15</v>
      </c>
      <c r="C3" s="415">
        <v>44153</v>
      </c>
      <c r="D3" s="117">
        <f>G3</f>
        <v>-10.5</v>
      </c>
      <c r="E3" s="117"/>
      <c r="F3" s="115" t="s">
        <v>12</v>
      </c>
      <c r="G3" s="117">
        <v>-10.5</v>
      </c>
      <c r="H3" s="115" t="s">
        <v>17</v>
      </c>
    </row>
    <row r="4" spans="1:8" s="118" customFormat="1" ht="15.75" customHeight="1" x14ac:dyDescent="0.3">
      <c r="A4" s="115" t="s">
        <v>13</v>
      </c>
      <c r="B4" s="116" t="s">
        <v>15</v>
      </c>
      <c r="C4" s="415">
        <v>44238</v>
      </c>
      <c r="D4" s="117">
        <f>G4</f>
        <v>4.2140269999999997</v>
      </c>
      <c r="E4" s="117"/>
      <c r="F4" s="119" t="s">
        <v>12</v>
      </c>
      <c r="G4" s="117">
        <v>4.2140269999999997</v>
      </c>
      <c r="H4" s="115" t="s">
        <v>18</v>
      </c>
    </row>
    <row r="5" spans="1:8" s="118" customFormat="1" ht="15.75" customHeight="1" x14ac:dyDescent="0.3">
      <c r="A5" s="115" t="s">
        <v>13</v>
      </c>
      <c r="B5" s="116" t="s">
        <v>15</v>
      </c>
      <c r="C5" s="415">
        <v>44238</v>
      </c>
      <c r="D5" s="117"/>
      <c r="E5" s="117">
        <f>G5</f>
        <v>5.0448349999999996E-2</v>
      </c>
      <c r="F5" s="119" t="s">
        <v>12</v>
      </c>
      <c r="G5" s="117">
        <v>5.0448349999999996E-2</v>
      </c>
      <c r="H5" s="115" t="s">
        <v>21</v>
      </c>
    </row>
    <row r="6" spans="1:8" s="118" customFormat="1" ht="15.75" customHeight="1" x14ac:dyDescent="0.3">
      <c r="A6" s="115" t="s">
        <v>13</v>
      </c>
      <c r="B6" s="116" t="s">
        <v>15</v>
      </c>
      <c r="C6" s="415">
        <v>44285</v>
      </c>
      <c r="D6" s="117">
        <f>G6</f>
        <v>-6.4337459999999993</v>
      </c>
      <c r="E6" s="117"/>
      <c r="F6" s="119" t="s">
        <v>12</v>
      </c>
      <c r="G6" s="117">
        <v>-6.4337459999999993</v>
      </c>
      <c r="H6" s="115" t="s">
        <v>19</v>
      </c>
    </row>
    <row r="7" spans="1:8" s="118" customFormat="1" ht="15.75" customHeight="1" x14ac:dyDescent="0.3">
      <c r="A7" s="115" t="s">
        <v>13</v>
      </c>
      <c r="B7" s="116" t="s">
        <v>15</v>
      </c>
      <c r="C7" s="415">
        <v>44269</v>
      </c>
      <c r="D7" s="117">
        <f>G7</f>
        <v>1.1352073899999999</v>
      </c>
      <c r="E7" s="117"/>
      <c r="F7" s="119" t="s">
        <v>12</v>
      </c>
      <c r="G7" s="117">
        <v>1.1352073899999999</v>
      </c>
      <c r="H7" s="115" t="s">
        <v>20</v>
      </c>
    </row>
    <row r="8" spans="1:8" s="118" customFormat="1" ht="15.75" customHeight="1" x14ac:dyDescent="0.3">
      <c r="A8" s="115" t="s">
        <v>13</v>
      </c>
      <c r="B8" s="116" t="s">
        <v>15</v>
      </c>
      <c r="C8" s="415">
        <v>44269</v>
      </c>
      <c r="D8" s="117"/>
      <c r="E8" s="117">
        <f>G8</f>
        <v>2.5899999999999999E-2</v>
      </c>
      <c r="F8" s="115" t="s">
        <v>12</v>
      </c>
      <c r="G8" s="117">
        <v>2.5899999999999999E-2</v>
      </c>
      <c r="H8" s="115" t="s">
        <v>21</v>
      </c>
    </row>
    <row r="9" spans="1:8" s="118" customFormat="1" ht="15.75" customHeight="1" x14ac:dyDescent="0.3">
      <c r="A9" s="115" t="s">
        <v>13</v>
      </c>
      <c r="B9" s="116" t="s">
        <v>15</v>
      </c>
      <c r="C9" s="415">
        <v>44483</v>
      </c>
      <c r="D9" s="117">
        <f>G9</f>
        <v>-7.5671379999999999</v>
      </c>
      <c r="E9" s="117"/>
      <c r="F9" s="115" t="s">
        <v>12</v>
      </c>
      <c r="G9" s="117">
        <v>-7.5671379999999999</v>
      </c>
      <c r="H9" s="115" t="s">
        <v>155</v>
      </c>
    </row>
    <row r="10" spans="1:8" s="118" customFormat="1" ht="15.75" customHeight="1" x14ac:dyDescent="0.3">
      <c r="A10" s="115" t="s">
        <v>13</v>
      </c>
      <c r="B10" s="116" t="s">
        <v>15</v>
      </c>
      <c r="C10" s="415">
        <v>44554</v>
      </c>
      <c r="D10" s="117">
        <f>G10</f>
        <v>-7.3850159999999994</v>
      </c>
      <c r="E10" s="117"/>
      <c r="F10" s="115" t="s">
        <v>12</v>
      </c>
      <c r="G10" s="117">
        <v>-7.3850159999999994</v>
      </c>
      <c r="H10" s="115" t="s">
        <v>156</v>
      </c>
    </row>
    <row r="11" spans="1:8" s="118" customFormat="1" ht="15.75" customHeight="1" x14ac:dyDescent="0.3">
      <c r="A11" s="115" t="s">
        <v>13</v>
      </c>
      <c r="B11" s="116" t="s">
        <v>15</v>
      </c>
      <c r="C11" s="415">
        <v>44554</v>
      </c>
      <c r="D11" s="117">
        <f>G11</f>
        <v>4.0733456099999996</v>
      </c>
      <c r="E11" s="117"/>
      <c r="F11" s="115" t="s">
        <v>12</v>
      </c>
      <c r="G11" s="117">
        <v>4.0733456099999996</v>
      </c>
      <c r="H11" s="115" t="s">
        <v>20</v>
      </c>
    </row>
    <row r="12" spans="1:8" s="118" customFormat="1" ht="15.75" customHeight="1" x14ac:dyDescent="0.3">
      <c r="A12" s="115" t="s">
        <v>13</v>
      </c>
      <c r="B12" s="116" t="s">
        <v>15</v>
      </c>
      <c r="C12" s="415">
        <v>44554</v>
      </c>
      <c r="D12" s="117"/>
      <c r="E12" s="117">
        <f>G12</f>
        <v>0.13969399999999998</v>
      </c>
      <c r="F12" s="115" t="s">
        <v>12</v>
      </c>
      <c r="G12" s="117">
        <v>0.13969399999999998</v>
      </c>
      <c r="H12" s="115" t="s">
        <v>21</v>
      </c>
    </row>
    <row r="13" spans="1:8" s="118" customFormat="1" ht="15.75" customHeight="1" x14ac:dyDescent="0.3">
      <c r="A13" s="115" t="s">
        <v>13</v>
      </c>
      <c r="B13" s="116" t="s">
        <v>15</v>
      </c>
      <c r="C13" s="415">
        <v>44703</v>
      </c>
      <c r="D13" s="117">
        <f>G13</f>
        <v>5.6730739999999997</v>
      </c>
      <c r="E13" s="117"/>
      <c r="F13" s="115" t="s">
        <v>12</v>
      </c>
      <c r="G13" s="117">
        <v>5.6730739999999997</v>
      </c>
      <c r="H13" s="115" t="s">
        <v>20</v>
      </c>
    </row>
    <row r="14" spans="1:8" s="118" customFormat="1" ht="15.75" customHeight="1" x14ac:dyDescent="0.3">
      <c r="A14" s="115" t="s">
        <v>13</v>
      </c>
      <c r="B14" s="116" t="s">
        <v>15</v>
      </c>
      <c r="C14" s="415">
        <v>44703</v>
      </c>
      <c r="D14" s="117"/>
      <c r="E14" s="117">
        <f>G14</f>
        <v>0.22778599999999999</v>
      </c>
      <c r="F14" s="115" t="s">
        <v>12</v>
      </c>
      <c r="G14" s="117">
        <v>0.22778599999999999</v>
      </c>
      <c r="H14" s="115" t="s">
        <v>21</v>
      </c>
    </row>
    <row r="15" spans="1:8" s="118" customFormat="1" ht="15.75" customHeight="1" x14ac:dyDescent="0.3">
      <c r="A15" s="115" t="s">
        <v>13</v>
      </c>
      <c r="B15" s="116" t="s">
        <v>15</v>
      </c>
      <c r="C15" s="415">
        <v>44776</v>
      </c>
      <c r="D15" s="117">
        <f>G15</f>
        <v>-3.235493</v>
      </c>
      <c r="E15" s="117"/>
      <c r="F15" s="115" t="s">
        <v>12</v>
      </c>
      <c r="G15" s="117">
        <v>-3.235493</v>
      </c>
      <c r="H15" s="115" t="s">
        <v>159</v>
      </c>
    </row>
    <row r="16" spans="1:8" s="118" customFormat="1" ht="15.75" customHeight="1" x14ac:dyDescent="0.3">
      <c r="A16" s="115" t="s">
        <v>13</v>
      </c>
      <c r="B16" s="116" t="s">
        <v>15</v>
      </c>
      <c r="C16" s="415">
        <v>44960</v>
      </c>
      <c r="D16" s="117">
        <f>G16</f>
        <v>-2.6315279999999999</v>
      </c>
      <c r="E16" s="117"/>
      <c r="F16" s="115" t="s">
        <v>12</v>
      </c>
      <c r="G16" s="117">
        <v>-2.6315279999999999</v>
      </c>
      <c r="H16" s="115" t="s">
        <v>161</v>
      </c>
    </row>
    <row r="17" spans="1:8" s="118" customFormat="1" ht="15.75" customHeight="1" x14ac:dyDescent="0.3">
      <c r="A17" s="115" t="s">
        <v>13</v>
      </c>
      <c r="B17" s="116" t="s">
        <v>15</v>
      </c>
      <c r="C17" s="415">
        <v>45085</v>
      </c>
      <c r="D17" s="117">
        <f>G17</f>
        <v>1.9125570000000001</v>
      </c>
      <c r="E17" s="117"/>
      <c r="F17" s="115" t="s">
        <v>12</v>
      </c>
      <c r="G17" s="117">
        <v>1.9125570000000001</v>
      </c>
      <c r="H17" s="115" t="s">
        <v>20</v>
      </c>
    </row>
    <row r="18" spans="1:8" s="118" customFormat="1" ht="15.75" customHeight="1" x14ac:dyDescent="0.3">
      <c r="A18" s="120" t="s">
        <v>13</v>
      </c>
      <c r="B18" s="121" t="s">
        <v>1</v>
      </c>
      <c r="C18" s="416">
        <v>43665</v>
      </c>
      <c r="D18" s="124">
        <f t="shared" ref="D18:D25" si="0">G18</f>
        <v>-3</v>
      </c>
      <c r="E18" s="124"/>
      <c r="F18" s="120" t="s">
        <v>12</v>
      </c>
      <c r="G18" s="124">
        <v>-3</v>
      </c>
      <c r="H18" s="120" t="s">
        <v>17</v>
      </c>
    </row>
    <row r="19" spans="1:8" s="118" customFormat="1" ht="15.75" customHeight="1" x14ac:dyDescent="0.3">
      <c r="A19" s="120" t="s">
        <v>13</v>
      </c>
      <c r="B19" s="121" t="s">
        <v>1</v>
      </c>
      <c r="C19" s="416">
        <v>43983</v>
      </c>
      <c r="D19" s="124">
        <f t="shared" si="0"/>
        <v>-4.4849999999999994</v>
      </c>
      <c r="E19" s="124"/>
      <c r="F19" s="120" t="s">
        <v>12</v>
      </c>
      <c r="G19" s="124">
        <v>-4.4849999999999994</v>
      </c>
      <c r="H19" s="120" t="s">
        <v>19</v>
      </c>
    </row>
    <row r="20" spans="1:8" s="118" customFormat="1" ht="15.75" customHeight="1" x14ac:dyDescent="0.3">
      <c r="A20" s="120" t="s">
        <v>13</v>
      </c>
      <c r="B20" s="121" t="s">
        <v>1</v>
      </c>
      <c r="C20" s="416">
        <v>43879</v>
      </c>
      <c r="D20" s="124">
        <f t="shared" si="0"/>
        <v>-9.5097500000000004</v>
      </c>
      <c r="E20" s="124"/>
      <c r="F20" s="120" t="s">
        <v>12</v>
      </c>
      <c r="G20" s="124">
        <v>-9.5097500000000004</v>
      </c>
      <c r="H20" s="120" t="s">
        <v>155</v>
      </c>
    </row>
    <row r="21" spans="1:8" s="118" customFormat="1" ht="15.75" customHeight="1" x14ac:dyDescent="0.3">
      <c r="A21" s="120" t="s">
        <v>13</v>
      </c>
      <c r="B21" s="121" t="s">
        <v>1</v>
      </c>
      <c r="C21" s="416">
        <v>43934</v>
      </c>
      <c r="D21" s="124">
        <f t="shared" si="0"/>
        <v>-41.3</v>
      </c>
      <c r="E21" s="124"/>
      <c r="F21" s="120" t="s">
        <v>12</v>
      </c>
      <c r="G21" s="124">
        <v>-41.3</v>
      </c>
      <c r="H21" s="120" t="s">
        <v>156</v>
      </c>
    </row>
    <row r="22" spans="1:8" s="118" customFormat="1" ht="15.75" customHeight="1" x14ac:dyDescent="0.3">
      <c r="A22" s="120" t="s">
        <v>13</v>
      </c>
      <c r="B22" s="121" t="s">
        <v>1</v>
      </c>
      <c r="C22" s="416">
        <v>44151</v>
      </c>
      <c r="D22" s="124">
        <f t="shared" si="0"/>
        <v>9.9499999999999993</v>
      </c>
      <c r="E22" s="124"/>
      <c r="F22" s="120" t="s">
        <v>12</v>
      </c>
      <c r="G22" s="124">
        <v>9.9499999999999993</v>
      </c>
      <c r="H22" s="120" t="s">
        <v>158</v>
      </c>
    </row>
    <row r="23" spans="1:8" s="118" customFormat="1" ht="15.75" customHeight="1" x14ac:dyDescent="0.3">
      <c r="A23" s="120" t="s">
        <v>13</v>
      </c>
      <c r="B23" s="121" t="s">
        <v>1</v>
      </c>
      <c r="C23" s="416">
        <v>44151</v>
      </c>
      <c r="D23" s="124">
        <f t="shared" si="0"/>
        <v>-10.455</v>
      </c>
      <c r="E23" s="124"/>
      <c r="F23" s="120" t="s">
        <v>12</v>
      </c>
      <c r="G23" s="124">
        <v>-10.455</v>
      </c>
      <c r="H23" s="120" t="s">
        <v>159</v>
      </c>
    </row>
    <row r="24" spans="1:8" s="118" customFormat="1" ht="15.75" customHeight="1" x14ac:dyDescent="0.3">
      <c r="A24" s="120" t="s">
        <v>13</v>
      </c>
      <c r="B24" s="121" t="s">
        <v>1</v>
      </c>
      <c r="C24" s="416">
        <v>44196</v>
      </c>
      <c r="D24" s="124">
        <f t="shared" si="0"/>
        <v>4.9749999999999996</v>
      </c>
      <c r="E24" s="124"/>
      <c r="F24" s="120" t="s">
        <v>12</v>
      </c>
      <c r="G24" s="124">
        <v>4.9749999999999996</v>
      </c>
      <c r="H24" s="120" t="s">
        <v>160</v>
      </c>
    </row>
    <row r="25" spans="1:8" s="118" customFormat="1" ht="15.75" customHeight="1" x14ac:dyDescent="0.3">
      <c r="A25" s="120" t="s">
        <v>13</v>
      </c>
      <c r="B25" s="121" t="s">
        <v>1</v>
      </c>
      <c r="C25" s="416">
        <v>44196</v>
      </c>
      <c r="D25" s="124">
        <f t="shared" si="0"/>
        <v>-3.4522930000000001</v>
      </c>
      <c r="E25" s="124"/>
      <c r="F25" s="120" t="s">
        <v>12</v>
      </c>
      <c r="G25" s="124">
        <v>-3.4522930000000001</v>
      </c>
      <c r="H25" s="120" t="s">
        <v>161</v>
      </c>
    </row>
    <row r="26" spans="1:8" s="118" customFormat="1" ht="15.75" customHeight="1" x14ac:dyDescent="0.3">
      <c r="A26" s="120" t="s">
        <v>13</v>
      </c>
      <c r="B26" s="121" t="s">
        <v>1</v>
      </c>
      <c r="C26" s="416">
        <v>44196</v>
      </c>
      <c r="D26" s="124"/>
      <c r="E26" s="124">
        <f>G26</f>
        <v>0.58290199999999992</v>
      </c>
      <c r="F26" s="120" t="s">
        <v>12</v>
      </c>
      <c r="G26" s="124">
        <v>0.58290199999999992</v>
      </c>
      <c r="H26" s="120" t="s">
        <v>162</v>
      </c>
    </row>
    <row r="27" spans="1:8" s="118" customFormat="1" ht="15.75" customHeight="1" x14ac:dyDescent="0.3">
      <c r="A27" s="120" t="s">
        <v>13</v>
      </c>
      <c r="B27" s="121" t="s">
        <v>1</v>
      </c>
      <c r="C27" s="416">
        <v>44370</v>
      </c>
      <c r="D27" s="124">
        <f>G27</f>
        <v>-5.97</v>
      </c>
      <c r="E27" s="124"/>
      <c r="F27" s="120" t="s">
        <v>12</v>
      </c>
      <c r="G27" s="124">
        <v>-5.97</v>
      </c>
      <c r="H27" s="120" t="s">
        <v>163</v>
      </c>
    </row>
    <row r="28" spans="1:8" s="118" customFormat="1" ht="15.75" customHeight="1" x14ac:dyDescent="0.3">
      <c r="A28" s="120" t="s">
        <v>13</v>
      </c>
      <c r="B28" s="121" t="s">
        <v>1</v>
      </c>
      <c r="C28" s="416">
        <v>44400</v>
      </c>
      <c r="D28" s="124">
        <f>G28</f>
        <v>-0.75</v>
      </c>
      <c r="E28" s="124"/>
      <c r="F28" s="120" t="s">
        <v>12</v>
      </c>
      <c r="G28" s="124">
        <v>-0.75</v>
      </c>
      <c r="H28" s="120" t="s">
        <v>164</v>
      </c>
    </row>
    <row r="29" spans="1:8" s="118" customFormat="1" ht="15.75" customHeight="1" x14ac:dyDescent="0.3">
      <c r="A29" s="120" t="s">
        <v>13</v>
      </c>
      <c r="B29" s="121" t="s">
        <v>1</v>
      </c>
      <c r="C29" s="416">
        <v>44400</v>
      </c>
      <c r="D29" s="124"/>
      <c r="E29" s="124">
        <f>G29</f>
        <v>0.44505899999999998</v>
      </c>
      <c r="F29" s="120" t="s">
        <v>12</v>
      </c>
      <c r="G29" s="124">
        <v>0.44505899999999998</v>
      </c>
      <c r="H29" s="120" t="s">
        <v>165</v>
      </c>
    </row>
    <row r="30" spans="1:8" s="118" customFormat="1" ht="15.75" customHeight="1" x14ac:dyDescent="0.3">
      <c r="A30" s="120" t="s">
        <v>13</v>
      </c>
      <c r="B30" s="121" t="s">
        <v>1</v>
      </c>
      <c r="C30" s="416">
        <v>44554</v>
      </c>
      <c r="D30" s="124">
        <f>G30</f>
        <v>1.7823899999999999</v>
      </c>
      <c r="E30" s="124"/>
      <c r="F30" s="120" t="s">
        <v>12</v>
      </c>
      <c r="G30" s="124">
        <v>1.7823899999999999</v>
      </c>
      <c r="H30" s="120" t="s">
        <v>166</v>
      </c>
    </row>
    <row r="31" spans="1:8" s="118" customFormat="1" ht="15.75" customHeight="1" x14ac:dyDescent="0.3">
      <c r="A31" s="120" t="s">
        <v>13</v>
      </c>
      <c r="B31" s="121" t="s">
        <v>1</v>
      </c>
      <c r="C31" s="416">
        <v>44676</v>
      </c>
      <c r="D31" s="124">
        <f>G31</f>
        <v>-21</v>
      </c>
      <c r="E31" s="124"/>
      <c r="F31" s="120" t="s">
        <v>12</v>
      </c>
      <c r="G31" s="124">
        <v>-21</v>
      </c>
      <c r="H31" s="120" t="s">
        <v>167</v>
      </c>
    </row>
    <row r="32" spans="1:8" s="118" customFormat="1" ht="15.75" customHeight="1" x14ac:dyDescent="0.3">
      <c r="A32" s="115" t="s">
        <v>13</v>
      </c>
      <c r="B32" s="116" t="s">
        <v>171</v>
      </c>
      <c r="C32" s="415">
        <v>44087</v>
      </c>
      <c r="D32" s="117">
        <f>G32*1.1</f>
        <v>-20.917552997000001</v>
      </c>
      <c r="E32" s="182"/>
      <c r="F32" s="115" t="s">
        <v>186</v>
      </c>
      <c r="G32" s="183">
        <v>-19.015957270000001</v>
      </c>
      <c r="H32" s="115" t="s">
        <v>188</v>
      </c>
    </row>
    <row r="33" spans="1:8" s="118" customFormat="1" ht="15.75" customHeight="1" x14ac:dyDescent="0.3">
      <c r="A33" s="115" t="s">
        <v>13</v>
      </c>
      <c r="B33" s="116" t="s">
        <v>171</v>
      </c>
      <c r="C33" s="415">
        <v>44287</v>
      </c>
      <c r="D33" s="117">
        <v>-0.21103182000000001</v>
      </c>
      <c r="E33" s="182"/>
      <c r="F33" s="117" t="s">
        <v>186</v>
      </c>
      <c r="G33" s="183">
        <v>-0.21103182000000001</v>
      </c>
      <c r="H33" s="115" t="s">
        <v>189</v>
      </c>
    </row>
    <row r="34" spans="1:8" s="118" customFormat="1" ht="15.75" customHeight="1" x14ac:dyDescent="0.3">
      <c r="A34" s="115" t="s">
        <v>13</v>
      </c>
      <c r="B34" s="116" t="s">
        <v>171</v>
      </c>
      <c r="C34" s="415">
        <v>44442</v>
      </c>
      <c r="D34" s="117">
        <f>1.18*G34</f>
        <v>-0.23965473139999999</v>
      </c>
      <c r="E34" s="182"/>
      <c r="F34" s="117" t="s">
        <v>186</v>
      </c>
      <c r="G34" s="183">
        <f>-203097.23*10^-6</f>
        <v>-0.20309722999999999</v>
      </c>
      <c r="H34" s="115" t="s">
        <v>220</v>
      </c>
    </row>
    <row r="35" spans="1:8" s="118" customFormat="1" ht="15.75" customHeight="1" x14ac:dyDescent="0.3">
      <c r="A35" s="115" t="s">
        <v>13</v>
      </c>
      <c r="B35" s="116" t="s">
        <v>171</v>
      </c>
      <c r="C35" s="415">
        <v>44623</v>
      </c>
      <c r="D35" s="117">
        <f>1.11*G35</f>
        <v>-0.25893584940000003</v>
      </c>
      <c r="E35" s="182"/>
      <c r="F35" s="117" t="s">
        <v>186</v>
      </c>
      <c r="G35" s="183">
        <f>-233275.54*10^-6</f>
        <v>-0.23327554</v>
      </c>
      <c r="H35" s="115" t="s">
        <v>221</v>
      </c>
    </row>
    <row r="36" spans="1:8" s="118" customFormat="1" ht="15.75" customHeight="1" x14ac:dyDescent="0.3">
      <c r="A36" s="115" t="s">
        <v>13</v>
      </c>
      <c r="B36" s="116" t="s">
        <v>171</v>
      </c>
      <c r="C36" s="415">
        <v>44784</v>
      </c>
      <c r="D36" s="585">
        <f>1.03*G36</f>
        <v>1.5224656599999999E-2</v>
      </c>
      <c r="E36" s="182"/>
      <c r="F36" s="117" t="s">
        <v>186</v>
      </c>
      <c r="G36" s="584">
        <f>14781.22*10^-6</f>
        <v>1.4781219999999999E-2</v>
      </c>
      <c r="H36" s="115" t="s">
        <v>222</v>
      </c>
    </row>
    <row r="37" spans="1:8" s="118" customFormat="1" ht="15.75" customHeight="1" x14ac:dyDescent="0.3">
      <c r="A37" s="115" t="s">
        <v>13</v>
      </c>
      <c r="B37" s="116" t="s">
        <v>171</v>
      </c>
      <c r="C37" s="415">
        <v>44956</v>
      </c>
      <c r="D37" s="117">
        <f>9741387*10^-6*1.08341</f>
        <v>10.553916089669999</v>
      </c>
      <c r="E37" s="117"/>
      <c r="F37" s="117" t="s">
        <v>186</v>
      </c>
      <c r="G37" s="183">
        <f>9741387*10^-6</f>
        <v>9.7413869999999996</v>
      </c>
      <c r="H37" s="115" t="s">
        <v>222</v>
      </c>
    </row>
    <row r="38" spans="1:8" s="118" customFormat="1" ht="15.75" customHeight="1" x14ac:dyDescent="0.3">
      <c r="A38" s="115" t="s">
        <v>13</v>
      </c>
      <c r="B38" s="116" t="s">
        <v>171</v>
      </c>
      <c r="C38" s="415">
        <v>44956</v>
      </c>
      <c r="D38" s="117"/>
      <c r="E38" s="117">
        <f>2728214.02*10^-6*1.08341</f>
        <v>2.9557743514081998</v>
      </c>
      <c r="F38" s="117" t="s">
        <v>186</v>
      </c>
      <c r="G38" s="183">
        <f>NAV!L40*10^-6</f>
        <v>2.7282140199999994</v>
      </c>
      <c r="H38" s="115" t="s">
        <v>500</v>
      </c>
    </row>
    <row r="39" spans="1:8" s="118" customFormat="1" ht="15.75" customHeight="1" x14ac:dyDescent="0.3">
      <c r="A39" s="115" t="s">
        <v>13</v>
      </c>
      <c r="B39" s="116" t="s">
        <v>538</v>
      </c>
      <c r="C39" s="415">
        <v>44087</v>
      </c>
      <c r="D39" s="117">
        <f>-'S | 01 '!K40</f>
        <v>-2.7058823529411762</v>
      </c>
      <c r="E39" s="182"/>
      <c r="F39" s="115" t="s">
        <v>186</v>
      </c>
      <c r="G39" s="183">
        <v>-2.125</v>
      </c>
      <c r="H39" s="115" t="s">
        <v>188</v>
      </c>
    </row>
    <row r="40" spans="1:8" s="118" customFormat="1" ht="15.75" customHeight="1" x14ac:dyDescent="0.3">
      <c r="A40" s="120" t="s">
        <v>13</v>
      </c>
      <c r="B40" s="121" t="s">
        <v>229</v>
      </c>
      <c r="C40" s="416">
        <v>44540</v>
      </c>
      <c r="D40" s="124">
        <f>G40</f>
        <v>-2.8053124999999999</v>
      </c>
      <c r="E40" s="124"/>
      <c r="F40" s="120" t="s">
        <v>12</v>
      </c>
      <c r="G40" s="123">
        <v>-2.8053124999999999</v>
      </c>
      <c r="H40" s="120" t="s">
        <v>17</v>
      </c>
    </row>
    <row r="41" spans="1:8" s="118" customFormat="1" ht="15.75" customHeight="1" x14ac:dyDescent="0.3">
      <c r="A41" s="120" t="s">
        <v>13</v>
      </c>
      <c r="B41" s="121" t="s">
        <v>229</v>
      </c>
      <c r="C41" s="416">
        <v>44602</v>
      </c>
      <c r="D41" s="124">
        <f>G41</f>
        <v>-3.4074999999999998</v>
      </c>
      <c r="E41" s="124"/>
      <c r="F41" s="120" t="s">
        <v>12</v>
      </c>
      <c r="G41" s="123">
        <v>-3.4074999999999998</v>
      </c>
      <c r="H41" s="120" t="s">
        <v>170</v>
      </c>
    </row>
    <row r="42" spans="1:8" s="118" customFormat="1" ht="15.75" customHeight="1" x14ac:dyDescent="0.3">
      <c r="A42" s="120" t="s">
        <v>13</v>
      </c>
      <c r="B42" s="121" t="s">
        <v>229</v>
      </c>
      <c r="C42" s="416">
        <v>44683</v>
      </c>
      <c r="D42" s="124">
        <f>G42</f>
        <v>-1.0257749999999999</v>
      </c>
      <c r="E42" s="124"/>
      <c r="F42" s="120" t="s">
        <v>12</v>
      </c>
      <c r="G42" s="123">
        <v>-1.0257749999999999</v>
      </c>
      <c r="H42" s="120" t="s">
        <v>395</v>
      </c>
    </row>
    <row r="43" spans="1:8" s="118" customFormat="1" ht="15.75" customHeight="1" x14ac:dyDescent="0.3">
      <c r="A43" s="120" t="s">
        <v>13</v>
      </c>
      <c r="B43" s="121" t="s">
        <v>229</v>
      </c>
      <c r="C43" s="416">
        <v>44707</v>
      </c>
      <c r="D43" s="124">
        <f>G43</f>
        <v>-3.3882749999999997</v>
      </c>
      <c r="E43" s="124"/>
      <c r="F43" s="120" t="s">
        <v>12</v>
      </c>
      <c r="G43" s="123">
        <v>-3.3882749999999997</v>
      </c>
      <c r="H43" s="120" t="s">
        <v>169</v>
      </c>
    </row>
    <row r="44" spans="1:8" x14ac:dyDescent="0.35">
      <c r="A44" s="120" t="s">
        <v>13</v>
      </c>
      <c r="B44" s="121" t="s">
        <v>229</v>
      </c>
      <c r="C44" s="416">
        <v>44875</v>
      </c>
      <c r="D44" s="124">
        <f>G44</f>
        <v>-3.3882749999999997</v>
      </c>
      <c r="E44" s="124"/>
      <c r="F44" s="120" t="s">
        <v>12</v>
      </c>
      <c r="G44" s="123">
        <v>-3.3882749999999997</v>
      </c>
      <c r="H44" s="120" t="s">
        <v>156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4496-E958-4595-9993-6EE625849130}">
  <sheetPr>
    <tabColor theme="4" tint="-0.499984740745262"/>
  </sheetPr>
  <dimension ref="B2:AM82"/>
  <sheetViews>
    <sheetView topLeftCell="P1" zoomScale="90" zoomScaleNormal="90" workbookViewId="0">
      <selection activeCell="AM30" sqref="AM30"/>
    </sheetView>
  </sheetViews>
  <sheetFormatPr defaultColWidth="9.1796875" defaultRowHeight="12" x14ac:dyDescent="0.3"/>
  <cols>
    <col min="1" max="1" width="2.54296875" style="83" customWidth="1"/>
    <col min="2" max="2" width="31.26953125" style="83" customWidth="1"/>
    <col min="3" max="3" width="16.54296875" style="83" customWidth="1"/>
    <col min="4" max="7" width="13.7265625" style="83" customWidth="1"/>
    <col min="8" max="8" width="10.7265625" style="91" customWidth="1"/>
    <col min="9" max="9" width="8" style="88" customWidth="1"/>
    <col min="10" max="24" width="14.81640625" style="88" customWidth="1"/>
    <col min="25" max="29" width="9.1796875" style="83"/>
    <col min="30" max="30" width="24.54296875" style="83" bestFit="1" customWidth="1"/>
    <col min="31" max="32" width="13.26953125" style="83" customWidth="1"/>
    <col min="33" max="33" width="17.1796875" style="83" customWidth="1"/>
    <col min="34" max="34" width="19.1796875" style="83" customWidth="1"/>
    <col min="35" max="39" width="13.26953125" style="83" customWidth="1"/>
    <col min="40" max="16384" width="9.1796875" style="83"/>
  </cols>
  <sheetData>
    <row r="2" spans="2:39" s="162" customFormat="1" ht="43.5" customHeight="1" x14ac:dyDescent="0.65">
      <c r="B2" s="331" t="s">
        <v>280</v>
      </c>
      <c r="C2" s="332"/>
      <c r="D2" s="332"/>
      <c r="E2" s="332"/>
      <c r="F2" s="339"/>
      <c r="G2" s="339"/>
      <c r="H2" s="339"/>
      <c r="I2" s="339"/>
      <c r="J2" s="333"/>
      <c r="K2" s="334"/>
      <c r="L2" s="333"/>
    </row>
    <row r="3" spans="2:39" ht="12.5" thickBot="1" x14ac:dyDescent="0.35"/>
    <row r="4" spans="2:39" s="136" customFormat="1" ht="13.5" thickBot="1" x14ac:dyDescent="0.35">
      <c r="B4" s="258" t="s">
        <v>227</v>
      </c>
      <c r="C4" s="272">
        <f>D!D2</f>
        <v>45138</v>
      </c>
      <c r="J4" s="275" t="s">
        <v>236</v>
      </c>
      <c r="K4" s="276"/>
      <c r="L4" s="276"/>
      <c r="M4" s="276"/>
      <c r="N4" s="276"/>
      <c r="O4" s="276"/>
      <c r="P4" s="128"/>
      <c r="AC4" s="275" t="s">
        <v>231</v>
      </c>
      <c r="AD4" s="276"/>
      <c r="AE4" s="276"/>
      <c r="AF4" s="276"/>
      <c r="AG4" s="276"/>
      <c r="AH4" s="276"/>
    </row>
    <row r="6" spans="2:39" x14ac:dyDescent="0.3">
      <c r="B6" s="97" t="s">
        <v>138</v>
      </c>
    </row>
    <row r="7" spans="2:39" s="98" customFormat="1" ht="36" customHeight="1" x14ac:dyDescent="0.3">
      <c r="B7" s="95" t="s">
        <v>6</v>
      </c>
      <c r="C7" s="96" t="s">
        <v>7</v>
      </c>
      <c r="D7" s="96" t="s">
        <v>139</v>
      </c>
      <c r="E7" s="96" t="s">
        <v>42</v>
      </c>
      <c r="F7" s="97" t="s">
        <v>137</v>
      </c>
      <c r="G7" s="97" t="s">
        <v>217</v>
      </c>
      <c r="H7" s="283"/>
      <c r="I7" s="97"/>
      <c r="J7" s="96" t="s">
        <v>57</v>
      </c>
      <c r="K7" s="96" t="s">
        <v>0</v>
      </c>
      <c r="L7" s="96" t="s">
        <v>48</v>
      </c>
      <c r="M7" s="96" t="s">
        <v>49</v>
      </c>
      <c r="N7" s="96" t="s">
        <v>47</v>
      </c>
      <c r="O7" s="96" t="s">
        <v>131</v>
      </c>
      <c r="P7" s="96" t="s">
        <v>11</v>
      </c>
      <c r="Q7" s="96" t="s">
        <v>24</v>
      </c>
      <c r="R7" s="96" t="s">
        <v>50</v>
      </c>
      <c r="S7" s="96" t="s">
        <v>51</v>
      </c>
      <c r="T7" s="96" t="s">
        <v>52</v>
      </c>
      <c r="U7" s="96" t="s">
        <v>113</v>
      </c>
      <c r="V7" s="96" t="s">
        <v>25</v>
      </c>
      <c r="W7" s="96" t="s">
        <v>132</v>
      </c>
      <c r="X7" s="96" t="s">
        <v>44</v>
      </c>
      <c r="Y7" s="96" t="s">
        <v>396</v>
      </c>
      <c r="Z7" s="96" t="s">
        <v>433</v>
      </c>
      <c r="AA7" s="96" t="s">
        <v>539</v>
      </c>
      <c r="AB7" s="96" t="s">
        <v>622</v>
      </c>
      <c r="AD7" s="126"/>
      <c r="AE7" s="126" t="s">
        <v>41</v>
      </c>
      <c r="AF7" s="127" t="s">
        <v>2</v>
      </c>
      <c r="AG7" s="127" t="s">
        <v>60</v>
      </c>
      <c r="AH7" s="127" t="s">
        <v>42</v>
      </c>
      <c r="AI7" s="127" t="s">
        <v>215</v>
      </c>
      <c r="AJ7" s="127" t="s">
        <v>32</v>
      </c>
      <c r="AK7" s="127" t="s">
        <v>43</v>
      </c>
      <c r="AL7" s="127" t="s">
        <v>228</v>
      </c>
      <c r="AM7" s="127" t="s">
        <v>140</v>
      </c>
    </row>
    <row r="8" spans="2:39" ht="13" x14ac:dyDescent="0.3">
      <c r="AD8" s="249"/>
      <c r="AE8" s="136"/>
      <c r="AF8" s="136"/>
      <c r="AG8" s="136"/>
      <c r="AH8" s="136"/>
      <c r="AI8" s="136"/>
      <c r="AJ8" s="253"/>
      <c r="AK8" s="136"/>
      <c r="AL8" s="136"/>
      <c r="AM8" s="136"/>
    </row>
    <row r="10" spans="2:39" ht="13" x14ac:dyDescent="0.3">
      <c r="B10" s="84" t="str">
        <f>'CF (Equity, Debt)'!C4</f>
        <v>Jollychic Holding Limited</v>
      </c>
      <c r="C10" s="85">
        <f>'CF (Equity, Debt)'!D4</f>
        <v>43470</v>
      </c>
      <c r="D10" s="93">
        <f>'CF (Equity, Debt)'!E4</f>
        <v>-30</v>
      </c>
      <c r="E10" s="93"/>
      <c r="F10" s="93"/>
      <c r="G10" s="117">
        <f t="shared" ref="G10:G36" si="0">SUM(D10:F10)</f>
        <v>-30</v>
      </c>
      <c r="H10" s="286" t="str">
        <f>IF(D10='CF (Equity, Debt)'!E4," ", "xxx")</f>
        <v xml:space="preserve"> </v>
      </c>
      <c r="J10" s="93">
        <f>D10</f>
        <v>-30</v>
      </c>
      <c r="AJ10" s="88">
        <v>62</v>
      </c>
    </row>
    <row r="11" spans="2:39" x14ac:dyDescent="0.3">
      <c r="B11" s="84" t="str">
        <f>'CF (Equity, Debt)'!C5</f>
        <v>Jollychic Holding Limited</v>
      </c>
      <c r="C11" s="85">
        <f>'CF (Equity, Debt)'!D5</f>
        <v>43724</v>
      </c>
      <c r="D11" s="93">
        <f>'CF (Equity, Debt)'!E5</f>
        <v>-20</v>
      </c>
      <c r="E11" s="93"/>
      <c r="F11" s="93"/>
      <c r="G11" s="93">
        <f t="shared" si="0"/>
        <v>-20</v>
      </c>
      <c r="H11" s="286" t="str">
        <f>IF(D11='CF (Equity, Debt)'!E5," ", "xxx")</f>
        <v xml:space="preserve"> </v>
      </c>
      <c r="J11" s="93">
        <f>D11</f>
        <v>-20</v>
      </c>
    </row>
    <row r="12" spans="2:39" ht="13" x14ac:dyDescent="0.3">
      <c r="B12" s="84" t="str">
        <f>'CF (Equity, Debt)'!C6</f>
        <v>Jollychic Holding Limited</v>
      </c>
      <c r="C12" s="85">
        <f>'CF (Equity, Debt)'!D6</f>
        <v>43724</v>
      </c>
      <c r="D12" s="93">
        <f>'CF (Equity, Debt)'!E6</f>
        <v>-15</v>
      </c>
      <c r="E12" s="93"/>
      <c r="F12" s="93"/>
      <c r="G12" s="93">
        <f t="shared" si="0"/>
        <v>-15</v>
      </c>
      <c r="H12" s="286" t="str">
        <f>IF(D12='CF (Equity, Debt)'!E6," ", "xxx")</f>
        <v xml:space="preserve"> </v>
      </c>
      <c r="J12" s="93">
        <f>D12</f>
        <v>-15</v>
      </c>
      <c r="AD12" s="86" t="str">
        <f>'S | 01 '!C10</f>
        <v>Jollychic Holding Limited</v>
      </c>
      <c r="AE12" s="250">
        <f>'S | 01 '!J10</f>
        <v>65</v>
      </c>
      <c r="AF12" s="250">
        <f t="shared" ref="AF12:AF29" ca="1" si="1">-SUMIF($B$7:$F$121,$AD12,$D$7:$D$121)</f>
        <v>65</v>
      </c>
      <c r="AG12" s="250">
        <f ca="1">AE12-AF12</f>
        <v>0</v>
      </c>
      <c r="AH12" s="250">
        <f t="shared" ref="AH12:AH29" ca="1" si="2">SUMIF($B$7:$F$121,$AD12,$E$7:$E$121)</f>
        <v>0</v>
      </c>
      <c r="AI12" s="250">
        <f t="shared" ref="AI12:AI29" ca="1" si="3">SUMIF($B$7:$F$121,$AD12,$F$7:$F$121)</f>
        <v>0</v>
      </c>
      <c r="AJ12" s="274" t="str">
        <f t="shared" ref="AJ12:AJ28" si="4">HLOOKUP(AD12,$J$7:$Z$77,$AJ$10,0)</f>
        <v>NM</v>
      </c>
      <c r="AK12" s="264">
        <f ca="1">(AH12+AI12)/AF12</f>
        <v>0</v>
      </c>
      <c r="AL12" s="264">
        <f ca="1">AI12/AF12</f>
        <v>0</v>
      </c>
      <c r="AM12" s="264">
        <f ca="1">AH12/AF12</f>
        <v>0</v>
      </c>
    </row>
    <row r="13" spans="2:39" ht="13" x14ac:dyDescent="0.3">
      <c r="B13" s="86" t="str">
        <f>'CF (Equity, Debt)'!C7</f>
        <v>Mena Mobile Inc</v>
      </c>
      <c r="C13" s="87">
        <f>'CF (Equity, Debt)'!D7</f>
        <v>43563</v>
      </c>
      <c r="D13" s="94">
        <f>'CF (Equity, Debt)'!E7</f>
        <v>-8</v>
      </c>
      <c r="E13" s="94"/>
      <c r="F13" s="94"/>
      <c r="G13" s="94">
        <f t="shared" si="0"/>
        <v>-8</v>
      </c>
      <c r="H13" s="286" t="str">
        <f>IF(D13='CF (Equity, Debt)'!E7," ", "xxx")</f>
        <v xml:space="preserve"> </v>
      </c>
      <c r="K13" s="94">
        <f>D13</f>
        <v>-8</v>
      </c>
      <c r="AD13" s="84" t="str">
        <f>'S | 01 '!C11</f>
        <v>Mena Mobile Inc</v>
      </c>
      <c r="AE13" s="250">
        <f>'S | 01 '!J11</f>
        <v>8</v>
      </c>
      <c r="AF13" s="250">
        <f t="shared" ca="1" si="1"/>
        <v>8</v>
      </c>
      <c r="AG13" s="250">
        <f t="shared" ref="AG13:AG26" ca="1" si="5">AE13-AF13</f>
        <v>0</v>
      </c>
      <c r="AH13" s="250">
        <f t="shared" ca="1" si="2"/>
        <v>0</v>
      </c>
      <c r="AI13" s="250">
        <f t="shared" ca="1" si="3"/>
        <v>0</v>
      </c>
      <c r="AJ13" s="274" t="str">
        <f t="shared" si="4"/>
        <v>NM</v>
      </c>
      <c r="AK13" s="264">
        <f t="shared" ref="AK13:AK26" ca="1" si="6">(AH13+AI13)/AF13</f>
        <v>0</v>
      </c>
      <c r="AL13" s="264">
        <f t="shared" ref="AL13:AL26" ca="1" si="7">AI13/AF13</f>
        <v>0</v>
      </c>
      <c r="AM13" s="264">
        <f t="shared" ref="AM13:AM26" ca="1" si="8">AH13/AF13</f>
        <v>0</v>
      </c>
    </row>
    <row r="14" spans="2:39" ht="13" x14ac:dyDescent="0.3">
      <c r="B14" s="84" t="str">
        <f>'CF (Equity, Debt)'!C8</f>
        <v>Flyr Inc</v>
      </c>
      <c r="C14" s="85">
        <f>'CF (Equity, Debt)'!D8</f>
        <v>43570</v>
      </c>
      <c r="D14" s="93">
        <f>'CF (Equity, Debt)'!E8</f>
        <v>-4.9999980900000001</v>
      </c>
      <c r="E14" s="93"/>
      <c r="F14" s="93"/>
      <c r="G14" s="93">
        <f t="shared" si="0"/>
        <v>-4.9999980900000001</v>
      </c>
      <c r="H14" s="286" t="str">
        <f>IF(D14='CF (Equity, Debt)'!E8," ", "xxx")</f>
        <v xml:space="preserve"> </v>
      </c>
      <c r="L14" s="93">
        <f>D14</f>
        <v>-4.9999980900000001</v>
      </c>
      <c r="AD14" s="86" t="str">
        <f>'S | 01 '!C12</f>
        <v>Flyr Inc</v>
      </c>
      <c r="AE14" s="250">
        <f>'S | 01 '!J12</f>
        <v>10</v>
      </c>
      <c r="AF14" s="250">
        <f t="shared" ca="1" si="1"/>
        <v>10</v>
      </c>
      <c r="AG14" s="250">
        <f t="shared" ca="1" si="5"/>
        <v>0</v>
      </c>
      <c r="AH14" s="250">
        <f t="shared" ca="1" si="2"/>
        <v>0</v>
      </c>
      <c r="AI14" s="250">
        <f t="shared" ca="1" si="3"/>
        <v>78.082229999999996</v>
      </c>
      <c r="AJ14" s="274">
        <f t="shared" si="4"/>
        <v>0.69797843694686912</v>
      </c>
      <c r="AK14" s="264">
        <f t="shared" ca="1" si="6"/>
        <v>7.8082229999999999</v>
      </c>
      <c r="AL14" s="264">
        <f t="shared" ca="1" si="7"/>
        <v>7.8082229999999999</v>
      </c>
      <c r="AM14" s="264">
        <f t="shared" ca="1" si="8"/>
        <v>0</v>
      </c>
    </row>
    <row r="15" spans="2:39" ht="13" x14ac:dyDescent="0.3">
      <c r="B15" s="84" t="str">
        <f>'CF (Equity, Debt)'!C9</f>
        <v>Flyr Inc</v>
      </c>
      <c r="C15" s="85">
        <f>'CF (Equity, Debt)'!D9</f>
        <v>43915</v>
      </c>
      <c r="D15" s="93">
        <f>'CF (Equity, Debt)'!E9</f>
        <v>-5.0000019099999999</v>
      </c>
      <c r="E15" s="93"/>
      <c r="F15" s="93"/>
      <c r="G15" s="93">
        <f t="shared" si="0"/>
        <v>-5.0000019099999999</v>
      </c>
      <c r="H15" s="286" t="str">
        <f>IF(D15='CF (Equity, Debt)'!E9," ", "xxx")</f>
        <v xml:space="preserve"> </v>
      </c>
      <c r="L15" s="93">
        <f>D15</f>
        <v>-5.0000019099999999</v>
      </c>
      <c r="AD15" s="84" t="str">
        <f>'S | 01 '!C13</f>
        <v xml:space="preserve">Esyasoft Holding </v>
      </c>
      <c r="AE15" s="250">
        <f>'S | 01 '!J13</f>
        <v>2.5</v>
      </c>
      <c r="AF15" s="250">
        <f t="shared" ca="1" si="1"/>
        <v>2.5</v>
      </c>
      <c r="AG15" s="250">
        <f t="shared" ca="1" si="5"/>
        <v>0</v>
      </c>
      <c r="AH15" s="250">
        <f t="shared" ca="1" si="2"/>
        <v>5</v>
      </c>
      <c r="AI15" s="250">
        <f t="shared" ca="1" si="3"/>
        <v>0</v>
      </c>
      <c r="AJ15" s="274">
        <f t="shared" si="4"/>
        <v>0.36091765761375438</v>
      </c>
      <c r="AK15" s="264">
        <f t="shared" ca="1" si="6"/>
        <v>2</v>
      </c>
      <c r="AL15" s="264">
        <f t="shared" ca="1" si="7"/>
        <v>0</v>
      </c>
      <c r="AM15" s="264">
        <f t="shared" ca="1" si="8"/>
        <v>2</v>
      </c>
    </row>
    <row r="16" spans="2:39" ht="13" x14ac:dyDescent="0.3">
      <c r="B16" s="86" t="str">
        <f>'CF (Equity, Debt)'!C10</f>
        <v xml:space="preserve">Esyasoft Holding </v>
      </c>
      <c r="C16" s="87">
        <f>'CF (Equity, Debt)'!D10</f>
        <v>43870</v>
      </c>
      <c r="D16" s="94">
        <f>'CF (Equity, Debt)'!E10</f>
        <v>-2.5</v>
      </c>
      <c r="E16" s="94"/>
      <c r="F16" s="94"/>
      <c r="G16" s="94">
        <f t="shared" si="0"/>
        <v>-2.5</v>
      </c>
      <c r="H16" s="286" t="str">
        <f>IF(D16='CF (Equity, Debt)'!E10," ", "xxx")</f>
        <v xml:space="preserve"> </v>
      </c>
      <c r="M16" s="94">
        <f>D16</f>
        <v>-2.5</v>
      </c>
      <c r="AD16" s="86" t="str">
        <f>'S | 01 '!C14</f>
        <v>Beyond Limits</v>
      </c>
      <c r="AE16" s="250">
        <f>'S | 01 '!J14</f>
        <v>90</v>
      </c>
      <c r="AF16" s="250">
        <f t="shared" ca="1" si="1"/>
        <v>90</v>
      </c>
      <c r="AG16" s="250">
        <f t="shared" ca="1" si="5"/>
        <v>0</v>
      </c>
      <c r="AH16" s="250">
        <f t="shared" ca="1" si="2"/>
        <v>0</v>
      </c>
      <c r="AI16" s="250">
        <f t="shared" ca="1" si="3"/>
        <v>91.001540300000002</v>
      </c>
      <c r="AJ16" s="274">
        <f t="shared" si="4"/>
        <v>3.4190028905868525E-3</v>
      </c>
      <c r="AK16" s="264">
        <f t="shared" ca="1" si="6"/>
        <v>1.0111282255555556</v>
      </c>
      <c r="AL16" s="264">
        <f t="shared" ca="1" si="7"/>
        <v>1.0111282255555556</v>
      </c>
      <c r="AM16" s="264">
        <f t="shared" ca="1" si="8"/>
        <v>0</v>
      </c>
    </row>
    <row r="17" spans="2:39" ht="13" x14ac:dyDescent="0.3">
      <c r="B17" s="84" t="str">
        <f>'CF (Equity, Debt)'!C11</f>
        <v>Beyond Limits</v>
      </c>
      <c r="C17" s="85">
        <f>'CF (Equity, Debt)'!D11</f>
        <v>43879</v>
      </c>
      <c r="D17" s="93">
        <f>'CF (Equity, Debt)'!E11</f>
        <v>-20</v>
      </c>
      <c r="E17" s="93"/>
      <c r="F17" s="93"/>
      <c r="G17" s="93">
        <f t="shared" si="0"/>
        <v>-20</v>
      </c>
      <c r="H17" s="286" t="str">
        <f>IF(D17='CF (Equity, Debt)'!E11," ", "xxx")</f>
        <v xml:space="preserve"> </v>
      </c>
      <c r="N17" s="93">
        <f>D17</f>
        <v>-20</v>
      </c>
      <c r="AD17" s="84" t="str">
        <f>'S | 01 '!C15</f>
        <v>ONT plc</v>
      </c>
      <c r="AE17" s="250">
        <f>'S | 01 '!J15</f>
        <v>141.4702596743665</v>
      </c>
      <c r="AF17" s="250">
        <f t="shared" ca="1" si="1"/>
        <v>141.4702596743665</v>
      </c>
      <c r="AG17" s="250">
        <f t="shared" ca="1" si="5"/>
        <v>0</v>
      </c>
      <c r="AH17" s="250">
        <f t="shared" ca="1" si="2"/>
        <v>0</v>
      </c>
      <c r="AI17" s="250">
        <f t="shared" ca="1" si="3"/>
        <v>150.4004386130496</v>
      </c>
      <c r="AJ17" s="274">
        <f t="shared" si="4"/>
        <v>1.9673982262611391E-2</v>
      </c>
      <c r="AK17" s="264">
        <f t="shared" ca="1" si="6"/>
        <v>1.063124072573546</v>
      </c>
      <c r="AL17" s="264">
        <f t="shared" ca="1" si="7"/>
        <v>1.063124072573546</v>
      </c>
      <c r="AM17" s="264">
        <f t="shared" ca="1" si="8"/>
        <v>0</v>
      </c>
    </row>
    <row r="18" spans="2:39" ht="13" x14ac:dyDescent="0.3">
      <c r="B18" s="84" t="str">
        <f>'CF (Equity, Debt)'!C12</f>
        <v>Beyond Limits</v>
      </c>
      <c r="C18" s="85">
        <f>'CF (Equity, Debt)'!D12</f>
        <v>43921</v>
      </c>
      <c r="D18" s="93">
        <f>'CF (Equity, Debt)'!E12</f>
        <v>-30</v>
      </c>
      <c r="E18" s="93"/>
      <c r="F18" s="93"/>
      <c r="G18" s="93">
        <f t="shared" si="0"/>
        <v>-30</v>
      </c>
      <c r="H18" s="286" t="str">
        <f>IF(D18='CF (Equity, Debt)'!E12," ", "xxx")</f>
        <v xml:space="preserve"> </v>
      </c>
      <c r="N18" s="93">
        <f>D18</f>
        <v>-30</v>
      </c>
      <c r="AD18" s="86" t="str">
        <f>'S | 01 '!C16</f>
        <v>Heygears</v>
      </c>
      <c r="AE18" s="250">
        <f>'S | 01 '!J16</f>
        <v>60</v>
      </c>
      <c r="AF18" s="250">
        <f t="shared" ca="1" si="1"/>
        <v>60</v>
      </c>
      <c r="AG18" s="250">
        <f t="shared" ca="1" si="5"/>
        <v>0</v>
      </c>
      <c r="AH18" s="250">
        <f t="shared" ca="1" si="2"/>
        <v>0</v>
      </c>
      <c r="AI18" s="250">
        <f t="shared" ca="1" si="3"/>
        <v>151.06943446641711</v>
      </c>
      <c r="AJ18" s="274">
        <f t="shared" si="4"/>
        <v>0.41446041464805594</v>
      </c>
      <c r="AK18" s="264">
        <f t="shared" ca="1" si="6"/>
        <v>2.5178239077736184</v>
      </c>
      <c r="AL18" s="264">
        <f t="shared" ca="1" si="7"/>
        <v>2.5178239077736184</v>
      </c>
      <c r="AM18" s="264">
        <f t="shared" ca="1" si="8"/>
        <v>0</v>
      </c>
    </row>
    <row r="19" spans="2:39" ht="13" x14ac:dyDescent="0.3">
      <c r="B19" s="84" t="str">
        <f>'CF (Equity, Debt)'!C13</f>
        <v>Beyond Limits</v>
      </c>
      <c r="C19" s="85">
        <f>'CF (Equity, Debt)'!D13</f>
        <v>43989</v>
      </c>
      <c r="D19" s="93">
        <f>'CF (Equity, Debt)'!E13</f>
        <v>-30</v>
      </c>
      <c r="E19" s="93"/>
      <c r="F19" s="93"/>
      <c r="G19" s="93">
        <f t="shared" si="0"/>
        <v>-30</v>
      </c>
      <c r="H19" s="286" t="str">
        <f>IF(D19='CF (Equity, Debt)'!E13," ", "xxx")</f>
        <v xml:space="preserve"> </v>
      </c>
      <c r="N19" s="93">
        <f>D19</f>
        <v>-30</v>
      </c>
      <c r="AD19" s="84" t="str">
        <f>'S | 01 '!C17</f>
        <v>Jysan Technologies</v>
      </c>
      <c r="AE19" s="250">
        <f>'S | 01 '!J17</f>
        <v>20</v>
      </c>
      <c r="AF19" s="250">
        <f t="shared" ca="1" si="1"/>
        <v>20</v>
      </c>
      <c r="AG19" s="250">
        <f t="shared" ca="1" si="5"/>
        <v>0</v>
      </c>
      <c r="AH19" s="250">
        <f t="shared" ca="1" si="2"/>
        <v>0</v>
      </c>
      <c r="AI19" s="250">
        <f t="shared" ca="1" si="3"/>
        <v>20</v>
      </c>
      <c r="AJ19" s="274">
        <f t="shared" si="4"/>
        <v>2.9802322387695314E-9</v>
      </c>
      <c r="AK19" s="264">
        <f t="shared" ca="1" si="6"/>
        <v>1</v>
      </c>
      <c r="AL19" s="264">
        <f t="shared" ca="1" si="7"/>
        <v>1</v>
      </c>
      <c r="AM19" s="264">
        <f t="shared" ca="1" si="8"/>
        <v>0</v>
      </c>
    </row>
    <row r="20" spans="2:39" ht="13" x14ac:dyDescent="0.3">
      <c r="B20" s="84" t="str">
        <f>'CF (Equity, Debt)'!C14</f>
        <v>Beyond Limits</v>
      </c>
      <c r="C20" s="85">
        <f>'CF (Equity, Debt)'!D14</f>
        <v>44103</v>
      </c>
      <c r="D20" s="93">
        <f>'CF (Equity, Debt)'!E14</f>
        <v>-10</v>
      </c>
      <c r="E20" s="93"/>
      <c r="F20" s="93"/>
      <c r="G20" s="93">
        <f t="shared" si="0"/>
        <v>-10</v>
      </c>
      <c r="H20" s="286" t="str">
        <f>IF(D20='CF (Equity, Debt)'!E14," ", "xxx")</f>
        <v xml:space="preserve"> </v>
      </c>
      <c r="N20" s="93">
        <f>D20</f>
        <v>-10</v>
      </c>
      <c r="AD20" s="86" t="str">
        <f>'S | 01 '!C18</f>
        <v>Cerebras Systems Inc</v>
      </c>
      <c r="AE20" s="250">
        <f>'S | 01 '!J18</f>
        <v>40</v>
      </c>
      <c r="AF20" s="250">
        <f t="shared" ca="1" si="1"/>
        <v>39.999983359999995</v>
      </c>
      <c r="AG20" s="250">
        <f t="shared" ca="1" si="5"/>
        <v>1.6640000005452293E-5</v>
      </c>
      <c r="AH20" s="250">
        <f t="shared" ca="1" si="2"/>
        <v>0</v>
      </c>
      <c r="AI20" s="250">
        <f t="shared" ca="1" si="3"/>
        <v>39.999983359999995</v>
      </c>
      <c r="AJ20" s="274">
        <f t="shared" si="4"/>
        <v>2.9802322387695314E-9</v>
      </c>
      <c r="AK20" s="264">
        <f t="shared" ca="1" si="6"/>
        <v>1</v>
      </c>
      <c r="AL20" s="264">
        <f t="shared" ca="1" si="7"/>
        <v>1</v>
      </c>
      <c r="AM20" s="264">
        <f t="shared" ca="1" si="8"/>
        <v>0</v>
      </c>
    </row>
    <row r="21" spans="2:39" ht="13" x14ac:dyDescent="0.3">
      <c r="B21" s="86" t="str">
        <f>'CF (Equity, Debt)'!C15</f>
        <v>ONT plc</v>
      </c>
      <c r="C21" s="87">
        <f>'CF (Equity, Debt)'!D15</f>
        <v>43968</v>
      </c>
      <c r="D21" s="94">
        <f>'CF (Equity, Debt)'!E15</f>
        <v>-50</v>
      </c>
      <c r="E21" s="94"/>
      <c r="F21" s="94"/>
      <c r="G21" s="94">
        <f t="shared" si="0"/>
        <v>-50</v>
      </c>
      <c r="H21" s="286" t="str">
        <f>IF(D21='CF (Equity, Debt)'!E15," ", "xxx")</f>
        <v xml:space="preserve"> </v>
      </c>
      <c r="O21" s="94">
        <f>D21</f>
        <v>-50</v>
      </c>
      <c r="AD21" s="84" t="str">
        <f>'S | 01 '!C19</f>
        <v>Endless Studios LLC</v>
      </c>
      <c r="AE21" s="250">
        <f>'S | 01 '!J19</f>
        <v>3</v>
      </c>
      <c r="AF21" s="250">
        <f t="shared" ca="1" si="1"/>
        <v>3</v>
      </c>
      <c r="AG21" s="250">
        <f t="shared" ca="1" si="5"/>
        <v>0</v>
      </c>
      <c r="AH21" s="250">
        <f t="shared" ca="1" si="2"/>
        <v>0</v>
      </c>
      <c r="AI21" s="250">
        <f t="shared" ca="1" si="3"/>
        <v>3</v>
      </c>
      <c r="AJ21" s="274">
        <f t="shared" si="4"/>
        <v>2.9802322387695314E-9</v>
      </c>
      <c r="AK21" s="264">
        <f t="shared" ca="1" si="6"/>
        <v>1</v>
      </c>
      <c r="AL21" s="264">
        <f t="shared" ca="1" si="7"/>
        <v>1</v>
      </c>
      <c r="AM21" s="264">
        <f t="shared" ca="1" si="8"/>
        <v>0</v>
      </c>
    </row>
    <row r="22" spans="2:39" ht="13" x14ac:dyDescent="0.3">
      <c r="B22" s="86" t="str">
        <f>'CF (Equity, Debt)'!C16</f>
        <v>ONT plc</v>
      </c>
      <c r="C22" s="87">
        <f>'CF (Equity, Debt)'!D16</f>
        <v>44006</v>
      </c>
      <c r="D22" s="94">
        <f>'CF (Equity, Debt)'!E16</f>
        <v>-27.268350856443721</v>
      </c>
      <c r="E22" s="94"/>
      <c r="F22" s="94"/>
      <c r="G22" s="94">
        <f t="shared" si="0"/>
        <v>-27.268350856443721</v>
      </c>
      <c r="H22" s="286" t="str">
        <f>IF(D22='CF (Equity, Debt)'!E16," ", "xxx")</f>
        <v xml:space="preserve"> </v>
      </c>
      <c r="O22" s="94">
        <f>D22</f>
        <v>-27.268350856443721</v>
      </c>
      <c r="AD22" s="86" t="str">
        <f>'S | 01 '!C20</f>
        <v>Instadeep Limited</v>
      </c>
      <c r="AE22" s="250">
        <f>'S | 01 '!J20</f>
        <v>5.0278211945578235</v>
      </c>
      <c r="AF22" s="250">
        <f t="shared" ca="1" si="1"/>
        <v>5.0237201984774336</v>
      </c>
      <c r="AG22" s="250">
        <f t="shared" ca="1" si="5"/>
        <v>4.1009960803899403E-3</v>
      </c>
      <c r="AH22" s="250">
        <f t="shared" ca="1" si="2"/>
        <v>7.8207760999999989</v>
      </c>
      <c r="AI22" s="250">
        <f t="shared" ca="1" si="3"/>
        <v>0</v>
      </c>
      <c r="AJ22" s="274">
        <f t="shared" si="4"/>
        <v>0.31620330214500436</v>
      </c>
      <c r="AK22" s="264">
        <f t="shared" ca="1" si="6"/>
        <v>1.5567698420724714</v>
      </c>
      <c r="AL22" s="264">
        <f t="shared" ca="1" si="7"/>
        <v>0</v>
      </c>
      <c r="AM22" s="264">
        <f t="shared" ca="1" si="8"/>
        <v>1.5567698420724714</v>
      </c>
    </row>
    <row r="23" spans="2:39" ht="13" x14ac:dyDescent="0.3">
      <c r="B23" s="86" t="str">
        <f>'CF (Equity, Debt)'!C17</f>
        <v>ONT plc</v>
      </c>
      <c r="C23" s="87">
        <f>'CF (Equity, Debt)'!D17</f>
        <v>43837</v>
      </c>
      <c r="D23" s="94">
        <f>'CF (Equity, Debt)'!E17</f>
        <v>-18.109441299619355</v>
      </c>
      <c r="E23" s="94"/>
      <c r="F23" s="94"/>
      <c r="G23" s="94">
        <f t="shared" si="0"/>
        <v>-18.109441299619355</v>
      </c>
      <c r="H23" s="286" t="str">
        <f>IF(D23='CF (Equity, Debt)'!E17," ", "xxx")</f>
        <v xml:space="preserve"> </v>
      </c>
      <c r="O23" s="94">
        <f>D23</f>
        <v>-18.109441299619355</v>
      </c>
      <c r="AD23" s="84" t="str">
        <f>'S | 01 '!C21</f>
        <v>X-fusion</v>
      </c>
      <c r="AE23" s="250">
        <f>'S | 01 '!J21</f>
        <v>493.5</v>
      </c>
      <c r="AF23" s="250">
        <f t="shared" ca="1" si="1"/>
        <v>493.50095619999996</v>
      </c>
      <c r="AG23" s="250">
        <f t="shared" ca="1" si="5"/>
        <v>-9.5619999996188199E-4</v>
      </c>
      <c r="AH23" s="250">
        <f t="shared" ca="1" si="2"/>
        <v>0</v>
      </c>
      <c r="AI23" s="250">
        <f t="shared" ca="1" si="3"/>
        <v>408.28799457755485</v>
      </c>
      <c r="AJ23" s="274">
        <f t="shared" si="4"/>
        <v>-0.11544542349874973</v>
      </c>
      <c r="AK23" s="264">
        <f t="shared" ca="1" si="6"/>
        <v>0.82732969297852577</v>
      </c>
      <c r="AL23" s="264">
        <f t="shared" ca="1" si="7"/>
        <v>0.82732969297852577</v>
      </c>
      <c r="AM23" s="264">
        <f t="shared" ca="1" si="8"/>
        <v>0</v>
      </c>
    </row>
    <row r="24" spans="2:39" ht="13" x14ac:dyDescent="0.3">
      <c r="B24" s="86" t="str">
        <f>'CF (Equity, Debt)'!C18</f>
        <v>ONT plc</v>
      </c>
      <c r="C24" s="87">
        <f>'CF (Equity, Debt)'!D18</f>
        <v>43990</v>
      </c>
      <c r="D24" s="94">
        <f>'CF (Equity, Debt)'!E18</f>
        <v>-34.851687094159864</v>
      </c>
      <c r="E24" s="94"/>
      <c r="F24" s="94"/>
      <c r="G24" s="94">
        <f t="shared" si="0"/>
        <v>-34.851687094159864</v>
      </c>
      <c r="H24" s="286" t="str">
        <f>IF(D24='CF (Equity, Debt)'!E18," ", "xxx")</f>
        <v xml:space="preserve"> </v>
      </c>
      <c r="O24" s="94">
        <f>D24</f>
        <v>-34.851687094159864</v>
      </c>
      <c r="AD24" s="86" t="str">
        <f>'S | 01 '!C22</f>
        <v>DriveNets</v>
      </c>
      <c r="AE24" s="250">
        <f>'S | 01 '!J22</f>
        <v>300</v>
      </c>
      <c r="AF24" s="250">
        <f t="shared" ca="1" si="1"/>
        <v>300</v>
      </c>
      <c r="AG24" s="250">
        <f t="shared" ca="1" si="5"/>
        <v>0</v>
      </c>
      <c r="AH24" s="250">
        <f t="shared" ca="1" si="2"/>
        <v>0</v>
      </c>
      <c r="AI24" s="250">
        <f t="shared" ca="1" si="3"/>
        <v>300</v>
      </c>
      <c r="AJ24" s="274">
        <f t="shared" si="4"/>
        <v>2.9802322387695314E-9</v>
      </c>
      <c r="AK24" s="264">
        <f t="shared" ca="1" si="6"/>
        <v>1</v>
      </c>
      <c r="AL24" s="264">
        <f t="shared" ca="1" si="7"/>
        <v>1</v>
      </c>
      <c r="AM24" s="264">
        <f t="shared" ca="1" si="8"/>
        <v>0</v>
      </c>
    </row>
    <row r="25" spans="2:39" ht="13" x14ac:dyDescent="0.3">
      <c r="B25" s="86" t="str">
        <f>'CF (Equity, Debt)'!C19</f>
        <v>ONT plc</v>
      </c>
      <c r="C25" s="87">
        <f>'CF (Equity, Debt)'!D19</f>
        <v>44315</v>
      </c>
      <c r="D25" s="94">
        <f>'CF (Equity, Debt)'!E19</f>
        <v>-11.240780424143557</v>
      </c>
      <c r="E25" s="94"/>
      <c r="F25" s="94"/>
      <c r="G25" s="94">
        <f t="shared" si="0"/>
        <v>-11.240780424143557</v>
      </c>
      <c r="H25" s="286" t="str">
        <f>IF(D25='CF (Equity, Debt)'!E19," ", "xxx")</f>
        <v xml:space="preserve"> </v>
      </c>
      <c r="O25" s="94">
        <f>D25</f>
        <v>-11.240780424143557</v>
      </c>
      <c r="AD25" s="84" t="str">
        <f>'S | 01 '!C23</f>
        <v>vTv Therapeutics Inc.</v>
      </c>
      <c r="AE25" s="250">
        <f ca="1">'S | 01 '!J23</f>
        <v>24.53125</v>
      </c>
      <c r="AF25" s="250">
        <f t="shared" ca="1" si="1"/>
        <v>24.53125</v>
      </c>
      <c r="AG25" s="250">
        <f t="shared" ca="1" si="5"/>
        <v>0</v>
      </c>
      <c r="AH25" s="250">
        <f t="shared" ca="1" si="2"/>
        <v>0</v>
      </c>
      <c r="AI25" s="250">
        <f t="shared" ca="1" si="3"/>
        <v>7.0626663199999999</v>
      </c>
      <c r="AJ25" s="274" t="str">
        <f t="shared" si="4"/>
        <v>NM</v>
      </c>
      <c r="AK25" s="264">
        <f t="shared" ca="1" si="6"/>
        <v>0.28790486909554142</v>
      </c>
      <c r="AL25" s="264">
        <f t="shared" ca="1" si="7"/>
        <v>0.28790486909554142</v>
      </c>
      <c r="AM25" s="264">
        <f t="shared" ca="1" si="8"/>
        <v>0</v>
      </c>
    </row>
    <row r="26" spans="2:39" ht="13" x14ac:dyDescent="0.3">
      <c r="B26" s="84" t="str">
        <f>'CF (Equity, Debt)'!C20</f>
        <v>Heygears</v>
      </c>
      <c r="C26" s="85">
        <f>'CF (Equity, Debt)'!D20</f>
        <v>44166</v>
      </c>
      <c r="D26" s="93">
        <f>'CF (Equity, Debt)'!E20</f>
        <v>-60</v>
      </c>
      <c r="E26" s="93"/>
      <c r="F26" s="93"/>
      <c r="G26" s="93">
        <f t="shared" si="0"/>
        <v>-60</v>
      </c>
      <c r="H26" s="286" t="str">
        <f>IF(D26='CF (Equity, Debt)'!E20," ", "xxx")</f>
        <v xml:space="preserve"> </v>
      </c>
      <c r="P26" s="93">
        <f>D26</f>
        <v>-60</v>
      </c>
      <c r="AD26" s="86" t="str">
        <f>'S | 01 '!C24</f>
        <v>Honor Device Co Ltd</v>
      </c>
      <c r="AE26" s="250">
        <f ca="1">'S | 01 '!J24</f>
        <v>800</v>
      </c>
      <c r="AF26" s="250">
        <f t="shared" ca="1" si="1"/>
        <v>800</v>
      </c>
      <c r="AG26" s="250">
        <f t="shared" ca="1" si="5"/>
        <v>0</v>
      </c>
      <c r="AH26" s="250">
        <f t="shared" ca="1" si="2"/>
        <v>0</v>
      </c>
      <c r="AI26" s="250">
        <f t="shared" ca="1" si="3"/>
        <v>817.18905035787873</v>
      </c>
      <c r="AJ26" s="274">
        <f t="shared" si="4"/>
        <v>2.2479972243309027E-2</v>
      </c>
      <c r="AK26" s="264">
        <f t="shared" ca="1" si="6"/>
        <v>1.0214863129473484</v>
      </c>
      <c r="AL26" s="264">
        <f t="shared" ca="1" si="7"/>
        <v>1.0214863129473484</v>
      </c>
      <c r="AM26" s="264">
        <f t="shared" ca="1" si="8"/>
        <v>0</v>
      </c>
    </row>
    <row r="27" spans="2:39" ht="13" x14ac:dyDescent="0.3">
      <c r="B27" s="86" t="str">
        <f>'CF (Equity, Debt)'!C21</f>
        <v>Jysan Technologies</v>
      </c>
      <c r="C27" s="87">
        <f>'CF (Equity, Debt)'!D21</f>
        <v>44363</v>
      </c>
      <c r="D27" s="94">
        <f>'CF (Equity, Debt)'!E21</f>
        <v>-20</v>
      </c>
      <c r="E27" s="94"/>
      <c r="F27" s="94"/>
      <c r="G27" s="94">
        <f t="shared" si="0"/>
        <v>-20</v>
      </c>
      <c r="H27" s="286" t="str">
        <f>IF(D27='CF (Equity, Debt)'!E21," ", "xxx")</f>
        <v xml:space="preserve"> </v>
      </c>
      <c r="Q27" s="94">
        <f>D27</f>
        <v>-20</v>
      </c>
      <c r="AD27" s="84" t="str">
        <f>'S | 01 '!C25</f>
        <v>Applied AI Corporation Limited</v>
      </c>
      <c r="AE27" s="250">
        <f>'S | 01 '!J25</f>
        <v>15</v>
      </c>
      <c r="AF27" s="250">
        <f t="shared" ca="1" si="1"/>
        <v>7.5</v>
      </c>
      <c r="AG27" s="250">
        <f t="shared" ref="AG27" ca="1" si="9">AE27-AF27</f>
        <v>7.5</v>
      </c>
      <c r="AH27" s="250">
        <f t="shared" ca="1" si="2"/>
        <v>0</v>
      </c>
      <c r="AI27" s="250">
        <f t="shared" ca="1" si="3"/>
        <v>7.5</v>
      </c>
      <c r="AJ27" s="274" t="str">
        <f t="shared" si="4"/>
        <v>NM</v>
      </c>
      <c r="AK27" s="264">
        <f t="shared" ref="AK27" ca="1" si="10">(AH27+AI27)/AF27</f>
        <v>1</v>
      </c>
      <c r="AL27" s="264">
        <f t="shared" ref="AL27" ca="1" si="11">AI27/AF27</f>
        <v>1</v>
      </c>
      <c r="AM27" s="264">
        <f t="shared" ref="AM27" ca="1" si="12">AH27/AF27</f>
        <v>0</v>
      </c>
    </row>
    <row r="28" spans="2:39" ht="13" x14ac:dyDescent="0.3">
      <c r="B28" s="84" t="str">
        <f>'CF (Equity, Debt)'!C22</f>
        <v>Cerebras Systems Inc</v>
      </c>
      <c r="C28" s="85">
        <f>'CF (Equity, Debt)'!D22</f>
        <v>44488</v>
      </c>
      <c r="D28" s="93">
        <f>'CF (Equity, Debt)'!E22</f>
        <v>-39.999983359999995</v>
      </c>
      <c r="E28" s="93"/>
      <c r="F28" s="93"/>
      <c r="G28" s="93">
        <f t="shared" si="0"/>
        <v>-39.999983359999995</v>
      </c>
      <c r="H28" s="286" t="str">
        <f>IF(D28='CF (Equity, Debt)'!E22," ", "xxx")</f>
        <v xml:space="preserve"> </v>
      </c>
      <c r="R28" s="93">
        <f>D28</f>
        <v>-39.999983359999995</v>
      </c>
      <c r="AD28" s="86" t="str">
        <f>'S | 01 '!C26</f>
        <v xml:space="preserve">eSpace </v>
      </c>
      <c r="AE28" s="250">
        <f>'S | 01 '!J26</f>
        <v>15</v>
      </c>
      <c r="AF28" s="250">
        <f t="shared" ca="1" si="1"/>
        <v>15</v>
      </c>
      <c r="AG28" s="250">
        <f t="shared" ref="AG28:AG29" ca="1" si="13">AE28-AF28</f>
        <v>0</v>
      </c>
      <c r="AH28" s="250">
        <f t="shared" ca="1" si="2"/>
        <v>0</v>
      </c>
      <c r="AI28" s="250">
        <f t="shared" ca="1" si="3"/>
        <v>15</v>
      </c>
      <c r="AJ28" s="274" t="str">
        <f t="shared" si="4"/>
        <v>NM</v>
      </c>
      <c r="AK28" s="264">
        <f t="shared" ref="AK28:AK29" ca="1" si="14">(AH28+AI28)/AF28</f>
        <v>1</v>
      </c>
      <c r="AL28" s="264">
        <f t="shared" ref="AL28:AL29" ca="1" si="15">AI28/AF28</f>
        <v>1</v>
      </c>
      <c r="AM28" s="264">
        <f t="shared" ref="AM28:AM29" ca="1" si="16">AH28/AF28</f>
        <v>0</v>
      </c>
    </row>
    <row r="29" spans="2:39" ht="13" x14ac:dyDescent="0.3">
      <c r="B29" s="86" t="str">
        <f>'CF (Equity, Debt)'!C23</f>
        <v>Endless Studios LLC</v>
      </c>
      <c r="C29" s="87">
        <f>'CF (Equity, Debt)'!D23</f>
        <v>44494</v>
      </c>
      <c r="D29" s="94">
        <f>'CF (Equity, Debt)'!E23</f>
        <v>-3</v>
      </c>
      <c r="E29" s="94"/>
      <c r="F29" s="94"/>
      <c r="G29" s="94">
        <f t="shared" si="0"/>
        <v>-3</v>
      </c>
      <c r="H29" s="286" t="str">
        <f>IF(D29='CF (Equity, Debt)'!E23," ", "xxx")</f>
        <v xml:space="preserve"> </v>
      </c>
      <c r="S29" s="94">
        <f>D29</f>
        <v>-3</v>
      </c>
      <c r="AD29" s="84" t="str">
        <f>'S | 01 '!C27</f>
        <v>Tools for Humanity Corporation</v>
      </c>
      <c r="AE29" s="250">
        <f ca="1">'S | 01 '!J27</f>
        <v>14.999998939999999</v>
      </c>
      <c r="AF29" s="250">
        <f t="shared" ca="1" si="1"/>
        <v>14.999998939999999</v>
      </c>
      <c r="AG29" s="629">
        <f t="shared" ca="1" si="13"/>
        <v>0</v>
      </c>
      <c r="AH29" s="250">
        <f t="shared" ca="1" si="2"/>
        <v>0</v>
      </c>
      <c r="AI29" s="250">
        <f t="shared" ca="1" si="3"/>
        <v>14.999998939999999</v>
      </c>
      <c r="AJ29" s="274" t="str">
        <f ca="1">HLOOKUP(AD29,$J$7:$AC$77,$AJ$10,0)</f>
        <v>NM</v>
      </c>
      <c r="AK29" s="264">
        <f t="shared" ca="1" si="14"/>
        <v>1</v>
      </c>
      <c r="AL29" s="264">
        <f t="shared" ca="1" si="15"/>
        <v>1</v>
      </c>
      <c r="AM29" s="264">
        <f t="shared" ca="1" si="16"/>
        <v>0</v>
      </c>
    </row>
    <row r="30" spans="2:39" ht="13" x14ac:dyDescent="0.3">
      <c r="B30" s="84" t="str">
        <f>'CF (Equity, Debt)'!C24</f>
        <v>Instadeep Limited</v>
      </c>
      <c r="C30" s="85">
        <f>'CF (Equity, Debt)'!D24</f>
        <v>44550</v>
      </c>
      <c r="D30" s="93">
        <f>'CF (Equity, Debt)'!E24</f>
        <v>-5.0237201984774336</v>
      </c>
      <c r="E30" s="93"/>
      <c r="F30" s="93"/>
      <c r="G30" s="93">
        <f t="shared" si="0"/>
        <v>-5.0237201984774336</v>
      </c>
      <c r="H30" s="286" t="str">
        <f>IF(D30='CF (Equity, Debt)'!E24," ", "xxx")</f>
        <v xml:space="preserve"> </v>
      </c>
      <c r="T30" s="93">
        <f>D30</f>
        <v>-5.0237201984774336</v>
      </c>
      <c r="AD30" s="84" t="str">
        <f>'S | 01 '!C28</f>
        <v>WLD Tokens</v>
      </c>
      <c r="AE30" s="250">
        <f ca="1">'S | 01 '!J28</f>
        <v>6.875E-3</v>
      </c>
      <c r="AF30" s="250">
        <f t="shared" ref="AF30" ca="1" si="17">-SUMIF($B$7:$F$121,$AD30,$D$7:$D$121)</f>
        <v>6.875E-3</v>
      </c>
      <c r="AG30" s="629">
        <f t="shared" ref="AG30" ca="1" si="18">AE30-AF30</f>
        <v>0</v>
      </c>
      <c r="AH30" s="250">
        <f t="shared" ref="AH30" ca="1" si="19">SUMIF($B$7:$F$121,$AD30,$E$7:$E$121)</f>
        <v>0</v>
      </c>
      <c r="AI30" s="250">
        <f t="shared" ref="AI30" ca="1" si="20">SUMIF($B$7:$F$121,$AD30,$F$7:$F$121)</f>
        <v>15</v>
      </c>
      <c r="AJ30" s="274" t="str">
        <f t="shared" ref="AJ30" si="21">HLOOKUP(AD30,$J$7:$AC$77,$AJ$10,0)</f>
        <v>NM</v>
      </c>
      <c r="AK30" s="264">
        <f t="shared" ref="AK30" ca="1" si="22">(AH30+AI30)/AF30</f>
        <v>2181.818181818182</v>
      </c>
      <c r="AL30" s="264">
        <f t="shared" ref="AL30" ca="1" si="23">AI30/AF30</f>
        <v>2181.818181818182</v>
      </c>
      <c r="AM30" s="264">
        <f t="shared" ref="AM30" ca="1" si="24">AH30/AF30</f>
        <v>0</v>
      </c>
    </row>
    <row r="31" spans="2:39" ht="13" x14ac:dyDescent="0.3">
      <c r="B31" s="86" t="str">
        <f>'CF (Equity, Debt)'!C25</f>
        <v>X-fusion</v>
      </c>
      <c r="C31" s="87">
        <f>'CF (Equity, Debt)'!D25</f>
        <v>44574</v>
      </c>
      <c r="D31" s="94">
        <f>'CF (Equity, Debt)'!E25</f>
        <v>-493.50095619999996</v>
      </c>
      <c r="E31" s="94"/>
      <c r="F31" s="94"/>
      <c r="G31" s="94">
        <f t="shared" si="0"/>
        <v>-493.50095619999996</v>
      </c>
      <c r="H31" s="286" t="str">
        <f>IF(D31='CF (Equity, Debt)'!E25," ", "xxx")</f>
        <v xml:space="preserve"> </v>
      </c>
      <c r="U31" s="94">
        <f>D31</f>
        <v>-493.50095619999996</v>
      </c>
      <c r="AD31" s="84"/>
      <c r="AE31" s="250"/>
      <c r="AF31" s="250"/>
      <c r="AG31" s="629"/>
      <c r="AH31" s="250"/>
      <c r="AI31" s="250"/>
      <c r="AJ31" s="274"/>
      <c r="AK31" s="264"/>
      <c r="AL31" s="264"/>
      <c r="AM31" s="264"/>
    </row>
    <row r="32" spans="2:39" x14ac:dyDescent="0.3">
      <c r="B32" s="84" t="str">
        <f>'CF (Equity, Debt)'!C26</f>
        <v>DriveNets</v>
      </c>
      <c r="C32" s="85">
        <f>'CF (Equity, Debt)'!D26</f>
        <v>44643</v>
      </c>
      <c r="D32" s="93">
        <f>'CF (Equity, Debt)'!E26</f>
        <v>-200</v>
      </c>
      <c r="E32" s="93"/>
      <c r="F32" s="93"/>
      <c r="G32" s="93">
        <f t="shared" si="0"/>
        <v>-200</v>
      </c>
      <c r="H32" s="286" t="str">
        <f>IF(D32='CF (Equity, Debt)'!E26," ", "xxx")</f>
        <v xml:space="preserve"> </v>
      </c>
      <c r="V32" s="93">
        <f>D32</f>
        <v>-200</v>
      </c>
    </row>
    <row r="33" spans="2:39" ht="13" x14ac:dyDescent="0.3">
      <c r="B33" s="84" t="str">
        <f>'CF (Equity, Debt)'!C27</f>
        <v>DriveNets</v>
      </c>
      <c r="C33" s="85">
        <f>'CF (Equity, Debt)'!D27</f>
        <v>44680</v>
      </c>
      <c r="D33" s="93">
        <f>'CF (Equity, Debt)'!E27</f>
        <v>-100</v>
      </c>
      <c r="E33" s="93"/>
      <c r="F33" s="93"/>
      <c r="G33" s="93">
        <f t="shared" si="0"/>
        <v>-100</v>
      </c>
      <c r="H33" s="286" t="str">
        <f>IF(D33='CF (Equity, Debt)'!E27," ", "xxx")</f>
        <v xml:space="preserve"> </v>
      </c>
      <c r="V33" s="93">
        <f>D33</f>
        <v>-100</v>
      </c>
      <c r="AD33" s="261"/>
      <c r="AE33" s="263">
        <f ca="1">SUM(AE12:AE30)</f>
        <v>2108.0362048089241</v>
      </c>
      <c r="AF33" s="263">
        <f ca="1">SUM(AF12:AF30)</f>
        <v>2100.5330433728436</v>
      </c>
      <c r="AG33" s="263">
        <f ca="1">SUM(AG12:AG30)</f>
        <v>7.5031614360804335</v>
      </c>
      <c r="AH33" s="263">
        <f ca="1">SUM(AH12:AH30)</f>
        <v>12.8207761</v>
      </c>
      <c r="AI33" s="263">
        <f ca="1">SUM(AI12:AI30)</f>
        <v>2118.5933369349004</v>
      </c>
      <c r="AJ33" s="406">
        <f ca="1">AE38</f>
        <v>9.2234104871749927E-3</v>
      </c>
      <c r="AK33" s="265">
        <f ca="1">(AH33+AI33)/AF33</f>
        <v>1.0147015395732459</v>
      </c>
      <c r="AL33" s="265">
        <f ca="1">AI33/AF33</f>
        <v>1.0085979573704098</v>
      </c>
      <c r="AM33" s="265">
        <f ca="1">AH33/AF33</f>
        <v>6.1035822028362718E-3</v>
      </c>
    </row>
    <row r="34" spans="2:39" x14ac:dyDescent="0.3">
      <c r="B34" s="86" t="str">
        <f>'CF (Equity, Debt)'!C28</f>
        <v xml:space="preserve">Esyasoft Holding </v>
      </c>
      <c r="C34" s="87">
        <f>'CF (Equity, Debt)'!D28</f>
        <v>44691</v>
      </c>
      <c r="D34" s="94">
        <f>'CF (Equity, Debt)'!E28</f>
        <v>0</v>
      </c>
      <c r="E34" s="94">
        <f>'CF (Equity, Debt)'!F28</f>
        <v>5</v>
      </c>
      <c r="F34" s="94"/>
      <c r="G34" s="94">
        <f t="shared" si="0"/>
        <v>5</v>
      </c>
      <c r="H34" s="286" t="str">
        <f>IF(D34='CF (Equity, Debt)'!E28," ", "xxx")</f>
        <v xml:space="preserve"> </v>
      </c>
      <c r="M34" s="99">
        <f>E34</f>
        <v>5</v>
      </c>
      <c r="AE34" s="83" t="b">
        <f ca="1">ROUND('S | 01 '!J30,2)=ROUND(AE33,2)</f>
        <v>1</v>
      </c>
      <c r="AF34" s="83" t="b">
        <f ca="1">ROUND('S | 01 '!K30,2)=ROUND(AF33,2)</f>
        <v>1</v>
      </c>
      <c r="AG34" s="83" t="b">
        <f ca="1">ROUND('S | 01 '!L30,2)=ROUND(AG33,2)</f>
        <v>1</v>
      </c>
      <c r="AH34" s="83" t="b">
        <f ca="1">ROUND('S | 01 '!M30,2)=ROUND(AH33,2)</f>
        <v>1</v>
      </c>
      <c r="AI34" s="83" t="b">
        <f ca="1">ROUND('S | 01 '!N30,2)=ROUND(AI33,2)</f>
        <v>1</v>
      </c>
      <c r="AJ34" s="83" t="b">
        <f ca="1">ROUND('S | 01 '!Q30,2)=ROUND(AJ33,2)</f>
        <v>1</v>
      </c>
      <c r="AK34" s="83" t="b">
        <f ca="1">ROUND('S | 01 '!P30,2)=ROUND(AK33,2)</f>
        <v>1</v>
      </c>
    </row>
    <row r="35" spans="2:39" x14ac:dyDescent="0.3">
      <c r="B35" s="86" t="str">
        <f>'CF (Equity, Debt)'!C29</f>
        <v>vTv Therapeutics Inc.</v>
      </c>
      <c r="C35" s="87">
        <f>'CF (Equity, Debt)'!D29</f>
        <v>44712</v>
      </c>
      <c r="D35" s="94">
        <f>'CF (Equity, Debt)'!E29</f>
        <v>-12.5</v>
      </c>
      <c r="E35" s="94"/>
      <c r="F35" s="94"/>
      <c r="G35" s="94">
        <f t="shared" si="0"/>
        <v>-12.5</v>
      </c>
      <c r="H35" s="286" t="str">
        <f>IF(D35='CF (Equity, Debt)'!E29," ", "xxx")</f>
        <v xml:space="preserve"> </v>
      </c>
      <c r="W35" s="94">
        <f>D35</f>
        <v>-12.5</v>
      </c>
    </row>
    <row r="36" spans="2:39" x14ac:dyDescent="0.3">
      <c r="B36" s="84" t="str">
        <f>'CF (Equity, Debt)'!C30</f>
        <v>Honor Device Co Ltd</v>
      </c>
      <c r="C36" s="85">
        <f>'CF (Equity, Debt)'!D30</f>
        <v>44769</v>
      </c>
      <c r="D36" s="93">
        <f>'CF (Equity, Debt)'!E30</f>
        <v>-600</v>
      </c>
      <c r="E36" s="93"/>
      <c r="F36" s="93"/>
      <c r="G36" s="93">
        <f t="shared" si="0"/>
        <v>-600</v>
      </c>
      <c r="H36" s="286" t="str">
        <f>IF(D36='CF (Equity, Debt)'!E30," ", "xxx")</f>
        <v xml:space="preserve"> </v>
      </c>
      <c r="X36" s="93">
        <f>D36</f>
        <v>-600</v>
      </c>
    </row>
    <row r="37" spans="2:39" ht="13" x14ac:dyDescent="0.3">
      <c r="B37" s="84" t="str">
        <f>'CF (Equity, Debt)'!C31</f>
        <v>Honor Device Co Ltd</v>
      </c>
      <c r="C37" s="85">
        <f>'CF (Equity, Debt)'!D31</f>
        <v>44849</v>
      </c>
      <c r="D37" s="93">
        <f>'CF (Equity, Debt)'!E31</f>
        <v>-200</v>
      </c>
      <c r="E37" s="93"/>
      <c r="F37" s="93"/>
      <c r="G37" s="93">
        <f t="shared" ref="G37" si="25">SUM(D37:F37)</f>
        <v>-200</v>
      </c>
      <c r="X37" s="93">
        <f>D37</f>
        <v>-200</v>
      </c>
      <c r="AD37" s="136"/>
      <c r="AE37" s="136"/>
      <c r="AF37" s="136"/>
    </row>
    <row r="38" spans="2:39" ht="13" x14ac:dyDescent="0.3">
      <c r="B38" s="84" t="str">
        <f>'CF (Equity, Debt)'!C32</f>
        <v>Applied AI Corporation Limited</v>
      </c>
      <c r="C38" s="85">
        <f>'CF (Equity, Debt)'!D32</f>
        <v>44861</v>
      </c>
      <c r="D38" s="93">
        <f>'CF (Equity, Debt)'!E32</f>
        <v>-4.75</v>
      </c>
      <c r="E38" s="93"/>
      <c r="F38" s="93"/>
      <c r="G38" s="93">
        <f t="shared" ref="G38" si="26">SUM(D38:F38)</f>
        <v>-4.75</v>
      </c>
      <c r="Y38" s="93">
        <f>D38</f>
        <v>-4.75</v>
      </c>
      <c r="Z38" s="93"/>
      <c r="AD38" s="254" t="s">
        <v>216</v>
      </c>
      <c r="AE38" s="609">
        <f ca="1">XIRR(G10:G85,C10:C85)</f>
        <v>9.2234104871749927E-3</v>
      </c>
      <c r="AF38" s="136"/>
      <c r="AG38" s="485"/>
    </row>
    <row r="39" spans="2:39" ht="13" x14ac:dyDescent="0.3">
      <c r="B39" s="84" t="str">
        <f>'CF (Equity, Debt)'!C33</f>
        <v xml:space="preserve">eSpace </v>
      </c>
      <c r="C39" s="85">
        <f>'CF (Equity, Debt)'!D33</f>
        <v>44892</v>
      </c>
      <c r="D39" s="93">
        <f>'CF (Equity, Debt)'!E33</f>
        <v>-15</v>
      </c>
      <c r="E39" s="93"/>
      <c r="F39" s="93"/>
      <c r="G39" s="93">
        <f t="shared" ref="G39" si="27">SUM(D39:F39)</f>
        <v>-15</v>
      </c>
      <c r="Y39" s="93"/>
      <c r="Z39" s="93">
        <f>G39</f>
        <v>-15</v>
      </c>
      <c r="AD39" s="255" t="s">
        <v>43</v>
      </c>
      <c r="AE39" s="270">
        <f ca="1">SUM(AH12:AI28)/SUM(AF12:AF28)</f>
        <v>1.0076181948205318</v>
      </c>
      <c r="AF39" s="512" t="b">
        <f ca="1">AE39=AK33</f>
        <v>0</v>
      </c>
      <c r="AG39" s="485"/>
    </row>
    <row r="40" spans="2:39" ht="13" x14ac:dyDescent="0.3">
      <c r="B40" s="84" t="str">
        <f>'CF (Equity, Debt)'!C34</f>
        <v>vTv Therapeutics Inc.</v>
      </c>
      <c r="C40" s="85">
        <f>'CF (Equity, Debt)'!D34</f>
        <v>44985</v>
      </c>
      <c r="D40" s="93">
        <f>'CF (Equity, Debt)'!E34</f>
        <v>-12.03125</v>
      </c>
      <c r="E40" s="93"/>
      <c r="F40" s="93"/>
      <c r="G40" s="93">
        <f t="shared" ref="G40" si="28">SUM(D40:F40)</f>
        <v>-12.03125</v>
      </c>
      <c r="W40" s="93">
        <f>G40</f>
        <v>-12.03125</v>
      </c>
      <c r="Y40" s="93"/>
      <c r="AD40" s="255" t="s">
        <v>218</v>
      </c>
      <c r="AE40" s="270">
        <f ca="1">SUM(AI12:AI28)/SUM(AF12:AF28)</f>
        <v>1.0014706929152997</v>
      </c>
      <c r="AF40" s="513" t="b">
        <f ca="1">AE40=AL33</f>
        <v>0</v>
      </c>
    </row>
    <row r="41" spans="2:39" ht="13" x14ac:dyDescent="0.3">
      <c r="B41" s="84" t="str">
        <f>'CF (Equity, Debt)'!C35</f>
        <v>Tools for Humanity Corporation</v>
      </c>
      <c r="C41" s="85">
        <f>'CF (Equity, Debt)'!D35</f>
        <v>45075</v>
      </c>
      <c r="D41" s="93">
        <f>'CF (Equity, Debt)'!E35</f>
        <v>-14.999998939999999</v>
      </c>
      <c r="E41" s="93"/>
      <c r="F41" s="93"/>
      <c r="G41" s="93">
        <f t="shared" ref="G41" si="29">SUM(D41:F41)</f>
        <v>-14.999998939999999</v>
      </c>
      <c r="W41" s="93"/>
      <c r="Y41" s="93"/>
      <c r="AA41" s="93">
        <f>G41</f>
        <v>-14.999998939999999</v>
      </c>
      <c r="AD41" s="256" t="s">
        <v>140</v>
      </c>
      <c r="AE41" s="271">
        <f ca="1">SUM(AH12:AH28)/SUM(AF12:AF28)</f>
        <v>6.1475019052321909E-3</v>
      </c>
      <c r="AF41" s="512" t="b">
        <f ca="1">AE41=AM33</f>
        <v>0</v>
      </c>
    </row>
    <row r="42" spans="2:39" ht="13" x14ac:dyDescent="0.3">
      <c r="B42" s="84" t="str">
        <f>'CF (Equity, Debt)'!C36</f>
        <v>WLD Tokens</v>
      </c>
      <c r="C42" s="85">
        <f>'CF (Equity, Debt)'!D36</f>
        <v>45075</v>
      </c>
      <c r="D42" s="93">
        <f>'CF (Equity, Debt)'!E36</f>
        <v>-5.875E-3</v>
      </c>
      <c r="E42" s="93"/>
      <c r="F42" s="93"/>
      <c r="G42" s="93">
        <f t="shared" ref="G42" si="30">SUM(D42:F42)</f>
        <v>-5.875E-3</v>
      </c>
      <c r="W42" s="93"/>
      <c r="Y42" s="93"/>
      <c r="AB42" s="93">
        <f>G42</f>
        <v>-5.875E-3</v>
      </c>
      <c r="AF42" s="136"/>
    </row>
    <row r="43" spans="2:39" ht="13" x14ac:dyDescent="0.3">
      <c r="B43" s="84" t="str">
        <f>'CF (Equity, Debt)'!C37</f>
        <v>WLD Tokens</v>
      </c>
      <c r="C43" s="85">
        <f>'CF (Equity, Debt)'!D37</f>
        <v>45114</v>
      </c>
      <c r="D43" s="93">
        <f>'CF (Equity, Debt)'!E37</f>
        <v>-1E-3</v>
      </c>
      <c r="E43" s="93"/>
      <c r="F43" s="93"/>
      <c r="G43" s="93">
        <f t="shared" ref="G43:G45" si="31">SUM(D43:F43)</f>
        <v>-1E-3</v>
      </c>
      <c r="W43" s="93"/>
      <c r="Y43" s="93"/>
      <c r="AB43" s="93">
        <f>G43</f>
        <v>-1E-3</v>
      </c>
      <c r="AF43" s="136"/>
    </row>
    <row r="44" spans="2:39" ht="13" x14ac:dyDescent="0.3">
      <c r="B44" s="84" t="str">
        <f>'CF (Equity, Debt)'!C38</f>
        <v>Applied AI Corporation Limited</v>
      </c>
      <c r="C44" s="85">
        <f>'CF (Equity, Debt)'!D38</f>
        <v>45121</v>
      </c>
      <c r="D44" s="93">
        <f>'CF (Equity, Debt)'!E38</f>
        <v>-2.75</v>
      </c>
      <c r="E44" s="93"/>
      <c r="F44" s="93"/>
      <c r="G44" s="93">
        <f t="shared" si="31"/>
        <v>-2.75</v>
      </c>
      <c r="W44" s="93"/>
      <c r="Y44" s="93">
        <f>G44</f>
        <v>-2.75</v>
      </c>
      <c r="AF44" s="136"/>
    </row>
    <row r="45" spans="2:39" ht="13" x14ac:dyDescent="0.3">
      <c r="B45" s="84" t="str">
        <f>'CF (Equity, Debt)'!C39</f>
        <v>Instadeep Limited</v>
      </c>
      <c r="C45" s="85">
        <f>'CF (Equity, Debt)'!D39</f>
        <v>45138</v>
      </c>
      <c r="D45" s="93">
        <f>'CF (Equity, Debt)'!E39</f>
        <v>0</v>
      </c>
      <c r="E45" s="93">
        <f>'CF (Equity, Debt)'!F39</f>
        <v>7.8207760999999989</v>
      </c>
      <c r="F45" s="93"/>
      <c r="G45" s="93">
        <f t="shared" si="31"/>
        <v>7.8207760999999989</v>
      </c>
      <c r="T45" s="93">
        <f>G45</f>
        <v>7.8207760999999989</v>
      </c>
      <c r="Y45" s="88"/>
      <c r="AF45" s="136"/>
    </row>
    <row r="46" spans="2:39" ht="13" x14ac:dyDescent="0.3">
      <c r="H46" s="720"/>
      <c r="I46" s="721"/>
      <c r="J46" s="721"/>
      <c r="K46" s="721"/>
      <c r="L46" s="721"/>
      <c r="M46" s="721"/>
      <c r="N46" s="721"/>
      <c r="O46" s="721"/>
      <c r="P46" s="721"/>
      <c r="Q46" s="721"/>
      <c r="R46" s="721"/>
      <c r="S46" s="721"/>
      <c r="T46" s="721"/>
      <c r="U46" s="721"/>
      <c r="V46" s="721"/>
      <c r="W46" s="721"/>
      <c r="X46" s="721"/>
      <c r="Y46" s="299"/>
      <c r="Z46" s="299"/>
      <c r="AA46" s="299"/>
      <c r="AB46" s="299"/>
      <c r="AF46" s="136"/>
    </row>
    <row r="47" spans="2:39" ht="13" x14ac:dyDescent="0.3">
      <c r="B47" s="86" t="str">
        <f>NAV!B9</f>
        <v>Jollychic Holding Limited</v>
      </c>
      <c r="C47" s="87">
        <f>$C$4</f>
        <v>45138</v>
      </c>
      <c r="D47" s="94"/>
      <c r="E47" s="94"/>
      <c r="F47" s="94">
        <f>NAV!E9</f>
        <v>0</v>
      </c>
      <c r="G47" s="94">
        <f t="shared" ref="G47:G61" si="32">SUM(D47:F47)</f>
        <v>0</v>
      </c>
      <c r="H47" s="284"/>
      <c r="J47" s="99">
        <f>F47</f>
        <v>0</v>
      </c>
      <c r="AD47" s="136"/>
      <c r="AE47" s="136"/>
      <c r="AF47" s="136"/>
    </row>
    <row r="48" spans="2:39" x14ac:dyDescent="0.3">
      <c r="B48" s="84" t="str">
        <f>NAV!B10</f>
        <v>Mena Mobile Inc</v>
      </c>
      <c r="C48" s="85">
        <f t="shared" ref="C48:C65" si="33">$C$4</f>
        <v>45138</v>
      </c>
      <c r="D48" s="93"/>
      <c r="E48" s="93"/>
      <c r="F48" s="93">
        <f>NAV!E10</f>
        <v>0</v>
      </c>
      <c r="G48" s="93">
        <f t="shared" si="32"/>
        <v>0</v>
      </c>
      <c r="H48" s="284"/>
      <c r="K48" s="99">
        <f>F48</f>
        <v>0</v>
      </c>
    </row>
    <row r="49" spans="2:27" x14ac:dyDescent="0.3">
      <c r="B49" s="86" t="str">
        <f>NAV!B11</f>
        <v>Flyr Inc</v>
      </c>
      <c r="C49" s="87">
        <f t="shared" si="33"/>
        <v>45138</v>
      </c>
      <c r="D49" s="94"/>
      <c r="E49" s="94"/>
      <c r="F49" s="94">
        <f>NAV!E11</f>
        <v>78.082229999999996</v>
      </c>
      <c r="G49" s="94">
        <f t="shared" si="32"/>
        <v>78.082229999999996</v>
      </c>
      <c r="H49" s="284"/>
      <c r="L49" s="99">
        <f>F49</f>
        <v>78.082229999999996</v>
      </c>
    </row>
    <row r="50" spans="2:27" x14ac:dyDescent="0.3">
      <c r="B50" s="84" t="str">
        <f>NAV!B12</f>
        <v xml:space="preserve">Esyasoft Holding </v>
      </c>
      <c r="C50" s="85">
        <f t="shared" si="33"/>
        <v>45138</v>
      </c>
      <c r="D50" s="93"/>
      <c r="E50" s="93"/>
      <c r="F50" s="93">
        <f>NAV!E12</f>
        <v>0</v>
      </c>
      <c r="G50" s="93">
        <f t="shared" si="32"/>
        <v>0</v>
      </c>
      <c r="H50" s="284"/>
      <c r="M50" s="99"/>
    </row>
    <row r="51" spans="2:27" x14ac:dyDescent="0.3">
      <c r="B51" s="86" t="str">
        <f>NAV!B13</f>
        <v>Beyond Limits</v>
      </c>
      <c r="C51" s="87">
        <f t="shared" si="33"/>
        <v>45138</v>
      </c>
      <c r="D51" s="94"/>
      <c r="E51" s="94"/>
      <c r="F51" s="94">
        <f>NAV!E13</f>
        <v>91.001540300000002</v>
      </c>
      <c r="G51" s="94">
        <f t="shared" si="32"/>
        <v>91.001540300000002</v>
      </c>
      <c r="H51" s="284"/>
      <c r="N51" s="99">
        <f>F51</f>
        <v>91.001540300000002</v>
      </c>
    </row>
    <row r="52" spans="2:27" x14ac:dyDescent="0.3">
      <c r="B52" s="84" t="str">
        <f>NAV!B14</f>
        <v>ONT plc</v>
      </c>
      <c r="C52" s="85">
        <f t="shared" si="33"/>
        <v>45138</v>
      </c>
      <c r="D52" s="93"/>
      <c r="E52" s="93"/>
      <c r="F52" s="93">
        <f>NAV!E14</f>
        <v>150.4004386130496</v>
      </c>
      <c r="G52" s="93">
        <f t="shared" si="32"/>
        <v>150.4004386130496</v>
      </c>
      <c r="H52" s="284"/>
      <c r="O52" s="99">
        <f>F52</f>
        <v>150.4004386130496</v>
      </c>
    </row>
    <row r="53" spans="2:27" x14ac:dyDescent="0.3">
      <c r="B53" s="86" t="str">
        <f>NAV!B15</f>
        <v>Heygears</v>
      </c>
      <c r="C53" s="87">
        <f t="shared" si="33"/>
        <v>45138</v>
      </c>
      <c r="D53" s="94"/>
      <c r="E53" s="94"/>
      <c r="F53" s="94">
        <f>NAV!E15</f>
        <v>151.06943446641711</v>
      </c>
      <c r="G53" s="94">
        <f t="shared" si="32"/>
        <v>151.06943446641711</v>
      </c>
      <c r="H53" s="284"/>
      <c r="P53" s="99">
        <f>F53</f>
        <v>151.06943446641711</v>
      </c>
    </row>
    <row r="54" spans="2:27" x14ac:dyDescent="0.3">
      <c r="B54" s="84" t="str">
        <f>NAV!B16</f>
        <v>Jysan Technologies</v>
      </c>
      <c r="C54" s="85">
        <f t="shared" si="33"/>
        <v>45138</v>
      </c>
      <c r="D54" s="93"/>
      <c r="E54" s="93"/>
      <c r="F54" s="93">
        <f>NAV!E16</f>
        <v>20</v>
      </c>
      <c r="G54" s="93">
        <f t="shared" si="32"/>
        <v>20</v>
      </c>
      <c r="H54" s="284"/>
      <c r="Q54" s="99">
        <f>F54</f>
        <v>20</v>
      </c>
    </row>
    <row r="55" spans="2:27" x14ac:dyDescent="0.3">
      <c r="B55" s="86" t="str">
        <f>NAV!B17</f>
        <v>Cerebras Systems Inc</v>
      </c>
      <c r="C55" s="87">
        <f t="shared" si="33"/>
        <v>45138</v>
      </c>
      <c r="D55" s="94"/>
      <c r="E55" s="94"/>
      <c r="F55" s="94">
        <f>NAV!E17</f>
        <v>39.999983359999995</v>
      </c>
      <c r="G55" s="94">
        <f t="shared" si="32"/>
        <v>39.999983359999995</v>
      </c>
      <c r="H55" s="284"/>
      <c r="R55" s="99">
        <f>F55</f>
        <v>39.999983359999995</v>
      </c>
    </row>
    <row r="56" spans="2:27" x14ac:dyDescent="0.3">
      <c r="B56" s="84" t="str">
        <f>NAV!B18</f>
        <v>Endless Studios LLC</v>
      </c>
      <c r="C56" s="85">
        <f t="shared" si="33"/>
        <v>45138</v>
      </c>
      <c r="D56" s="93"/>
      <c r="E56" s="93"/>
      <c r="F56" s="93">
        <f>NAV!E18</f>
        <v>3</v>
      </c>
      <c r="G56" s="93">
        <f t="shared" si="32"/>
        <v>3</v>
      </c>
      <c r="H56" s="284"/>
      <c r="S56" s="99">
        <f>F56</f>
        <v>3</v>
      </c>
    </row>
    <row r="57" spans="2:27" x14ac:dyDescent="0.3">
      <c r="B57" s="86" t="str">
        <f>NAV!B19</f>
        <v>Instadeep Limited</v>
      </c>
      <c r="C57" s="87">
        <f t="shared" si="33"/>
        <v>45138</v>
      </c>
      <c r="D57" s="94"/>
      <c r="E57" s="94"/>
      <c r="F57" s="94">
        <f>NAV!E19</f>
        <v>0</v>
      </c>
      <c r="G57" s="94">
        <f t="shared" si="32"/>
        <v>0</v>
      </c>
      <c r="H57" s="284"/>
      <c r="T57" s="99">
        <f>F57</f>
        <v>0</v>
      </c>
    </row>
    <row r="58" spans="2:27" x14ac:dyDescent="0.3">
      <c r="B58" s="84" t="str">
        <f>NAV!B20</f>
        <v>X-fusion</v>
      </c>
      <c r="C58" s="85">
        <f t="shared" si="33"/>
        <v>45138</v>
      </c>
      <c r="D58" s="93"/>
      <c r="E58" s="93"/>
      <c r="F58" s="93">
        <f>NAV!E20</f>
        <v>408.28799457755485</v>
      </c>
      <c r="G58" s="93">
        <f t="shared" si="32"/>
        <v>408.28799457755485</v>
      </c>
      <c r="H58" s="284"/>
      <c r="U58" s="99">
        <f>F58</f>
        <v>408.28799457755485</v>
      </c>
    </row>
    <row r="59" spans="2:27" x14ac:dyDescent="0.3">
      <c r="B59" s="86" t="str">
        <f>NAV!B21</f>
        <v>DriveNets</v>
      </c>
      <c r="C59" s="87">
        <f t="shared" si="33"/>
        <v>45138</v>
      </c>
      <c r="D59" s="94"/>
      <c r="E59" s="94"/>
      <c r="F59" s="94">
        <f>NAV!E21</f>
        <v>300</v>
      </c>
      <c r="G59" s="94">
        <f t="shared" si="32"/>
        <v>300</v>
      </c>
      <c r="H59" s="284"/>
      <c r="V59" s="99">
        <f>F59</f>
        <v>300</v>
      </c>
    </row>
    <row r="60" spans="2:27" x14ac:dyDescent="0.3">
      <c r="B60" s="84" t="str">
        <f>NAV!B22</f>
        <v>vTv Therapeutics Inc.</v>
      </c>
      <c r="C60" s="85">
        <f t="shared" si="33"/>
        <v>45138</v>
      </c>
      <c r="D60" s="93"/>
      <c r="E60" s="93"/>
      <c r="F60" s="93">
        <f>NAV!E22</f>
        <v>7.0626663199999999</v>
      </c>
      <c r="G60" s="93">
        <f t="shared" si="32"/>
        <v>7.0626663199999999</v>
      </c>
      <c r="H60" s="284"/>
      <c r="W60" s="99">
        <f>F60</f>
        <v>7.0626663199999999</v>
      </c>
    </row>
    <row r="61" spans="2:27" x14ac:dyDescent="0.3">
      <c r="B61" s="86" t="str">
        <f>NAV!B23</f>
        <v>Honor Device Co Ltd</v>
      </c>
      <c r="C61" s="87">
        <f t="shared" si="33"/>
        <v>45138</v>
      </c>
      <c r="D61" s="94"/>
      <c r="E61" s="94"/>
      <c r="F61" s="94">
        <f>NAV!E23</f>
        <v>817.18905035787873</v>
      </c>
      <c r="G61" s="94">
        <f t="shared" si="32"/>
        <v>817.18905035787873</v>
      </c>
      <c r="H61" s="284"/>
      <c r="X61" s="99">
        <f>F61</f>
        <v>817.18905035787873</v>
      </c>
    </row>
    <row r="62" spans="2:27" x14ac:dyDescent="0.3">
      <c r="B62" s="84" t="str">
        <f>NAV!B24</f>
        <v>Applied AI Corporation Limited</v>
      </c>
      <c r="C62" s="85">
        <f t="shared" si="33"/>
        <v>45138</v>
      </c>
      <c r="D62" s="93"/>
      <c r="E62" s="93"/>
      <c r="F62" s="93">
        <f>NAV!E24</f>
        <v>7.5</v>
      </c>
      <c r="G62" s="93">
        <f t="shared" ref="G62" si="34">SUM(D62:F62)</f>
        <v>7.5</v>
      </c>
      <c r="Y62" s="99">
        <f>F62</f>
        <v>7.5</v>
      </c>
      <c r="Z62" s="99"/>
      <c r="AA62" s="99"/>
    </row>
    <row r="63" spans="2:27" x14ac:dyDescent="0.3">
      <c r="B63" s="86" t="str">
        <f>NAV!B25</f>
        <v xml:space="preserve">eSpace </v>
      </c>
      <c r="C63" s="87">
        <f t="shared" si="33"/>
        <v>45138</v>
      </c>
      <c r="D63" s="94"/>
      <c r="E63" s="94"/>
      <c r="F63" s="94">
        <f>NAV!E25</f>
        <v>15</v>
      </c>
      <c r="G63" s="94">
        <f t="shared" ref="G63" si="35">SUM(D63:F63)</f>
        <v>15</v>
      </c>
      <c r="Y63" s="99"/>
      <c r="Z63" s="99">
        <f>G63</f>
        <v>15</v>
      </c>
      <c r="AA63" s="99"/>
    </row>
    <row r="64" spans="2:27" x14ac:dyDescent="0.3">
      <c r="B64" s="84" t="str">
        <f>NAV!B26</f>
        <v>Tools for Humanity Corporation</v>
      </c>
      <c r="C64" s="85">
        <f t="shared" si="33"/>
        <v>45138</v>
      </c>
      <c r="D64" s="93"/>
      <c r="E64" s="93"/>
      <c r="F64" s="93">
        <f ca="1">NAV!E26</f>
        <v>14.999998939999999</v>
      </c>
      <c r="G64" s="93">
        <f t="shared" ref="G64" ca="1" si="36">SUM(D64:F64)</f>
        <v>14.999998939999999</v>
      </c>
      <c r="Y64" s="99"/>
      <c r="Z64" s="99"/>
      <c r="AA64" s="99">
        <f ca="1">G64</f>
        <v>14.999998939999999</v>
      </c>
    </row>
    <row r="65" spans="2:28" x14ac:dyDescent="0.3">
      <c r="B65" s="86" t="str">
        <f>NAV!B27</f>
        <v>WLD Tokens</v>
      </c>
      <c r="C65" s="87">
        <f t="shared" si="33"/>
        <v>45138</v>
      </c>
      <c r="D65" s="94"/>
      <c r="E65" s="94"/>
      <c r="F65" s="94">
        <f ca="1">NAV!E27</f>
        <v>15</v>
      </c>
      <c r="G65" s="94">
        <f t="shared" ref="G65" ca="1" si="37">SUM(D65:F65)</f>
        <v>15</v>
      </c>
      <c r="Y65" s="99"/>
      <c r="Z65" s="99"/>
      <c r="AB65" s="99">
        <f ca="1">G65</f>
        <v>15</v>
      </c>
    </row>
    <row r="67" spans="2:28" x14ac:dyDescent="0.3">
      <c r="H67" s="557"/>
      <c r="I67" s="558"/>
      <c r="J67" s="558"/>
      <c r="K67" s="558"/>
      <c r="L67" s="558"/>
      <c r="M67" s="558"/>
      <c r="N67" s="558"/>
      <c r="O67" s="558"/>
      <c r="P67" s="558"/>
      <c r="Q67" s="558"/>
      <c r="R67" s="558"/>
      <c r="S67" s="558"/>
      <c r="T67" s="558"/>
      <c r="U67" s="558"/>
      <c r="V67" s="558"/>
      <c r="W67" s="558"/>
      <c r="X67" s="558"/>
      <c r="Y67" s="557"/>
      <c r="Z67" s="557"/>
      <c r="AA67" s="557"/>
      <c r="AB67" s="557"/>
    </row>
    <row r="68" spans="2:28" x14ac:dyDescent="0.3">
      <c r="I68" s="88" t="s">
        <v>32</v>
      </c>
      <c r="J68" s="177" t="str">
        <f>IF(ISERROR(XIRR(J10:J64,$C$10:$C$64)),"NM", XIRR(J10:J64,$C$10:$C$64))</f>
        <v>NM</v>
      </c>
      <c r="K68" s="177" t="str">
        <f>IF(ISERROR(XIRR(K13:K64,$C$13:$C$64)),"NM", XIRR(K13:K64,$C$13:$C$64))</f>
        <v>NM</v>
      </c>
      <c r="L68" s="177">
        <f>IF(ISERROR(XIRR(L14:L64,$C$14:$C$64)),"NM", XIRR(L14:L64,$C$14:$C$64))</f>
        <v>0.69797843694686912</v>
      </c>
      <c r="M68" s="177">
        <f>IF(ISERROR(XIRR(M16:M64,$C$16:$C$64)),"NM", XIRR(M16:M64,$C$16:$C$64))</f>
        <v>0.36091765761375438</v>
      </c>
      <c r="N68" s="177">
        <f>IF(ISERROR(XIRR(N17:N64,$C$17:$C$64)),"NM", XIRR(N17:N64,$C$17:$C$64))</f>
        <v>3.4190028905868525E-3</v>
      </c>
      <c r="O68" s="177">
        <f>IF(ISERROR(XIRR(O21:O64,$C$21:$C$64)),"NM", XIRR(O21:O64,$C$21:$C$64))</f>
        <v>1.9673982262611391E-2</v>
      </c>
      <c r="P68" s="177">
        <f>IF(ISERROR(XIRR(P26:P64,$C$26:$C$64)),"NM", XIRR(P26:P64,$C$26:$C$64))</f>
        <v>0.41446041464805594</v>
      </c>
      <c r="Q68" s="177">
        <f>IF(ISERROR(XIRR(Q27:Q64,$C$27:$C$64)),"NM", XIRR(Q27:Q64,$C$27:$C$64))</f>
        <v>2.9802322387695314E-9</v>
      </c>
      <c r="R68" s="177">
        <f>IF(ISERROR(XIRR(R28:R64,$C$28:$C$64)),"NM", XIRR(R28:R64,$C$28:$C$64))</f>
        <v>2.9802322387695314E-9</v>
      </c>
      <c r="S68" s="177">
        <f>IF(ISERROR(XIRR(S29:S64,$C$29:$C$64)),"NM", XIRR(S29:S64,$C$29:$C$64))</f>
        <v>2.9802322387695314E-9</v>
      </c>
      <c r="T68" s="177">
        <f>IF(ISERROR(XIRR(T30:T64,$C$30:$C$64)),"NM", XIRR(T30:T64,$C$30:$C$64))</f>
        <v>0.31620330214500436</v>
      </c>
      <c r="U68" s="101">
        <f>IF(ISERROR(XIRR(U31:U64,$C$31:$C$64)),"NM", XIRR(U31:U64,$C$31:$C$64))</f>
        <v>-0.11544542349874973</v>
      </c>
      <c r="V68" s="101">
        <f>IF(ISERROR(XIRR(V32:V64,$C$32:$C$64)),"NM", XIRR(V32:V64,$C$32:$C$64))</f>
        <v>2.9802322387695314E-9</v>
      </c>
      <c r="W68" s="718" t="str">
        <f>IF(ISERROR(XIRR(W35:W64,$C$35:$C$64)),"NM", "NM")</f>
        <v>NM</v>
      </c>
      <c r="X68" s="101">
        <f>IF(ISERROR(XIRR(X36:X64,$C$36:$C$64)),"NM", XIRR(X36:X64,$C$36:$C$64))</f>
        <v>2.2479972243309027E-2</v>
      </c>
      <c r="Y68" s="101" t="str">
        <f>IF(ISERROR(XIRR(Y38:Y64,$C$38:$C$64)),"NM", "NM")</f>
        <v>NM</v>
      </c>
      <c r="Z68" s="101" t="str">
        <f>IF(ISERROR(XIRR(Z39:Z64,$C$39:$C$64)),"NM", "NM")</f>
        <v>NM</v>
      </c>
      <c r="AA68" s="101" t="str">
        <f ca="1">IF(ISERROR(XIRR(AA41:AA64,$C$41:$C$64)),"NM", "NM")</f>
        <v>NM</v>
      </c>
      <c r="AB68" s="101" t="str">
        <f>IF(ISERROR(XIRR(AB42:AB64,$C$42:$C$64)),"NM", "NM")</f>
        <v>NM</v>
      </c>
    </row>
    <row r="69" spans="2:28" x14ac:dyDescent="0.3">
      <c r="G69" s="615">
        <f ca="1">SUM(J69:AC69)-'S | 01 '!K30</f>
        <v>0</v>
      </c>
      <c r="H69" s="555" t="b">
        <f ca="1">SUM(J69:AC69)='S | 01 '!K30</f>
        <v>1</v>
      </c>
      <c r="I69" s="88" t="s">
        <v>479</v>
      </c>
      <c r="J69" s="99">
        <f t="shared" ref="J69:AB69" si="38">-SUMIF(J$10:J$45,"&lt;0",J$10:J$45)</f>
        <v>65</v>
      </c>
      <c r="K69" s="99">
        <f t="shared" si="38"/>
        <v>8</v>
      </c>
      <c r="L69" s="99">
        <f t="shared" si="38"/>
        <v>10</v>
      </c>
      <c r="M69" s="99">
        <f t="shared" si="38"/>
        <v>2.5</v>
      </c>
      <c r="N69" s="99">
        <f t="shared" si="38"/>
        <v>90</v>
      </c>
      <c r="O69" s="99">
        <f t="shared" si="38"/>
        <v>141.4702596743665</v>
      </c>
      <c r="P69" s="99">
        <f t="shared" si="38"/>
        <v>60</v>
      </c>
      <c r="Q69" s="99">
        <f t="shared" si="38"/>
        <v>20</v>
      </c>
      <c r="R69" s="99">
        <f t="shared" si="38"/>
        <v>39.999983359999995</v>
      </c>
      <c r="S69" s="99">
        <f t="shared" si="38"/>
        <v>3</v>
      </c>
      <c r="T69" s="99">
        <f t="shared" si="38"/>
        <v>5.0237201984774336</v>
      </c>
      <c r="U69" s="99">
        <f t="shared" si="38"/>
        <v>493.50095619999996</v>
      </c>
      <c r="V69" s="99">
        <f t="shared" si="38"/>
        <v>300</v>
      </c>
      <c r="W69" s="99">
        <f t="shared" si="38"/>
        <v>24.53125</v>
      </c>
      <c r="X69" s="99">
        <f t="shared" si="38"/>
        <v>800</v>
      </c>
      <c r="Y69" s="99">
        <f t="shared" si="38"/>
        <v>7.5</v>
      </c>
      <c r="Z69" s="99">
        <f t="shared" si="38"/>
        <v>15</v>
      </c>
      <c r="AA69" s="99">
        <f t="shared" si="38"/>
        <v>14.999998939999999</v>
      </c>
      <c r="AB69" s="99">
        <f t="shared" si="38"/>
        <v>6.875E-3</v>
      </c>
    </row>
    <row r="70" spans="2:28" x14ac:dyDescent="0.3">
      <c r="G70" s="719">
        <f ca="1">ROUND(SUM(J70:Z70),2)-ROUND('S | 01 '!M30,2)</f>
        <v>0</v>
      </c>
      <c r="H70" s="555" t="b">
        <f ca="1">ROUND(SUM(J70:Z70),2)=ROUND('S | 01 '!M30,2)</f>
        <v>1</v>
      </c>
      <c r="I70" s="88" t="s">
        <v>481</v>
      </c>
      <c r="J70" s="99">
        <f t="shared" ref="J70:AB70" si="39">SUMIF(J$10:J$45,"&gt;0",J$10:J$45)</f>
        <v>0</v>
      </c>
      <c r="K70" s="99">
        <f t="shared" si="39"/>
        <v>0</v>
      </c>
      <c r="L70" s="99">
        <f t="shared" si="39"/>
        <v>0</v>
      </c>
      <c r="M70" s="99">
        <f t="shared" si="39"/>
        <v>5</v>
      </c>
      <c r="N70" s="99">
        <f t="shared" si="39"/>
        <v>0</v>
      </c>
      <c r="O70" s="99">
        <f t="shared" si="39"/>
        <v>0</v>
      </c>
      <c r="P70" s="99">
        <f t="shared" si="39"/>
        <v>0</v>
      </c>
      <c r="Q70" s="99">
        <f t="shared" si="39"/>
        <v>0</v>
      </c>
      <c r="R70" s="99">
        <f t="shared" si="39"/>
        <v>0</v>
      </c>
      <c r="S70" s="99">
        <f t="shared" si="39"/>
        <v>0</v>
      </c>
      <c r="T70" s="99">
        <f t="shared" si="39"/>
        <v>7.8207760999999989</v>
      </c>
      <c r="U70" s="99">
        <f t="shared" si="39"/>
        <v>0</v>
      </c>
      <c r="V70" s="99">
        <f t="shared" si="39"/>
        <v>0</v>
      </c>
      <c r="W70" s="99">
        <f t="shared" si="39"/>
        <v>0</v>
      </c>
      <c r="X70" s="99">
        <f t="shared" si="39"/>
        <v>0</v>
      </c>
      <c r="Y70" s="99">
        <f t="shared" si="39"/>
        <v>0</v>
      </c>
      <c r="Z70" s="99">
        <f t="shared" si="39"/>
        <v>0</v>
      </c>
      <c r="AA70" s="99">
        <f t="shared" si="39"/>
        <v>0</v>
      </c>
      <c r="AB70" s="99">
        <f t="shared" si="39"/>
        <v>0</v>
      </c>
    </row>
    <row r="71" spans="2:28" x14ac:dyDescent="0.3">
      <c r="G71" s="719">
        <f ca="1">ROUND(SUM(J71:AC71),2)-ROUND('S | 01 '!N30,2)</f>
        <v>0</v>
      </c>
      <c r="H71" s="556" t="b">
        <f ca="1">ROUND(SUM(J71:AC71),2)=ROUND('S | 01 '!N30,2)</f>
        <v>1</v>
      </c>
      <c r="I71" s="88" t="s">
        <v>480</v>
      </c>
      <c r="J71" s="99">
        <f>SUM(J$47:J$65)</f>
        <v>0</v>
      </c>
      <c r="K71" s="99">
        <f t="shared" ref="K71:AB71" si="40">SUM(K$47:K$65)</f>
        <v>0</v>
      </c>
      <c r="L71" s="99">
        <f t="shared" si="40"/>
        <v>78.082229999999996</v>
      </c>
      <c r="M71" s="99">
        <f t="shared" si="40"/>
        <v>0</v>
      </c>
      <c r="N71" s="99">
        <f t="shared" si="40"/>
        <v>91.001540300000002</v>
      </c>
      <c r="O71" s="99">
        <f t="shared" si="40"/>
        <v>150.4004386130496</v>
      </c>
      <c r="P71" s="99">
        <f t="shared" si="40"/>
        <v>151.06943446641711</v>
      </c>
      <c r="Q71" s="99">
        <f t="shared" si="40"/>
        <v>20</v>
      </c>
      <c r="R71" s="99">
        <f t="shared" si="40"/>
        <v>39.999983359999995</v>
      </c>
      <c r="S71" s="99">
        <f t="shared" si="40"/>
        <v>3</v>
      </c>
      <c r="T71" s="99">
        <f t="shared" si="40"/>
        <v>0</v>
      </c>
      <c r="U71" s="99">
        <f t="shared" si="40"/>
        <v>408.28799457755485</v>
      </c>
      <c r="V71" s="99">
        <f t="shared" si="40"/>
        <v>300</v>
      </c>
      <c r="W71" s="99">
        <f t="shared" si="40"/>
        <v>7.0626663199999999</v>
      </c>
      <c r="X71" s="99">
        <f t="shared" si="40"/>
        <v>817.18905035787873</v>
      </c>
      <c r="Y71" s="99">
        <f t="shared" si="40"/>
        <v>7.5</v>
      </c>
      <c r="Z71" s="99">
        <f t="shared" si="40"/>
        <v>15</v>
      </c>
      <c r="AA71" s="99">
        <f t="shared" ca="1" si="40"/>
        <v>14.999998939999999</v>
      </c>
      <c r="AB71" s="99">
        <f t="shared" ca="1" si="40"/>
        <v>15</v>
      </c>
    </row>
    <row r="72" spans="2:28" x14ac:dyDescent="0.3">
      <c r="H72" s="83"/>
      <c r="I72" s="88" t="s">
        <v>43</v>
      </c>
      <c r="J72" s="100">
        <f>(J70+J71)/J69</f>
        <v>0</v>
      </c>
      <c r="K72" s="100">
        <f t="shared" ref="K72:Z72" si="41">(K70+K71)/K69</f>
        <v>0</v>
      </c>
      <c r="L72" s="100">
        <f t="shared" si="41"/>
        <v>7.8082229999999999</v>
      </c>
      <c r="M72" s="100">
        <f t="shared" si="41"/>
        <v>2</v>
      </c>
      <c r="N72" s="100">
        <f t="shared" si="41"/>
        <v>1.0111282255555556</v>
      </c>
      <c r="O72" s="100">
        <f t="shared" si="41"/>
        <v>1.063124072573546</v>
      </c>
      <c r="P72" s="100">
        <f t="shared" si="41"/>
        <v>2.5178239077736184</v>
      </c>
      <c r="Q72" s="100">
        <f t="shared" si="41"/>
        <v>1</v>
      </c>
      <c r="R72" s="100">
        <f t="shared" si="41"/>
        <v>1</v>
      </c>
      <c r="S72" s="100">
        <f t="shared" si="41"/>
        <v>1</v>
      </c>
      <c r="T72" s="100">
        <f t="shared" si="41"/>
        <v>1.5567698420724714</v>
      </c>
      <c r="U72" s="100">
        <f t="shared" si="41"/>
        <v>0.82732969297852577</v>
      </c>
      <c r="V72" s="100">
        <f t="shared" si="41"/>
        <v>1</v>
      </c>
      <c r="W72" s="100">
        <f t="shared" si="41"/>
        <v>0.28790486909554142</v>
      </c>
      <c r="X72" s="100">
        <f t="shared" si="41"/>
        <v>1.0214863129473484</v>
      </c>
      <c r="Y72" s="100">
        <f t="shared" si="41"/>
        <v>1</v>
      </c>
      <c r="Z72" s="100">
        <f t="shared" si="41"/>
        <v>1</v>
      </c>
      <c r="AA72" s="100">
        <f t="shared" ref="AA72:AB72" ca="1" si="42">(AA70+AA71)/AA69</f>
        <v>1</v>
      </c>
      <c r="AB72" s="100">
        <f t="shared" ca="1" si="42"/>
        <v>2181.818181818182</v>
      </c>
    </row>
    <row r="73" spans="2:28" x14ac:dyDescent="0.3">
      <c r="H73" s="83"/>
      <c r="I73" s="88" t="s">
        <v>140</v>
      </c>
      <c r="J73" s="100">
        <f>J70/J69</f>
        <v>0</v>
      </c>
      <c r="K73" s="100">
        <f t="shared" ref="K73:Z73" si="43">K70/K69</f>
        <v>0</v>
      </c>
      <c r="L73" s="100">
        <f t="shared" si="43"/>
        <v>0</v>
      </c>
      <c r="M73" s="100">
        <f t="shared" si="43"/>
        <v>2</v>
      </c>
      <c r="N73" s="100">
        <f t="shared" si="43"/>
        <v>0</v>
      </c>
      <c r="O73" s="100">
        <f t="shared" si="43"/>
        <v>0</v>
      </c>
      <c r="P73" s="100">
        <f t="shared" si="43"/>
        <v>0</v>
      </c>
      <c r="Q73" s="100">
        <f t="shared" si="43"/>
        <v>0</v>
      </c>
      <c r="R73" s="100">
        <f t="shared" si="43"/>
        <v>0</v>
      </c>
      <c r="S73" s="100">
        <f t="shared" si="43"/>
        <v>0</v>
      </c>
      <c r="T73" s="100">
        <f t="shared" si="43"/>
        <v>1.5567698420724714</v>
      </c>
      <c r="U73" s="100">
        <f t="shared" si="43"/>
        <v>0</v>
      </c>
      <c r="V73" s="100">
        <f t="shared" si="43"/>
        <v>0</v>
      </c>
      <c r="W73" s="100">
        <f t="shared" si="43"/>
        <v>0</v>
      </c>
      <c r="X73" s="100">
        <f t="shared" si="43"/>
        <v>0</v>
      </c>
      <c r="Y73" s="100">
        <f t="shared" si="43"/>
        <v>0</v>
      </c>
      <c r="Z73" s="100">
        <f t="shared" si="43"/>
        <v>0</v>
      </c>
      <c r="AA73" s="100">
        <f t="shared" ref="AA73:AB73" si="44">AA70/AA69</f>
        <v>0</v>
      </c>
      <c r="AB73" s="100">
        <f t="shared" si="44"/>
        <v>0</v>
      </c>
    </row>
    <row r="74" spans="2:28" x14ac:dyDescent="0.3">
      <c r="H74" s="83"/>
      <c r="I74" s="88" t="s">
        <v>141</v>
      </c>
      <c r="J74" s="100">
        <f>J71/J69</f>
        <v>0</v>
      </c>
      <c r="K74" s="100">
        <f t="shared" ref="K74:Z74" si="45">K71/K69</f>
        <v>0</v>
      </c>
      <c r="L74" s="100">
        <f t="shared" si="45"/>
        <v>7.8082229999999999</v>
      </c>
      <c r="M74" s="100">
        <f t="shared" si="45"/>
        <v>0</v>
      </c>
      <c r="N74" s="100">
        <f t="shared" si="45"/>
        <v>1.0111282255555556</v>
      </c>
      <c r="O74" s="100">
        <f t="shared" si="45"/>
        <v>1.063124072573546</v>
      </c>
      <c r="P74" s="100">
        <f t="shared" si="45"/>
        <v>2.5178239077736184</v>
      </c>
      <c r="Q74" s="100">
        <f t="shared" si="45"/>
        <v>1</v>
      </c>
      <c r="R74" s="100">
        <f t="shared" si="45"/>
        <v>1</v>
      </c>
      <c r="S74" s="100">
        <f t="shared" si="45"/>
        <v>1</v>
      </c>
      <c r="T74" s="100">
        <f t="shared" si="45"/>
        <v>0</v>
      </c>
      <c r="U74" s="100">
        <f t="shared" si="45"/>
        <v>0.82732969297852577</v>
      </c>
      <c r="V74" s="100">
        <f t="shared" si="45"/>
        <v>1</v>
      </c>
      <c r="W74" s="100">
        <f t="shared" si="45"/>
        <v>0.28790486909554142</v>
      </c>
      <c r="X74" s="100">
        <f t="shared" si="45"/>
        <v>1.0214863129473484</v>
      </c>
      <c r="Y74" s="100">
        <f t="shared" si="45"/>
        <v>1</v>
      </c>
      <c r="Z74" s="100">
        <f t="shared" si="45"/>
        <v>1</v>
      </c>
      <c r="AA74" s="100">
        <f t="shared" ref="AA74:AB74" ca="1" si="46">AA71/AA69</f>
        <v>1</v>
      </c>
      <c r="AB74" s="100">
        <f t="shared" ca="1" si="46"/>
        <v>2181.818181818182</v>
      </c>
    </row>
    <row r="75" spans="2:28" x14ac:dyDescent="0.3">
      <c r="H75" s="83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</row>
    <row r="76" spans="2:28" x14ac:dyDescent="0.3">
      <c r="H76" s="83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</row>
    <row r="77" spans="2:28" x14ac:dyDescent="0.3">
      <c r="H77" s="83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</row>
    <row r="78" spans="2:28" x14ac:dyDescent="0.3">
      <c r="H78" s="83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</row>
    <row r="79" spans="2:28" x14ac:dyDescent="0.3"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</row>
    <row r="80" spans="2:28" x14ac:dyDescent="0.3"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</row>
    <row r="81" spans="10:27" x14ac:dyDescent="0.3"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</row>
    <row r="82" spans="10:27" x14ac:dyDescent="0.3"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</row>
  </sheetData>
  <pageMargins left="0.7" right="0.7" top="0.75" bottom="0.75" header="0.3" footer="0.3"/>
  <pageSetup paperSize="9" orientation="portrait" verticalDpi="0" r:id="rId1"/>
  <ignoredErrors>
    <ignoredError sqref="G10:G36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B2E-A46F-4CF4-B197-AA53D41F9E76}">
  <sheetPr>
    <tabColor theme="4" tint="-0.499984740745262"/>
  </sheetPr>
  <dimension ref="B1:Y34"/>
  <sheetViews>
    <sheetView zoomScale="80" zoomScaleNormal="80" workbookViewId="0"/>
  </sheetViews>
  <sheetFormatPr defaultColWidth="9.1796875" defaultRowHeight="13" x14ac:dyDescent="0.3"/>
  <cols>
    <col min="1" max="1" width="3.453125" style="136" customWidth="1"/>
    <col min="2" max="2" width="21.54296875" style="136" bestFit="1" customWidth="1"/>
    <col min="3" max="3" width="16" style="147" customWidth="1"/>
    <col min="4" max="4" width="12.81640625" style="136" bestFit="1" customWidth="1"/>
    <col min="5" max="5" width="12.453125" style="136" bestFit="1" customWidth="1"/>
    <col min="6" max="6" width="14" style="136" bestFit="1" customWidth="1"/>
    <col min="7" max="7" width="9.81640625" style="136" bestFit="1" customWidth="1"/>
    <col min="8" max="8" width="6.453125" style="136" customWidth="1"/>
    <col min="9" max="9" width="25.453125" style="136" bestFit="1" customWidth="1"/>
    <col min="10" max="10" width="12" style="136" customWidth="1"/>
    <col min="11" max="11" width="12" style="136" bestFit="1" customWidth="1"/>
    <col min="12" max="13" width="14" style="136" bestFit="1" customWidth="1"/>
    <col min="14" max="14" width="9.81640625" style="136" bestFit="1" customWidth="1"/>
    <col min="15" max="15" width="4.7265625" style="136" customWidth="1"/>
    <col min="16" max="16" width="24.7265625" style="136" bestFit="1" customWidth="1"/>
    <col min="17" max="17" width="10.453125" style="136" bestFit="1" customWidth="1"/>
    <col min="18" max="18" width="8.453125" style="136" bestFit="1" customWidth="1"/>
    <col min="19" max="19" width="12" style="136" bestFit="1" customWidth="1"/>
    <col min="20" max="20" width="12.453125" style="136" bestFit="1" customWidth="1"/>
    <col min="21" max="21" width="14" style="136" bestFit="1" customWidth="1"/>
    <col min="22" max="25" width="7.26953125" style="136" customWidth="1"/>
    <col min="26" max="16384" width="9.1796875" style="136"/>
  </cols>
  <sheetData>
    <row r="1" spans="2:25" x14ac:dyDescent="0.3">
      <c r="J1" s="147"/>
      <c r="K1" s="147"/>
      <c r="L1" s="147"/>
      <c r="M1" s="147"/>
      <c r="N1" s="147"/>
    </row>
    <row r="2" spans="2:25" s="162" customFormat="1" ht="43.5" customHeight="1" x14ac:dyDescent="0.65">
      <c r="B2" s="331" t="s">
        <v>278</v>
      </c>
      <c r="C2" s="339"/>
      <c r="D2" s="332"/>
      <c r="E2" s="332"/>
      <c r="F2" s="339"/>
      <c r="G2" s="339"/>
      <c r="H2" s="339"/>
      <c r="I2" s="339"/>
      <c r="J2" s="333"/>
      <c r="K2" s="334"/>
      <c r="L2" s="333"/>
    </row>
    <row r="3" spans="2:25" ht="13.5" thickBot="1" x14ac:dyDescent="0.35">
      <c r="J3" s="147"/>
      <c r="K3" s="147"/>
      <c r="L3" s="147"/>
      <c r="M3" s="147"/>
      <c r="N3" s="147"/>
    </row>
    <row r="4" spans="2:25" ht="13.5" thickBot="1" x14ac:dyDescent="0.35">
      <c r="B4" s="258" t="s">
        <v>227</v>
      </c>
      <c r="C4" s="539">
        <f>D!D2</f>
        <v>45138</v>
      </c>
      <c r="I4" s="275" t="s">
        <v>482</v>
      </c>
      <c r="J4" s="276"/>
      <c r="K4" s="276"/>
      <c r="L4" s="276"/>
      <c r="M4" s="276"/>
      <c r="N4" s="276"/>
      <c r="O4" s="128"/>
      <c r="P4" s="275" t="s">
        <v>231</v>
      </c>
      <c r="Q4" s="276"/>
      <c r="R4" s="276"/>
      <c r="S4" s="276"/>
      <c r="T4" s="276"/>
      <c r="U4" s="276"/>
    </row>
    <row r="5" spans="2:25" x14ac:dyDescent="0.3">
      <c r="I5" s="275"/>
      <c r="J5" s="276"/>
      <c r="K5" s="276"/>
      <c r="L5" s="276"/>
      <c r="M5" s="276"/>
      <c r="N5" s="276"/>
      <c r="P5" s="275"/>
      <c r="Q5" s="276"/>
      <c r="R5" s="276"/>
      <c r="S5" s="276"/>
      <c r="T5" s="276"/>
      <c r="U5" s="276"/>
    </row>
    <row r="6" spans="2:25" x14ac:dyDescent="0.3">
      <c r="B6" s="278" t="s">
        <v>46</v>
      </c>
    </row>
    <row r="7" spans="2:25" ht="26" x14ac:dyDescent="0.3">
      <c r="B7" s="113" t="s">
        <v>6</v>
      </c>
      <c r="C7" s="126" t="s">
        <v>7</v>
      </c>
      <c r="D7" s="127" t="s">
        <v>237</v>
      </c>
      <c r="E7" s="127" t="s">
        <v>238</v>
      </c>
      <c r="F7" s="127" t="s">
        <v>215</v>
      </c>
      <c r="G7" s="127" t="s">
        <v>217</v>
      </c>
      <c r="I7" s="126"/>
      <c r="J7" s="126"/>
      <c r="K7" s="127" t="s">
        <v>139</v>
      </c>
      <c r="L7" s="127" t="s">
        <v>226</v>
      </c>
      <c r="M7" s="127" t="s">
        <v>215</v>
      </c>
      <c r="N7" s="127" t="s">
        <v>217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215</v>
      </c>
      <c r="V7" s="127" t="s">
        <v>32</v>
      </c>
      <c r="W7" s="127" t="s">
        <v>43</v>
      </c>
      <c r="X7" s="127" t="s">
        <v>228</v>
      </c>
      <c r="Y7" s="127" t="s">
        <v>140</v>
      </c>
    </row>
    <row r="8" spans="2:25" x14ac:dyDescent="0.3">
      <c r="B8" s="136" t="s">
        <v>38</v>
      </c>
      <c r="J8" s="147"/>
      <c r="K8" s="147"/>
      <c r="L8" s="147"/>
      <c r="M8" s="147"/>
      <c r="N8" s="147"/>
      <c r="P8" s="249"/>
      <c r="V8" s="253"/>
    </row>
    <row r="9" spans="2:25" x14ac:dyDescent="0.3">
      <c r="B9" s="514" t="str">
        <f>'CF (Equity, Debt)'!C42</f>
        <v xml:space="preserve">Glass Earth Holdings LLC </v>
      </c>
      <c r="C9" s="119">
        <f>'CF (Equity, Debt)'!D42</f>
        <v>43635</v>
      </c>
      <c r="D9" s="117">
        <f>'CF (Equity, Debt)'!E42</f>
        <v>-8</v>
      </c>
      <c r="E9" s="117"/>
      <c r="F9" s="117"/>
      <c r="G9" s="117">
        <f t="shared" ref="G9:G11" si="0">SUM(D9:F9)</f>
        <v>-8</v>
      </c>
      <c r="I9" s="514" t="str">
        <f>B9</f>
        <v xml:space="preserve">Glass Earth Holdings LLC </v>
      </c>
      <c r="J9" s="119">
        <f>C9</f>
        <v>43635</v>
      </c>
      <c r="K9" s="117">
        <f>D9</f>
        <v>-8</v>
      </c>
      <c r="L9" s="117"/>
      <c r="M9" s="117"/>
      <c r="N9" s="117">
        <f>SUM(K9:M9)</f>
        <v>-8</v>
      </c>
      <c r="P9" s="251" t="s">
        <v>58</v>
      </c>
      <c r="Q9" s="250">
        <f>R9</f>
        <v>8</v>
      </c>
      <c r="R9" s="250">
        <f>-D9</f>
        <v>8</v>
      </c>
      <c r="S9" s="250">
        <v>0</v>
      </c>
      <c r="T9" s="250">
        <f>E9</f>
        <v>0</v>
      </c>
      <c r="U9" s="250">
        <f>F14</f>
        <v>0</v>
      </c>
      <c r="V9" s="274" t="str">
        <f>J12</f>
        <v>NM</v>
      </c>
      <c r="W9" s="264">
        <f>(T9+U9)/R9</f>
        <v>0</v>
      </c>
      <c r="X9" s="264">
        <f>U9/R9</f>
        <v>0</v>
      </c>
      <c r="Y9" s="264">
        <f>T9/R9</f>
        <v>0</v>
      </c>
    </row>
    <row r="10" spans="2:25" x14ac:dyDescent="0.3">
      <c r="B10" s="514" t="str">
        <f>'CF (Equity, Debt)'!C43</f>
        <v>Mena Mobile Inc (Debt)</v>
      </c>
      <c r="C10" s="119">
        <f>'CF (Equity, Debt)'!D43</f>
        <v>44293</v>
      </c>
      <c r="D10" s="117">
        <f>'CF (Equity, Debt)'!E43</f>
        <v>-2.3539819999999998</v>
      </c>
      <c r="E10" s="117"/>
      <c r="F10" s="117"/>
      <c r="G10" s="117">
        <f t="shared" si="0"/>
        <v>-2.3539819999999998</v>
      </c>
      <c r="I10" s="515" t="str">
        <f>B14</f>
        <v xml:space="preserve">Glass Earth Holdings LLC </v>
      </c>
      <c r="J10" s="122">
        <f>C14</f>
        <v>45138</v>
      </c>
      <c r="K10" s="124"/>
      <c r="L10" s="124"/>
      <c r="M10" s="124">
        <f>F14</f>
        <v>0</v>
      </c>
      <c r="N10" s="124">
        <f>SUM(K10:M10)</f>
        <v>0</v>
      </c>
      <c r="P10" s="251" t="s">
        <v>398</v>
      </c>
      <c r="Q10" s="250">
        <f>R10</f>
        <v>2.3539819999999998</v>
      </c>
      <c r="R10" s="250">
        <f>-D10</f>
        <v>2.3539819999999998</v>
      </c>
      <c r="S10" s="250">
        <v>0</v>
      </c>
      <c r="T10" s="250">
        <f>E10</f>
        <v>0</v>
      </c>
      <c r="U10" s="250">
        <f>F15</f>
        <v>2.3539819999999998</v>
      </c>
      <c r="V10" s="274">
        <f>J22:J22</f>
        <v>2.9802322387695314E-9</v>
      </c>
      <c r="W10" s="264">
        <f t="shared" ref="W10:W12" si="1">(T10+U10)/R10</f>
        <v>1</v>
      </c>
      <c r="X10" s="264">
        <f>U10/R10</f>
        <v>1</v>
      </c>
      <c r="Y10" s="264">
        <f>T10/R10</f>
        <v>0</v>
      </c>
    </row>
    <row r="11" spans="2:25" x14ac:dyDescent="0.3">
      <c r="B11" s="514" t="str">
        <f>'CF (Equity, Debt)'!C44</f>
        <v>Esyasoft Holding (Debt)</v>
      </c>
      <c r="C11" s="119">
        <f>'CF (Equity, Debt)'!D44</f>
        <v>44384</v>
      </c>
      <c r="D11" s="117">
        <f>'CF (Equity, Debt)'!E44</f>
        <v>-0.41176499999999999</v>
      </c>
      <c r="E11" s="117"/>
      <c r="F11" s="117"/>
      <c r="G11" s="117">
        <f t="shared" si="0"/>
        <v>-0.41176499999999999</v>
      </c>
      <c r="J11" s="147"/>
      <c r="K11" s="147"/>
      <c r="L11" s="147"/>
      <c r="M11" s="147"/>
      <c r="N11" s="147"/>
      <c r="P11" s="251" t="s">
        <v>390</v>
      </c>
      <c r="Q11" s="250">
        <f>R11</f>
        <v>0.41176499999999999</v>
      </c>
      <c r="R11" s="250">
        <f>-D11</f>
        <v>0.41176499999999999</v>
      </c>
      <c r="S11" s="250">
        <v>0</v>
      </c>
      <c r="T11" s="250">
        <f>E12</f>
        <v>0.47078465000000003</v>
      </c>
      <c r="U11" s="250">
        <f>F16</f>
        <v>0</v>
      </c>
      <c r="V11" s="274">
        <f>J31</f>
        <v>7.5277027487754833E-2</v>
      </c>
      <c r="W11" s="264">
        <f t="shared" si="1"/>
        <v>1.1433333333333333</v>
      </c>
      <c r="X11" s="264">
        <f>U11/R11</f>
        <v>0</v>
      </c>
      <c r="Y11" s="264">
        <f>T11/R11</f>
        <v>1.1433333333333333</v>
      </c>
    </row>
    <row r="12" spans="2:25" x14ac:dyDescent="0.3">
      <c r="B12" s="514" t="str">
        <f>'CF (Equity, Debt)'!C45</f>
        <v>Esyasoft Holding (Debt)</v>
      </c>
      <c r="C12" s="119">
        <f>'CF (Equity, Debt)'!D45</f>
        <v>44902</v>
      </c>
      <c r="D12" s="117">
        <f>'CF (Equity, Debt)'!E45</f>
        <v>0</v>
      </c>
      <c r="E12" s="117">
        <f>'CF (Equity, Debt)'!F45</f>
        <v>0.47078465000000003</v>
      </c>
      <c r="F12" s="117"/>
      <c r="G12" s="117">
        <f t="shared" ref="G12" si="2">SUM(D12:F12)</f>
        <v>0.47078465000000003</v>
      </c>
      <c r="I12" s="254" t="s">
        <v>216</v>
      </c>
      <c r="J12" s="282" t="str">
        <f>IF(ISERROR(XIRR(N9:N10,J9:J10)),"NM",XIRR(N9:N10,J9:J10))</f>
        <v>NM</v>
      </c>
      <c r="K12" s="147"/>
      <c r="L12" s="128" t="s">
        <v>219</v>
      </c>
      <c r="N12" s="147"/>
      <c r="P12" s="261"/>
      <c r="Q12" s="263">
        <f>SUM(Q9:Q11)</f>
        <v>10.765747000000001</v>
      </c>
      <c r="R12" s="263">
        <f>SUM(R9:R11)</f>
        <v>10.765747000000001</v>
      </c>
      <c r="S12" s="263">
        <f>SUM(S9:S11)</f>
        <v>0</v>
      </c>
      <c r="T12" s="263">
        <f>SUM(T9:T11)</f>
        <v>0.47078465000000003</v>
      </c>
      <c r="U12" s="263">
        <f>SUM(U9:U11)</f>
        <v>2.3539819999999998</v>
      </c>
      <c r="V12" s="406">
        <f>XIRR(G9:G16,C9:C16)</f>
        <v>-0.32476586326956747</v>
      </c>
      <c r="W12" s="265">
        <f t="shared" si="1"/>
        <v>0.26238463991397898</v>
      </c>
      <c r="X12" s="265">
        <f>U12/R12</f>
        <v>0.21865477611539633</v>
      </c>
      <c r="Y12" s="265">
        <f t="shared" ref="Y12" si="3">T12/R12</f>
        <v>4.3729863798582673E-2</v>
      </c>
    </row>
    <row r="13" spans="2:25" x14ac:dyDescent="0.3">
      <c r="I13" s="255" t="s">
        <v>43</v>
      </c>
      <c r="J13" s="270">
        <f>SUM(L9:M10)/-SUM(K9:K10)</f>
        <v>0</v>
      </c>
      <c r="K13" s="147"/>
      <c r="L13" s="128" t="s">
        <v>42</v>
      </c>
      <c r="M13" s="248"/>
      <c r="N13" s="147"/>
      <c r="P13" s="128"/>
    </row>
    <row r="14" spans="2:25" x14ac:dyDescent="0.3">
      <c r="B14" s="515" t="str">
        <f>B9</f>
        <v xml:space="preserve">Glass Earth Holdings LLC </v>
      </c>
      <c r="C14" s="122">
        <f>$C$4</f>
        <v>45138</v>
      </c>
      <c r="D14" s="124"/>
      <c r="E14" s="124"/>
      <c r="F14" s="124">
        <f>VLOOKUP(B14,NAV!$B$32:$E$34,4,0)</f>
        <v>0</v>
      </c>
      <c r="G14" s="124">
        <f t="shared" ref="G14:G16" si="4">SUM(D14:F14)</f>
        <v>0</v>
      </c>
      <c r="I14" s="255" t="s">
        <v>218</v>
      </c>
      <c r="J14" s="270">
        <f>SUM(M9:M10)/-SUM(K9:K10)</f>
        <v>0</v>
      </c>
      <c r="K14" s="147"/>
      <c r="L14" s="128" t="s">
        <v>215</v>
      </c>
      <c r="N14" s="147"/>
      <c r="S14" s="248"/>
      <c r="T14" s="248"/>
    </row>
    <row r="15" spans="2:25" x14ac:dyDescent="0.3">
      <c r="B15" s="515" t="str">
        <f>B10</f>
        <v>Mena Mobile Inc (Debt)</v>
      </c>
      <c r="C15" s="122">
        <f t="shared" ref="C15:C16" si="5">$C$4</f>
        <v>45138</v>
      </c>
      <c r="D15" s="124"/>
      <c r="E15" s="124"/>
      <c r="F15" s="124">
        <f>VLOOKUP(B15,NAV!$B$32:$E$34,4,0)</f>
        <v>2.3539819999999998</v>
      </c>
      <c r="G15" s="124">
        <f t="shared" si="4"/>
        <v>2.3539819999999998</v>
      </c>
      <c r="I15" s="256" t="s">
        <v>140</v>
      </c>
      <c r="J15" s="271">
        <f>SUM(L9:L10)/-SUM(K9:K10)</f>
        <v>0</v>
      </c>
      <c r="K15" s="147"/>
      <c r="L15" s="147"/>
      <c r="M15" s="147"/>
      <c r="N15" s="147"/>
      <c r="P15" s="254" t="s">
        <v>216</v>
      </c>
      <c r="Q15" s="269">
        <f>XIRR(G9:G18,C9:C18)</f>
        <v>-0.32476586326956747</v>
      </c>
      <c r="S15" s="248"/>
      <c r="T15" s="248"/>
    </row>
    <row r="16" spans="2:25" x14ac:dyDescent="0.3">
      <c r="B16" s="515" t="str">
        <f>B11</f>
        <v>Esyasoft Holding (Debt)</v>
      </c>
      <c r="C16" s="122">
        <f t="shared" si="5"/>
        <v>45138</v>
      </c>
      <c r="D16" s="124"/>
      <c r="E16" s="124"/>
      <c r="F16" s="124">
        <f>VLOOKUP(B16,NAV!$B$32:$E$34,4,0)</f>
        <v>0</v>
      </c>
      <c r="G16" s="124">
        <f t="shared" si="4"/>
        <v>0</v>
      </c>
      <c r="J16" s="147"/>
      <c r="K16" s="147"/>
      <c r="L16" s="147"/>
      <c r="M16" s="147"/>
      <c r="N16" s="147"/>
      <c r="P16" s="255" t="s">
        <v>43</v>
      </c>
      <c r="Q16" s="270">
        <f>SUM(T9:U11)/SUM(R9:R11)</f>
        <v>0.26238463991397898</v>
      </c>
      <c r="S16" s="252"/>
      <c r="T16" s="252"/>
    </row>
    <row r="17" spans="9:17" x14ac:dyDescent="0.3">
      <c r="J17" s="147"/>
      <c r="K17" s="147"/>
      <c r="L17" s="147"/>
      <c r="M17" s="147"/>
      <c r="N17" s="147"/>
      <c r="P17" s="255" t="s">
        <v>218</v>
      </c>
      <c r="Q17" s="270">
        <f>SUM(U9:U11)/SUM(R9:R11)</f>
        <v>0.21865477611539633</v>
      </c>
    </row>
    <row r="18" spans="9:17" x14ac:dyDescent="0.3">
      <c r="J18" s="147"/>
      <c r="K18" s="147"/>
      <c r="L18" s="147"/>
      <c r="M18" s="147"/>
      <c r="N18" s="147"/>
      <c r="P18" s="256" t="s">
        <v>140</v>
      </c>
      <c r="Q18" s="271">
        <f>SUM(T9:T11)/SUM(R9:R11)</f>
        <v>4.3729863798582673E-2</v>
      </c>
    </row>
    <row r="19" spans="9:17" x14ac:dyDescent="0.3">
      <c r="I19" s="514" t="str">
        <f>B10</f>
        <v>Mena Mobile Inc (Debt)</v>
      </c>
      <c r="J19" s="119">
        <f>C10</f>
        <v>44293</v>
      </c>
      <c r="K19" s="117">
        <v>-2.3539819999999998</v>
      </c>
      <c r="L19" s="117"/>
      <c r="M19" s="117"/>
      <c r="N19" s="117">
        <f>SUM(K19:M19)</f>
        <v>-2.3539819999999998</v>
      </c>
    </row>
    <row r="20" spans="9:17" x14ac:dyDescent="0.3">
      <c r="I20" s="515" t="str">
        <f>B15</f>
        <v>Mena Mobile Inc (Debt)</v>
      </c>
      <c r="J20" s="122">
        <f>C15</f>
        <v>45138</v>
      </c>
      <c r="K20" s="124"/>
      <c r="L20" s="124"/>
      <c r="M20" s="124">
        <v>2.3539819999999998</v>
      </c>
      <c r="N20" s="124">
        <f>SUM(K20:M20)</f>
        <v>2.3539819999999998</v>
      </c>
    </row>
    <row r="21" spans="9:17" x14ac:dyDescent="0.3">
      <c r="J21" s="147"/>
      <c r="K21" s="147"/>
      <c r="L21" s="147"/>
      <c r="M21" s="147"/>
      <c r="N21" s="147"/>
    </row>
    <row r="22" spans="9:17" x14ac:dyDescent="0.3">
      <c r="I22" s="254" t="s">
        <v>216</v>
      </c>
      <c r="J22" s="282">
        <f>IF(ISERROR(XIRR(N19:N20,J19:J20)),"NM",XIRR(N19:N20,J19:J20))</f>
        <v>2.9802322387695314E-9</v>
      </c>
      <c r="K22" s="147"/>
      <c r="L22" s="128" t="s">
        <v>219</v>
      </c>
      <c r="N22" s="147"/>
    </row>
    <row r="23" spans="9:17" x14ac:dyDescent="0.3">
      <c r="I23" s="255" t="s">
        <v>43</v>
      </c>
      <c r="J23" s="270">
        <f>SUM(L19:M20)/-SUM(K19:K20)</f>
        <v>1</v>
      </c>
      <c r="K23" s="147"/>
      <c r="L23" s="128" t="s">
        <v>42</v>
      </c>
      <c r="M23" s="248"/>
      <c r="N23" s="147"/>
    </row>
    <row r="24" spans="9:17" x14ac:dyDescent="0.3">
      <c r="I24" s="255" t="s">
        <v>218</v>
      </c>
      <c r="J24" s="270">
        <f>SUM(M19:M20)/-SUM(K19:K20)</f>
        <v>1</v>
      </c>
      <c r="K24" s="147"/>
      <c r="L24" s="128" t="s">
        <v>215</v>
      </c>
      <c r="N24" s="147"/>
    </row>
    <row r="25" spans="9:17" x14ac:dyDescent="0.3">
      <c r="I25" s="256" t="s">
        <v>140</v>
      </c>
      <c r="J25" s="271">
        <f>SUM(L19:L20)/-SUM(K19:K20)</f>
        <v>0</v>
      </c>
      <c r="K25" s="147"/>
      <c r="L25" s="147"/>
      <c r="M25" s="147"/>
      <c r="N25" s="147"/>
    </row>
    <row r="28" spans="9:17" x14ac:dyDescent="0.3">
      <c r="I28" s="514" t="str">
        <f>B11</f>
        <v>Esyasoft Holding (Debt)</v>
      </c>
      <c r="J28" s="514">
        <f>C11</f>
        <v>44384</v>
      </c>
      <c r="K28" s="117">
        <v>-0.41176499999999999</v>
      </c>
      <c r="L28" s="117"/>
      <c r="M28" s="117"/>
      <c r="N28" s="117">
        <f>SUM(K28:M28)</f>
        <v>-0.41176499999999999</v>
      </c>
    </row>
    <row r="29" spans="9:17" x14ac:dyDescent="0.3">
      <c r="I29" s="515" t="str">
        <f>B16</f>
        <v>Esyasoft Holding (Debt)</v>
      </c>
      <c r="J29" s="561">
        <f>'CF (Equity, Debt)'!D45</f>
        <v>44902</v>
      </c>
      <c r="K29" s="124"/>
      <c r="L29" s="124"/>
      <c r="M29" s="124">
        <v>0.45643868219178102</v>
      </c>
      <c r="N29" s="124">
        <f>SUM(K29:M29)</f>
        <v>0.45643868219178102</v>
      </c>
    </row>
    <row r="30" spans="9:17" x14ac:dyDescent="0.3">
      <c r="J30" s="147"/>
      <c r="K30" s="147"/>
      <c r="L30" s="147"/>
      <c r="M30" s="147"/>
      <c r="N30" s="147"/>
    </row>
    <row r="31" spans="9:17" x14ac:dyDescent="0.3">
      <c r="I31" s="254" t="s">
        <v>216</v>
      </c>
      <c r="J31" s="560">
        <f>IF(ISERROR(XIRR(N28:N29,J28:J29)),"NM",XIRR(N28:N29,J28:J29))</f>
        <v>7.5277027487754833E-2</v>
      </c>
      <c r="K31" s="147"/>
      <c r="L31" s="128" t="s">
        <v>219</v>
      </c>
      <c r="N31" s="147"/>
    </row>
    <row r="32" spans="9:17" x14ac:dyDescent="0.3">
      <c r="I32" s="255" t="s">
        <v>43</v>
      </c>
      <c r="J32" s="270">
        <f>SUM(L28:M29)/-SUM(K28:K29)</f>
        <v>1.108493150684932</v>
      </c>
      <c r="K32" s="147"/>
      <c r="L32" s="128" t="s">
        <v>42</v>
      </c>
      <c r="M32" s="248"/>
      <c r="N32" s="147"/>
    </row>
    <row r="33" spans="9:14" x14ac:dyDescent="0.3">
      <c r="I33" s="255" t="s">
        <v>218</v>
      </c>
      <c r="J33" s="270">
        <f>SUM(M28:M29)/-SUM(K28:K29)</f>
        <v>1.108493150684932</v>
      </c>
      <c r="K33" s="147"/>
      <c r="L33" s="128" t="s">
        <v>215</v>
      </c>
      <c r="N33" s="147"/>
    </row>
    <row r="34" spans="9:14" x14ac:dyDescent="0.3">
      <c r="I34" s="256" t="s">
        <v>140</v>
      </c>
      <c r="J34" s="271">
        <f>SUM(L28:L29)/-SUM(K28:K29)</f>
        <v>0</v>
      </c>
      <c r="K34" s="147"/>
      <c r="L34" s="147"/>
      <c r="M34" s="147"/>
      <c r="N34" s="147"/>
    </row>
  </sheetData>
  <pageMargins left="0.7" right="0.7" top="0.75" bottom="0.75" header="0.3" footer="0.3"/>
  <ignoredErrors>
    <ignoredError sqref="N9:N19 N28:N29 G9:G11" formulaRange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C787-9DEF-4C4B-99A2-5D58B438F6F3}">
  <sheetPr>
    <tabColor theme="4" tint="-0.499984740745262"/>
  </sheetPr>
  <dimension ref="B2:Y114"/>
  <sheetViews>
    <sheetView zoomScale="90" zoomScaleNormal="90" workbookViewId="0">
      <selection activeCell="F29" sqref="F29"/>
    </sheetView>
  </sheetViews>
  <sheetFormatPr defaultColWidth="9.1796875" defaultRowHeight="13" x14ac:dyDescent="0.3"/>
  <cols>
    <col min="1" max="1" width="2.81640625" style="136" customWidth="1"/>
    <col min="2" max="2" width="24" style="136" bestFit="1" customWidth="1"/>
    <col min="3" max="3" width="18.81640625" style="136" customWidth="1"/>
    <col min="4" max="4" width="13.1796875" style="136" customWidth="1"/>
    <col min="5" max="5" width="13.453125" style="136" customWidth="1"/>
    <col min="6" max="6" width="12.81640625" style="136" bestFit="1" customWidth="1"/>
    <col min="7" max="7" width="11.1796875" style="136" customWidth="1"/>
    <col min="8" max="8" width="3.7265625" style="136" customWidth="1"/>
    <col min="9" max="9" width="24" style="136" bestFit="1" customWidth="1"/>
    <col min="10" max="10" width="13.453125" style="147" customWidth="1"/>
    <col min="11" max="11" width="12.7265625" style="147" customWidth="1"/>
    <col min="12" max="13" width="12.81640625" style="147" bestFit="1" customWidth="1"/>
    <col min="14" max="14" width="10.81640625" style="147" customWidth="1"/>
    <col min="15" max="15" width="4.1796875" style="136" customWidth="1"/>
    <col min="16" max="16" width="34" style="136" bestFit="1" customWidth="1"/>
    <col min="17" max="21" width="15.453125" style="136" customWidth="1"/>
    <col min="22" max="25" width="11.453125" style="136" customWidth="1"/>
    <col min="26" max="16384" width="9.1796875" style="136"/>
  </cols>
  <sheetData>
    <row r="2" spans="2:25" s="162" customFormat="1" ht="43.5" customHeight="1" x14ac:dyDescent="0.65">
      <c r="B2" s="331" t="s">
        <v>279</v>
      </c>
      <c r="C2" s="332"/>
      <c r="D2" s="332"/>
      <c r="E2" s="387" t="s">
        <v>501</v>
      </c>
      <c r="F2" s="586" t="b">
        <f>COUNTA(B8:B49)=COUNTA('CF (Funds)'!B3:B44)</f>
        <v>1</v>
      </c>
      <c r="G2" s="339"/>
      <c r="H2" s="339"/>
      <c r="I2" s="339"/>
      <c r="J2" s="333"/>
      <c r="K2" s="334"/>
      <c r="L2" s="333"/>
    </row>
    <row r="3" spans="2:25" ht="13.5" thickBot="1" x14ac:dyDescent="0.35"/>
    <row r="4" spans="2:25" ht="13.5" thickBot="1" x14ac:dyDescent="0.35">
      <c r="B4" s="258" t="s">
        <v>227</v>
      </c>
      <c r="C4" s="272">
        <f>D!D2</f>
        <v>45138</v>
      </c>
      <c r="I4" s="275" t="s">
        <v>230</v>
      </c>
      <c r="J4" s="276"/>
      <c r="K4" s="276"/>
      <c r="L4" s="276"/>
      <c r="M4" s="276"/>
      <c r="N4" s="276"/>
      <c r="O4" s="128"/>
      <c r="P4" s="275" t="s">
        <v>231</v>
      </c>
      <c r="Q4" s="277"/>
      <c r="R4" s="277"/>
      <c r="S4" s="277"/>
      <c r="T4" s="277"/>
      <c r="U4" s="277"/>
      <c r="V4" s="277"/>
      <c r="W4" s="277"/>
      <c r="X4" s="277"/>
      <c r="Y4" s="277"/>
    </row>
    <row r="5" spans="2:25" x14ac:dyDescent="0.3">
      <c r="B5" s="279"/>
      <c r="C5" s="280"/>
      <c r="D5" s="281"/>
      <c r="I5" s="275"/>
      <c r="J5" s="276"/>
      <c r="K5" s="276"/>
      <c r="L5" s="276"/>
      <c r="M5" s="276"/>
      <c r="N5" s="276"/>
      <c r="O5" s="128"/>
      <c r="P5" s="275"/>
      <c r="Q5" s="277"/>
      <c r="R5" s="277"/>
      <c r="S5" s="277"/>
      <c r="T5" s="277"/>
      <c r="U5" s="277"/>
      <c r="V5" s="277"/>
      <c r="W5" s="277"/>
      <c r="X5" s="277"/>
      <c r="Y5" s="277"/>
    </row>
    <row r="6" spans="2:25" x14ac:dyDescent="0.3">
      <c r="B6" s="278" t="s">
        <v>46</v>
      </c>
      <c r="I6" s="257"/>
    </row>
    <row r="7" spans="2:25" ht="33.75" customHeight="1" x14ac:dyDescent="0.3">
      <c r="B7" s="113" t="s">
        <v>6</v>
      </c>
      <c r="C7" s="126" t="s">
        <v>7</v>
      </c>
      <c r="D7" s="127" t="s">
        <v>237</v>
      </c>
      <c r="E7" s="516" t="s">
        <v>238</v>
      </c>
      <c r="F7" s="127" t="s">
        <v>215</v>
      </c>
      <c r="G7" s="127" t="s">
        <v>217</v>
      </c>
      <c r="I7" s="126"/>
      <c r="J7" s="126"/>
      <c r="K7" s="127" t="s">
        <v>139</v>
      </c>
      <c r="L7" s="127" t="s">
        <v>226</v>
      </c>
      <c r="M7" s="127" t="s">
        <v>215</v>
      </c>
      <c r="N7" s="127" t="s">
        <v>217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215</v>
      </c>
      <c r="V7" s="127" t="s">
        <v>32</v>
      </c>
      <c r="W7" s="127" t="s">
        <v>43</v>
      </c>
      <c r="X7" s="127" t="s">
        <v>228</v>
      </c>
      <c r="Y7" s="127" t="s">
        <v>140</v>
      </c>
    </row>
    <row r="8" spans="2:25" x14ac:dyDescent="0.3">
      <c r="B8" s="116" t="str">
        <f>'CF (Funds)'!B3</f>
        <v>Sinovation Disrupt Fund, L.P.</v>
      </c>
      <c r="C8" s="415">
        <f>'CF (Funds)'!C3</f>
        <v>44153</v>
      </c>
      <c r="D8" s="117">
        <f>'CF (Funds)'!D3</f>
        <v>-10.5</v>
      </c>
      <c r="E8" s="517">
        <f>'CF (Funds)'!E3</f>
        <v>0</v>
      </c>
      <c r="F8" s="117"/>
      <c r="G8" s="117">
        <f>SUM(D8:F8)</f>
        <v>-10.5</v>
      </c>
      <c r="P8" s="249" t="s">
        <v>39</v>
      </c>
      <c r="V8" s="253"/>
    </row>
    <row r="9" spans="2:25" x14ac:dyDescent="0.3">
      <c r="B9" s="116" t="str">
        <f>'CF (Funds)'!B4</f>
        <v>Sinovation Disrupt Fund, L.P.</v>
      </c>
      <c r="C9" s="415">
        <f>'CF (Funds)'!C4</f>
        <v>44238</v>
      </c>
      <c r="D9" s="117">
        <f>'CF (Funds)'!D4</f>
        <v>4.2140269999999997</v>
      </c>
      <c r="E9" s="517">
        <f>'CF (Funds)'!E4</f>
        <v>0</v>
      </c>
      <c r="F9" s="117"/>
      <c r="G9" s="117">
        <f t="shared" ref="G9:G19" si="0">SUM(D9:F9)</f>
        <v>4.2140269999999997</v>
      </c>
      <c r="I9" s="116" t="str">
        <f t="shared" ref="I9:M15" si="1">B37</f>
        <v>New Space Capital Fund I</v>
      </c>
      <c r="J9" s="119">
        <f t="shared" si="1"/>
        <v>44087</v>
      </c>
      <c r="K9" s="117">
        <f t="shared" si="1"/>
        <v>-20.917552997000001</v>
      </c>
      <c r="L9" s="517">
        <f t="shared" si="1"/>
        <v>0</v>
      </c>
      <c r="M9" s="517">
        <f t="shared" si="1"/>
        <v>0</v>
      </c>
      <c r="N9" s="117">
        <f t="shared" ref="N9:N10" si="2">SUM(K9:M9)</f>
        <v>-20.917552997000001</v>
      </c>
      <c r="P9" s="251" t="s">
        <v>171</v>
      </c>
      <c r="Q9" s="250">
        <f>'S | 01 '!J39</f>
        <v>28.336808256296706</v>
      </c>
      <c r="R9" s="250">
        <f ca="1">-SUMIF($B$7:$F$105,$P9,$D$7:$D$105)</f>
        <v>11.058034651530003</v>
      </c>
      <c r="S9" s="250">
        <f ca="1">Q9-R9</f>
        <v>17.278773604766705</v>
      </c>
      <c r="T9" s="250">
        <f ca="1">SUMIF($B$7:$F$105,$P9,$E$7:$E$105)</f>
        <v>2.9557743514081998</v>
      </c>
      <c r="U9" s="250">
        <f ca="1">SUMIF($B$7:$F$105,$P9,$F$7:$F$105)</f>
        <v>13.390399107670001</v>
      </c>
      <c r="V9" s="274">
        <f>J18</f>
        <v>8.7990489602088912E-2</v>
      </c>
      <c r="W9" s="264">
        <f ca="1">(T9+U9)/R9</f>
        <v>1.478216877970854</v>
      </c>
      <c r="X9" s="264">
        <f ca="1">U9/R9</f>
        <v>1.210920342505645</v>
      </c>
      <c r="Y9" s="264">
        <f ca="1">T9/R9</f>
        <v>0.26729653546520904</v>
      </c>
    </row>
    <row r="10" spans="2:25" x14ac:dyDescent="0.3">
      <c r="B10" s="116" t="str">
        <f>'CF (Funds)'!B5</f>
        <v>Sinovation Disrupt Fund, L.P.</v>
      </c>
      <c r="C10" s="415">
        <f>'CF (Funds)'!C5</f>
        <v>44238</v>
      </c>
      <c r="D10" s="117">
        <f>'CF (Funds)'!D5</f>
        <v>0</v>
      </c>
      <c r="E10" s="517">
        <f>'CF (Funds)'!E5</f>
        <v>5.0448349999999996E-2</v>
      </c>
      <c r="F10" s="117"/>
      <c r="G10" s="117">
        <f t="shared" si="0"/>
        <v>5.0448349999999996E-2</v>
      </c>
      <c r="I10" s="116" t="str">
        <f t="shared" si="1"/>
        <v>New Space Capital Fund I</v>
      </c>
      <c r="J10" s="119">
        <f t="shared" si="1"/>
        <v>44287</v>
      </c>
      <c r="K10" s="117">
        <f t="shared" si="1"/>
        <v>-0.21103182000000001</v>
      </c>
      <c r="L10" s="517">
        <f t="shared" si="1"/>
        <v>0</v>
      </c>
      <c r="M10" s="517">
        <f t="shared" si="1"/>
        <v>0</v>
      </c>
      <c r="N10" s="117">
        <f t="shared" si="2"/>
        <v>-0.21103182000000001</v>
      </c>
      <c r="P10" s="251" t="s">
        <v>538</v>
      </c>
      <c r="Q10" s="250">
        <f>'S | 01 '!J40</f>
        <v>2.7058823529411762</v>
      </c>
      <c r="R10" s="250">
        <f ca="1">-SUMIF($B$7:$F$105,$P10,$D$7:$D$105)</f>
        <v>2.7058823529411762</v>
      </c>
      <c r="S10" s="250">
        <f t="shared" ref="S10:S13" ca="1" si="3">Q10-R10</f>
        <v>0</v>
      </c>
      <c r="T10" s="250">
        <f ca="1">SUMIF($B$7:$F$105,$P10,$E$7:$E$105)</f>
        <v>0</v>
      </c>
      <c r="U10" s="250">
        <f ca="1">SUMIF($B$7:$F$105,$P10,$F$7:$F$105)</f>
        <v>3.2766079856035097</v>
      </c>
      <c r="V10" s="274">
        <v>0</v>
      </c>
      <c r="W10" s="264">
        <f t="shared" ref="W10:W13" ca="1" si="4">(T10+U10)/R10</f>
        <v>1.210920342505645</v>
      </c>
      <c r="X10" s="264">
        <f t="shared" ref="X10:X13" ca="1" si="5">U10/R10</f>
        <v>1.210920342505645</v>
      </c>
      <c r="Y10" s="264">
        <f t="shared" ref="Y10:Y13" ca="1" si="6">T10/R10</f>
        <v>0</v>
      </c>
    </row>
    <row r="11" spans="2:25" x14ac:dyDescent="0.3">
      <c r="B11" s="116" t="str">
        <f>'CF (Funds)'!B6</f>
        <v>Sinovation Disrupt Fund, L.P.</v>
      </c>
      <c r="C11" s="415">
        <f>'CF (Funds)'!C6</f>
        <v>44285</v>
      </c>
      <c r="D11" s="117">
        <f>'CF (Funds)'!D6</f>
        <v>-6.4337459999999993</v>
      </c>
      <c r="E11" s="517">
        <f>'CF (Funds)'!E6</f>
        <v>0</v>
      </c>
      <c r="F11" s="117"/>
      <c r="G11" s="117">
        <f t="shared" si="0"/>
        <v>-6.4337459999999993</v>
      </c>
      <c r="I11" s="116" t="str">
        <f t="shared" si="1"/>
        <v>New Space Capital Fund I</v>
      </c>
      <c r="J11" s="119">
        <f t="shared" si="1"/>
        <v>44442</v>
      </c>
      <c r="K11" s="117">
        <f t="shared" si="1"/>
        <v>-0.23965473139999999</v>
      </c>
      <c r="L11" s="517">
        <f t="shared" si="1"/>
        <v>0</v>
      </c>
      <c r="M11" s="517">
        <f t="shared" si="1"/>
        <v>0</v>
      </c>
      <c r="N11" s="117">
        <f t="shared" ref="N11:N14" si="7">SUM(K11:M11)</f>
        <v>-0.23965473139999999</v>
      </c>
      <c r="P11" s="251" t="s">
        <v>1</v>
      </c>
      <c r="Q11" s="250">
        <f>'S | 01 '!J41</f>
        <v>300</v>
      </c>
      <c r="R11" s="250">
        <f ca="1">-SUMIF($B$7:$F$105,$P11,$D$7:$D$105)</f>
        <v>83.214652999999984</v>
      </c>
      <c r="S11" s="250">
        <f ca="1">Q11-R11+T11</f>
        <v>217.81330800000001</v>
      </c>
      <c r="T11" s="250">
        <f ca="1">SUMIF($B$7:$F$105,$P11,$E$7:$E$105)</f>
        <v>1.0279609999999999</v>
      </c>
      <c r="U11" s="250">
        <f ca="1">SUMIF($B$7:$F$105,$P11,$F$7:$F$105)</f>
        <v>81.695785999999998</v>
      </c>
      <c r="V11" s="274">
        <f>J50</f>
        <v>-2.1562932059168817E-3</v>
      </c>
      <c r="W11" s="264">
        <f t="shared" ca="1" si="4"/>
        <v>0.99410072646700842</v>
      </c>
      <c r="X11" s="264">
        <f t="shared" ca="1" si="5"/>
        <v>0.98174760159127283</v>
      </c>
      <c r="Y11" s="264">
        <f t="shared" ca="1" si="6"/>
        <v>1.2353124875735528E-2</v>
      </c>
    </row>
    <row r="12" spans="2:25" x14ac:dyDescent="0.3">
      <c r="B12" s="116" t="str">
        <f>'CF (Funds)'!B7</f>
        <v>Sinovation Disrupt Fund, L.P.</v>
      </c>
      <c r="C12" s="415">
        <f>'CF (Funds)'!C7</f>
        <v>44269</v>
      </c>
      <c r="D12" s="117">
        <f>'CF (Funds)'!D7</f>
        <v>1.1352073899999999</v>
      </c>
      <c r="E12" s="517">
        <f>'CF (Funds)'!E7</f>
        <v>0</v>
      </c>
      <c r="F12" s="117"/>
      <c r="G12" s="117">
        <f t="shared" si="0"/>
        <v>1.1352073899999999</v>
      </c>
      <c r="I12" s="116" t="str">
        <f t="shared" si="1"/>
        <v>New Space Capital Fund I</v>
      </c>
      <c r="J12" s="119">
        <f t="shared" si="1"/>
        <v>44623</v>
      </c>
      <c r="K12" s="117">
        <f t="shared" si="1"/>
        <v>-0.25893584940000003</v>
      </c>
      <c r="L12" s="517">
        <f t="shared" si="1"/>
        <v>0</v>
      </c>
      <c r="M12" s="517">
        <f t="shared" si="1"/>
        <v>0</v>
      </c>
      <c r="N12" s="117">
        <f t="shared" si="7"/>
        <v>-0.25893584940000003</v>
      </c>
      <c r="P12" s="251" t="s">
        <v>15</v>
      </c>
      <c r="Q12" s="250">
        <f>'S | 01 '!J42</f>
        <v>50</v>
      </c>
      <c r="R12" s="250">
        <f ca="1">-SUMIF($B$7:$F$105,$P12,$D$7:$D$105)</f>
        <v>20.744710000000001</v>
      </c>
      <c r="S12" s="250">
        <f t="shared" ca="1" si="3"/>
        <v>29.255289999999999</v>
      </c>
      <c r="T12" s="250">
        <f ca="1">SUMIF($B$7:$F$105,$P12,$E$7:$E$105)</f>
        <v>0.44382834999999998</v>
      </c>
      <c r="U12" s="250">
        <f ca="1">SUMIF($B$7:$F$105,$P12,$F$7:$F$105)</f>
        <v>19.244515</v>
      </c>
      <c r="V12" s="274">
        <f>J73</f>
        <v>-2.336170375347137E-2</v>
      </c>
      <c r="W12" s="264">
        <f t="shared" ca="1" si="4"/>
        <v>0.94907778175737323</v>
      </c>
      <c r="X12" s="264">
        <f t="shared" ca="1" si="5"/>
        <v>0.92768300930695091</v>
      </c>
      <c r="Y12" s="264">
        <f t="shared" ca="1" si="6"/>
        <v>2.13947724504223E-2</v>
      </c>
    </row>
    <row r="13" spans="2:25" x14ac:dyDescent="0.3">
      <c r="B13" s="116" t="str">
        <f>'CF (Funds)'!B8</f>
        <v>Sinovation Disrupt Fund, L.P.</v>
      </c>
      <c r="C13" s="415">
        <f>'CF (Funds)'!C8</f>
        <v>44269</v>
      </c>
      <c r="D13" s="117">
        <f>'CF (Funds)'!D8</f>
        <v>0</v>
      </c>
      <c r="E13" s="517">
        <f>'CF (Funds)'!E8</f>
        <v>2.5899999999999999E-2</v>
      </c>
      <c r="F13" s="117"/>
      <c r="G13" s="117">
        <f t="shared" si="0"/>
        <v>2.5899999999999999E-2</v>
      </c>
      <c r="I13" s="116" t="str">
        <f t="shared" si="1"/>
        <v>New Space Capital Fund I</v>
      </c>
      <c r="J13" s="119">
        <f t="shared" si="1"/>
        <v>44784</v>
      </c>
      <c r="K13" s="117">
        <f t="shared" si="1"/>
        <v>1.5224656599999999E-2</v>
      </c>
      <c r="L13" s="517">
        <f t="shared" si="1"/>
        <v>0</v>
      </c>
      <c r="M13" s="517">
        <f t="shared" si="1"/>
        <v>0</v>
      </c>
      <c r="N13" s="117">
        <f t="shared" si="7"/>
        <v>1.5224656599999999E-2</v>
      </c>
      <c r="P13" s="251" t="s">
        <v>229</v>
      </c>
      <c r="Q13" s="250">
        <f>'S | 01 '!J43</f>
        <v>17.112500000000001</v>
      </c>
      <c r="R13" s="250">
        <f ca="1">-SUMIF($B$7:$F$105,$P13,$D$7:$D$105)</f>
        <v>14.0151375</v>
      </c>
      <c r="S13" s="250">
        <f t="shared" ca="1" si="3"/>
        <v>3.0973625000000009</v>
      </c>
      <c r="T13" s="250">
        <f ca="1">SUMIF($B$7:$F$105,$P13,$E$7:$E$105)</f>
        <v>0</v>
      </c>
      <c r="U13" s="250">
        <f ca="1">SUMIF($B$7:$F$105,$P13,$F$7:$F$105)</f>
        <v>13.307625</v>
      </c>
      <c r="V13" s="274">
        <f>J85</f>
        <v>-4.1123560070991522E-2</v>
      </c>
      <c r="W13" s="264">
        <f t="shared" ca="1" si="4"/>
        <v>0.94951797654500358</v>
      </c>
      <c r="X13" s="264">
        <f t="shared" ca="1" si="5"/>
        <v>0.94951797654500358</v>
      </c>
      <c r="Y13" s="264">
        <f t="shared" ca="1" si="6"/>
        <v>0</v>
      </c>
    </row>
    <row r="14" spans="2:25" x14ac:dyDescent="0.3">
      <c r="B14" s="116" t="str">
        <f>'CF (Funds)'!B9</f>
        <v>Sinovation Disrupt Fund, L.P.</v>
      </c>
      <c r="C14" s="415">
        <f>'CF (Funds)'!C9</f>
        <v>44483</v>
      </c>
      <c r="D14" s="117">
        <f>'CF (Funds)'!D9</f>
        <v>-7.5671379999999999</v>
      </c>
      <c r="E14" s="517">
        <f>'CF (Funds)'!E9</f>
        <v>0</v>
      </c>
      <c r="F14" s="117"/>
      <c r="G14" s="117">
        <f t="shared" si="0"/>
        <v>-7.5671379999999999</v>
      </c>
      <c r="I14" s="116" t="str">
        <f t="shared" si="1"/>
        <v>New Space Capital Fund I</v>
      </c>
      <c r="J14" s="119">
        <f t="shared" si="1"/>
        <v>44956</v>
      </c>
      <c r="K14" s="117">
        <f t="shared" si="1"/>
        <v>10.553916089669999</v>
      </c>
      <c r="L14" s="517">
        <f t="shared" si="1"/>
        <v>0</v>
      </c>
      <c r="M14" s="517">
        <f t="shared" si="1"/>
        <v>0</v>
      </c>
      <c r="N14" s="117">
        <f t="shared" si="7"/>
        <v>10.553916089669999</v>
      </c>
      <c r="Q14" s="262"/>
      <c r="R14" s="259"/>
      <c r="S14" s="260"/>
      <c r="T14" s="260"/>
      <c r="U14" s="260"/>
      <c r="V14" s="463"/>
      <c r="W14" s="260"/>
      <c r="X14" s="260"/>
    </row>
    <row r="15" spans="2:25" x14ac:dyDescent="0.3">
      <c r="B15" s="116" t="str">
        <f>'CF (Funds)'!B10</f>
        <v>Sinovation Disrupt Fund, L.P.</v>
      </c>
      <c r="C15" s="415">
        <f>'CF (Funds)'!C10</f>
        <v>44554</v>
      </c>
      <c r="D15" s="117">
        <f>'CF (Funds)'!D10</f>
        <v>-7.3850159999999994</v>
      </c>
      <c r="E15" s="517">
        <f>'CF (Funds)'!E10</f>
        <v>0</v>
      </c>
      <c r="F15" s="117"/>
      <c r="G15" s="117">
        <f t="shared" si="0"/>
        <v>-7.3850159999999994</v>
      </c>
      <c r="I15" s="116" t="str">
        <f t="shared" si="1"/>
        <v>New Space Capital Fund I</v>
      </c>
      <c r="J15" s="119">
        <f t="shared" si="1"/>
        <v>44956</v>
      </c>
      <c r="K15" s="117">
        <f t="shared" si="1"/>
        <v>0</v>
      </c>
      <c r="L15" s="517">
        <f t="shared" si="1"/>
        <v>2.9557743514081998</v>
      </c>
      <c r="M15" s="517">
        <f t="shared" si="1"/>
        <v>0</v>
      </c>
      <c r="N15" s="117">
        <f>SUM(K15:M15)</f>
        <v>2.9557743514081998</v>
      </c>
      <c r="P15" s="261" t="s">
        <v>76</v>
      </c>
      <c r="Q15" s="263">
        <f>SUM(Q9:Q14)</f>
        <v>398.15519060923788</v>
      </c>
      <c r="R15" s="263">
        <f ca="1">SUM(R9:R14)</f>
        <v>131.73841750447116</v>
      </c>
      <c r="S15" s="263">
        <f ca="1">SUM(S9:S14)</f>
        <v>267.44473410476667</v>
      </c>
      <c r="T15" s="263">
        <f ca="1">SUM(T9:T14)</f>
        <v>4.4275637014082001</v>
      </c>
      <c r="U15" s="263">
        <f ca="1">SUM(U9:U14)</f>
        <v>130.9149330932735</v>
      </c>
      <c r="V15" s="406">
        <f>XIRR(G8:G60,C8:C60)</f>
        <v>1.008366644382477E-2</v>
      </c>
      <c r="W15" s="265">
        <f t="shared" ref="W15" ca="1" si="8">(T15+U15)/R15</f>
        <v>1.0273578456344232</v>
      </c>
      <c r="X15" s="265">
        <f t="shared" ref="X15" ca="1" si="9">U15/R15</f>
        <v>0.99374909440391823</v>
      </c>
      <c r="Y15" s="265">
        <f t="shared" ref="Y15" ca="1" si="10">T15/R15</f>
        <v>3.3608751230505177E-2</v>
      </c>
    </row>
    <row r="16" spans="2:25" x14ac:dyDescent="0.3">
      <c r="B16" s="116" t="str">
        <f>'CF (Funds)'!B11</f>
        <v>Sinovation Disrupt Fund, L.P.</v>
      </c>
      <c r="C16" s="415">
        <f>'CF (Funds)'!C11</f>
        <v>44554</v>
      </c>
      <c r="D16" s="117">
        <f>'CF (Funds)'!D11</f>
        <v>4.0733456099999996</v>
      </c>
      <c r="E16" s="517">
        <f>'CF (Funds)'!E11</f>
        <v>0</v>
      </c>
      <c r="F16" s="117"/>
      <c r="G16" s="117">
        <f t="shared" si="0"/>
        <v>4.0733456099999996</v>
      </c>
      <c r="I16" s="121" t="s">
        <v>171</v>
      </c>
      <c r="J16" s="122">
        <f>$C$4</f>
        <v>45138</v>
      </c>
      <c r="K16" s="124"/>
      <c r="L16" s="124"/>
      <c r="M16" s="124">
        <f>F52</f>
        <v>13.390399107670001</v>
      </c>
      <c r="N16" s="124">
        <f>SUM(K16:M16)</f>
        <v>13.390399107670001</v>
      </c>
      <c r="P16" s="128"/>
    </row>
    <row r="17" spans="2:20" x14ac:dyDescent="0.3">
      <c r="B17" s="116" t="str">
        <f>'CF (Funds)'!B12</f>
        <v>Sinovation Disrupt Fund, L.P.</v>
      </c>
      <c r="C17" s="415">
        <f>'CF (Funds)'!C12</f>
        <v>44554</v>
      </c>
      <c r="D17" s="117">
        <f>'CF (Funds)'!D12</f>
        <v>0</v>
      </c>
      <c r="E17" s="517">
        <f>'CF (Funds)'!E12</f>
        <v>0.13969399999999998</v>
      </c>
      <c r="F17" s="117"/>
      <c r="G17" s="117">
        <f t="shared" si="0"/>
        <v>0.13969399999999998</v>
      </c>
      <c r="S17" s="248"/>
      <c r="T17" s="248"/>
    </row>
    <row r="18" spans="2:20" x14ac:dyDescent="0.3">
      <c r="B18" s="116" t="str">
        <f>'CF (Funds)'!B13</f>
        <v>Sinovation Disrupt Fund, L.P.</v>
      </c>
      <c r="C18" s="415">
        <f>'CF (Funds)'!C13</f>
        <v>44703</v>
      </c>
      <c r="D18" s="117">
        <f>'CF (Funds)'!D13</f>
        <v>5.6730739999999997</v>
      </c>
      <c r="E18" s="517">
        <f>'CF (Funds)'!E13</f>
        <v>0</v>
      </c>
      <c r="F18" s="117"/>
      <c r="G18" s="117">
        <f t="shared" si="0"/>
        <v>5.6730739999999997</v>
      </c>
      <c r="I18" s="254" t="s">
        <v>216</v>
      </c>
      <c r="J18" s="269">
        <f>XIRR(N9:N16,J9:J16)</f>
        <v>8.7990489602088912E-2</v>
      </c>
      <c r="L18" s="128" t="s">
        <v>219</v>
      </c>
      <c r="M18" s="136" t="b">
        <f>-SUM(K9:K16)='S | 01 '!K39</f>
        <v>1</v>
      </c>
      <c r="P18" s="254" t="s">
        <v>216</v>
      </c>
      <c r="Q18" s="609">
        <f>XIRR(G8:G60,C8:C60)</f>
        <v>1.008366644382477E-2</v>
      </c>
      <c r="S18" s="248"/>
      <c r="T18" s="248"/>
    </row>
    <row r="19" spans="2:20" x14ac:dyDescent="0.3">
      <c r="B19" s="116" t="str">
        <f>'CF (Funds)'!B14</f>
        <v>Sinovation Disrupt Fund, L.P.</v>
      </c>
      <c r="C19" s="415">
        <f>'CF (Funds)'!C14</f>
        <v>44703</v>
      </c>
      <c r="D19" s="117">
        <f>'CF (Funds)'!D14</f>
        <v>0</v>
      </c>
      <c r="E19" s="517">
        <f>'CF (Funds)'!E14</f>
        <v>0.22778599999999999</v>
      </c>
      <c r="F19" s="117"/>
      <c r="G19" s="117">
        <f t="shared" si="0"/>
        <v>0.22778599999999999</v>
      </c>
      <c r="I19" s="255" t="s">
        <v>43</v>
      </c>
      <c r="J19" s="270">
        <f>SUM(L9:M16)/-SUM(K9:K16)</f>
        <v>1.478216877970854</v>
      </c>
      <c r="L19" s="128" t="s">
        <v>42</v>
      </c>
      <c r="M19" s="248" t="b">
        <f>-SUM(L9:L17)=-'S | 01 '!M39</f>
        <v>1</v>
      </c>
      <c r="P19" s="255" t="s">
        <v>43</v>
      </c>
      <c r="Q19" s="270">
        <f ca="1">SUM(T9:U13)/SUM(R9:R13)</f>
        <v>1.0273578456344234</v>
      </c>
      <c r="S19" s="252"/>
      <c r="T19" s="252"/>
    </row>
    <row r="20" spans="2:20" x14ac:dyDescent="0.3">
      <c r="B20" s="116" t="str">
        <f>'CF (Funds)'!B15</f>
        <v>Sinovation Disrupt Fund, L.P.</v>
      </c>
      <c r="C20" s="415">
        <f>'CF (Funds)'!C15</f>
        <v>44776</v>
      </c>
      <c r="D20" s="117">
        <f>'CF (Funds)'!D15</f>
        <v>-3.235493</v>
      </c>
      <c r="E20" s="517">
        <f>'CF (Funds)'!E15</f>
        <v>0</v>
      </c>
      <c r="F20" s="117"/>
      <c r="G20" s="117">
        <f t="shared" ref="G20" si="11">SUM(D20:F20)</f>
        <v>-3.235493</v>
      </c>
      <c r="I20" s="255" t="s">
        <v>218</v>
      </c>
      <c r="J20" s="270">
        <f>SUM(M9:M16)/-SUM(K9:K16)</f>
        <v>1.210920342505645</v>
      </c>
      <c r="L20" s="128" t="s">
        <v>215</v>
      </c>
      <c r="M20" s="136" t="b">
        <f>M16='S | 01 '!N39</f>
        <v>1</v>
      </c>
      <c r="P20" s="255" t="s">
        <v>218</v>
      </c>
      <c r="Q20" s="270">
        <f ca="1">SUM(U9:U13)/SUM(R9:R13)</f>
        <v>0.99374909440391823</v>
      </c>
    </row>
    <row r="21" spans="2:20" x14ac:dyDescent="0.3">
      <c r="B21" s="116" t="str">
        <f>'CF (Funds)'!B16</f>
        <v>Sinovation Disrupt Fund, L.P.</v>
      </c>
      <c r="C21" s="415">
        <f>'CF (Funds)'!C16</f>
        <v>44960</v>
      </c>
      <c r="D21" s="117">
        <f>'CF (Funds)'!D16</f>
        <v>-2.6315279999999999</v>
      </c>
      <c r="E21" s="517">
        <f>'CF (Funds)'!E16</f>
        <v>0</v>
      </c>
      <c r="F21" s="117"/>
      <c r="G21" s="117">
        <f t="shared" ref="G21" si="12">SUM(D21:F21)</f>
        <v>-2.6315279999999999</v>
      </c>
      <c r="I21" s="256" t="s">
        <v>140</v>
      </c>
      <c r="J21" s="271">
        <f>SUM(L9:L16)/-SUM(K9:K16)</f>
        <v>0.26729653546520904</v>
      </c>
      <c r="P21" s="256" t="s">
        <v>140</v>
      </c>
      <c r="Q21" s="271">
        <f ca="1">SUM(T9:T13)/SUM(R9:R13)</f>
        <v>3.3608751230505177E-2</v>
      </c>
    </row>
    <row r="22" spans="2:20" x14ac:dyDescent="0.3">
      <c r="B22" s="116" t="str">
        <f>'CF (Funds)'!B17</f>
        <v>Sinovation Disrupt Fund, L.P.</v>
      </c>
      <c r="C22" s="415">
        <f>'CF (Funds)'!C17</f>
        <v>45085</v>
      </c>
      <c r="D22" s="117">
        <f>'CF (Funds)'!D17</f>
        <v>1.9125570000000001</v>
      </c>
      <c r="E22" s="517">
        <f>'CF (Funds)'!E17</f>
        <v>0</v>
      </c>
      <c r="F22" s="117"/>
      <c r="G22" s="117">
        <f t="shared" ref="G22" si="13">SUM(D22:F22)</f>
        <v>1.9125570000000001</v>
      </c>
      <c r="I22" s="682"/>
      <c r="J22" s="683"/>
      <c r="P22" s="682"/>
      <c r="Q22" s="683"/>
    </row>
    <row r="23" spans="2:20" x14ac:dyDescent="0.3">
      <c r="B23" s="121" t="str">
        <f>'CF (Funds)'!B18</f>
        <v>North Summit Capital Fund</v>
      </c>
      <c r="C23" s="416">
        <f>'CF (Funds)'!C18</f>
        <v>43665</v>
      </c>
      <c r="D23" s="124">
        <f>'CF (Funds)'!D18</f>
        <v>-3</v>
      </c>
      <c r="E23" s="518">
        <f>'CF (Funds)'!E18</f>
        <v>0</v>
      </c>
      <c r="F23" s="124"/>
      <c r="G23" s="124">
        <f t="shared" ref="G23:G39" si="14">SUM(D23:F23)</f>
        <v>-3</v>
      </c>
    </row>
    <row r="24" spans="2:20" x14ac:dyDescent="0.3">
      <c r="B24" s="121" t="str">
        <f>'CF (Funds)'!B19</f>
        <v>North Summit Capital Fund</v>
      </c>
      <c r="C24" s="416">
        <f>'CF (Funds)'!C19</f>
        <v>43983</v>
      </c>
      <c r="D24" s="124">
        <f>'CF (Funds)'!D19</f>
        <v>-4.4849999999999994</v>
      </c>
      <c r="E24" s="518">
        <f>'CF (Funds)'!E19</f>
        <v>0</v>
      </c>
      <c r="F24" s="124"/>
      <c r="G24" s="124">
        <f t="shared" si="14"/>
        <v>-4.4849999999999994</v>
      </c>
    </row>
    <row r="25" spans="2:20" x14ac:dyDescent="0.3">
      <c r="B25" s="121" t="str">
        <f>'CF (Funds)'!B20</f>
        <v>North Summit Capital Fund</v>
      </c>
      <c r="C25" s="416">
        <f>'CF (Funds)'!C20</f>
        <v>43879</v>
      </c>
      <c r="D25" s="124">
        <f>'CF (Funds)'!D20</f>
        <v>-9.5097500000000004</v>
      </c>
      <c r="E25" s="518">
        <f>'CF (Funds)'!E20</f>
        <v>0</v>
      </c>
      <c r="F25" s="124"/>
      <c r="G25" s="124">
        <f t="shared" si="14"/>
        <v>-9.5097500000000004</v>
      </c>
      <c r="I25" s="116" t="str">
        <f>B44</f>
        <v>New Space Capital GP Com SCSp</v>
      </c>
      <c r="J25" s="119">
        <f>C44</f>
        <v>44087</v>
      </c>
      <c r="K25" s="117">
        <f>D44</f>
        <v>-2.7058823529411762</v>
      </c>
      <c r="L25" s="182"/>
      <c r="M25" s="182"/>
      <c r="N25" s="117">
        <f>SUM(K25:M25)</f>
        <v>-2.7058823529411762</v>
      </c>
    </row>
    <row r="26" spans="2:20" x14ac:dyDescent="0.3">
      <c r="B26" s="121" t="str">
        <f>'CF (Funds)'!B21</f>
        <v>North Summit Capital Fund</v>
      </c>
      <c r="C26" s="416">
        <f>'CF (Funds)'!C21</f>
        <v>43934</v>
      </c>
      <c r="D26" s="124">
        <f>'CF (Funds)'!D21</f>
        <v>-41.3</v>
      </c>
      <c r="E26" s="518">
        <f>'CF (Funds)'!E21</f>
        <v>0</v>
      </c>
      <c r="F26" s="124"/>
      <c r="G26" s="124">
        <f t="shared" si="14"/>
        <v>-41.3</v>
      </c>
      <c r="I26" s="121" t="s">
        <v>153</v>
      </c>
      <c r="J26" s="122">
        <f>$C$4</f>
        <v>45138</v>
      </c>
      <c r="K26" s="124"/>
      <c r="L26" s="124"/>
      <c r="M26" s="124">
        <f>F53</f>
        <v>3.2766079856035097</v>
      </c>
      <c r="N26" s="124">
        <f>SUM(K26:M26)</f>
        <v>3.2766079856035097</v>
      </c>
    </row>
    <row r="27" spans="2:20" x14ac:dyDescent="0.3">
      <c r="B27" s="121" t="str">
        <f>'CF (Funds)'!B22</f>
        <v>North Summit Capital Fund</v>
      </c>
      <c r="C27" s="416">
        <f>'CF (Funds)'!C22</f>
        <v>44151</v>
      </c>
      <c r="D27" s="124">
        <f>'CF (Funds)'!D22</f>
        <v>9.9499999999999993</v>
      </c>
      <c r="E27" s="518">
        <f>'CF (Funds)'!E22</f>
        <v>0</v>
      </c>
      <c r="F27" s="124"/>
      <c r="G27" s="124">
        <f t="shared" si="14"/>
        <v>9.9499999999999993</v>
      </c>
    </row>
    <row r="28" spans="2:20" x14ac:dyDescent="0.3">
      <c r="B28" s="121" t="str">
        <f>'CF (Funds)'!B23</f>
        <v>North Summit Capital Fund</v>
      </c>
      <c r="C28" s="416">
        <f>'CF (Funds)'!C23</f>
        <v>44151</v>
      </c>
      <c r="D28" s="124">
        <f>'CF (Funds)'!D23</f>
        <v>-10.455</v>
      </c>
      <c r="E28" s="518">
        <f>'CF (Funds)'!E23</f>
        <v>0</v>
      </c>
      <c r="F28" s="124"/>
      <c r="G28" s="124">
        <f t="shared" si="14"/>
        <v>-10.455</v>
      </c>
      <c r="I28" s="254" t="s">
        <v>216</v>
      </c>
      <c r="J28" s="269">
        <f>XIRR(N25:N26,J25:J26)</f>
        <v>6.8722781538963315E-2</v>
      </c>
      <c r="L28" s="128" t="s">
        <v>219</v>
      </c>
      <c r="M28" s="136" t="b">
        <f>-SUM(K25:K26)='S | 01 '!K40</f>
        <v>1</v>
      </c>
    </row>
    <row r="29" spans="2:20" x14ac:dyDescent="0.3">
      <c r="B29" s="121" t="str">
        <f>'CF (Funds)'!B24</f>
        <v>North Summit Capital Fund</v>
      </c>
      <c r="C29" s="416">
        <f>'CF (Funds)'!C24</f>
        <v>44196</v>
      </c>
      <c r="D29" s="124">
        <f>'CF (Funds)'!D24</f>
        <v>4.9749999999999996</v>
      </c>
      <c r="E29" s="518">
        <f>'CF (Funds)'!E24</f>
        <v>0</v>
      </c>
      <c r="F29" s="124"/>
      <c r="G29" s="124">
        <f t="shared" si="14"/>
        <v>4.9749999999999996</v>
      </c>
      <c r="I29" s="255" t="s">
        <v>43</v>
      </c>
      <c r="J29" s="270">
        <f>SUM(L25:M26)/-SUM(K25:K26)</f>
        <v>1.210920342505645</v>
      </c>
      <c r="L29" s="128" t="s">
        <v>42</v>
      </c>
      <c r="M29" s="248" t="b">
        <f>-SUM(L21:L27)=-'S | 01 '!L40</f>
        <v>1</v>
      </c>
    </row>
    <row r="30" spans="2:20" x14ac:dyDescent="0.3">
      <c r="B30" s="121" t="str">
        <f>'CF (Funds)'!B25</f>
        <v>North Summit Capital Fund</v>
      </c>
      <c r="C30" s="416">
        <f>'CF (Funds)'!C25</f>
        <v>44196</v>
      </c>
      <c r="D30" s="124">
        <f>'CF (Funds)'!D25</f>
        <v>-3.4522930000000001</v>
      </c>
      <c r="E30" s="518">
        <f>'CF (Funds)'!E25</f>
        <v>0</v>
      </c>
      <c r="F30" s="124"/>
      <c r="G30" s="124">
        <f t="shared" si="14"/>
        <v>-3.4522930000000001</v>
      </c>
      <c r="I30" s="255" t="s">
        <v>218</v>
      </c>
      <c r="J30" s="270">
        <f>SUM(M25:M26)/-SUM(K25:K26)</f>
        <v>1.210920342505645</v>
      </c>
      <c r="L30" s="128" t="s">
        <v>215</v>
      </c>
      <c r="M30" s="136" t="b">
        <f>M26='S | 01 '!N40</f>
        <v>1</v>
      </c>
    </row>
    <row r="31" spans="2:20" x14ac:dyDescent="0.3">
      <c r="B31" s="121" t="str">
        <f>'CF (Funds)'!B26</f>
        <v>North Summit Capital Fund</v>
      </c>
      <c r="C31" s="416">
        <f>'CF (Funds)'!C26</f>
        <v>44196</v>
      </c>
      <c r="D31" s="124">
        <f>'CF (Funds)'!D26</f>
        <v>0</v>
      </c>
      <c r="E31" s="518">
        <f>'CF (Funds)'!E26</f>
        <v>0.58290199999999992</v>
      </c>
      <c r="F31" s="124"/>
      <c r="G31" s="124">
        <f t="shared" si="14"/>
        <v>0.58290199999999992</v>
      </c>
      <c r="I31" s="256" t="s">
        <v>140</v>
      </c>
      <c r="J31" s="271">
        <f>SUM(L25:L26)/-SUM(K25:K26)</f>
        <v>0</v>
      </c>
    </row>
    <row r="32" spans="2:20" x14ac:dyDescent="0.3">
      <c r="B32" s="121" t="str">
        <f>'CF (Funds)'!B27</f>
        <v>North Summit Capital Fund</v>
      </c>
      <c r="C32" s="416">
        <f>'CF (Funds)'!C27</f>
        <v>44370</v>
      </c>
      <c r="D32" s="124">
        <f>'CF (Funds)'!D27</f>
        <v>-5.97</v>
      </c>
      <c r="E32" s="518">
        <f>'CF (Funds)'!E27</f>
        <v>0</v>
      </c>
      <c r="F32" s="124"/>
      <c r="G32" s="124">
        <f t="shared" si="14"/>
        <v>-5.97</v>
      </c>
    </row>
    <row r="33" spans="2:14" x14ac:dyDescent="0.3">
      <c r="B33" s="121" t="str">
        <f>'CF (Funds)'!B28</f>
        <v>North Summit Capital Fund</v>
      </c>
      <c r="C33" s="416">
        <f>'CF (Funds)'!C28</f>
        <v>44400</v>
      </c>
      <c r="D33" s="124">
        <f>'CF (Funds)'!D28</f>
        <v>-0.75</v>
      </c>
      <c r="E33" s="518">
        <f>'CF (Funds)'!E28</f>
        <v>0</v>
      </c>
      <c r="F33" s="124"/>
      <c r="G33" s="124">
        <f t="shared" si="14"/>
        <v>-0.75</v>
      </c>
    </row>
    <row r="34" spans="2:14" x14ac:dyDescent="0.3">
      <c r="B34" s="121" t="str">
        <f>'CF (Funds)'!B29</f>
        <v>North Summit Capital Fund</v>
      </c>
      <c r="C34" s="416">
        <f>'CF (Funds)'!C29</f>
        <v>44400</v>
      </c>
      <c r="D34" s="124">
        <f>'CF (Funds)'!D29</f>
        <v>0</v>
      </c>
      <c r="E34" s="518">
        <f>'CF (Funds)'!E29</f>
        <v>0.44505899999999998</v>
      </c>
      <c r="F34" s="124"/>
      <c r="G34" s="124">
        <f t="shared" si="14"/>
        <v>0.44505899999999998</v>
      </c>
      <c r="I34" s="116" t="str">
        <f t="shared" ref="I34:I47" si="15">B23</f>
        <v>North Summit Capital Fund</v>
      </c>
      <c r="J34" s="119">
        <f t="shared" ref="J34:J47" si="16">C23</f>
        <v>43665</v>
      </c>
      <c r="K34" s="117">
        <f t="shared" ref="K34:K47" si="17">D23</f>
        <v>-3</v>
      </c>
      <c r="L34" s="517">
        <f t="shared" ref="L34:L47" si="18">E23</f>
        <v>0</v>
      </c>
      <c r="M34" s="517">
        <f t="shared" ref="M34:M47" si="19">F23</f>
        <v>0</v>
      </c>
      <c r="N34" s="117">
        <f t="shared" ref="N34:N48" si="20">SUM(K34:M34)</f>
        <v>-3</v>
      </c>
    </row>
    <row r="35" spans="2:14" x14ac:dyDescent="0.3">
      <c r="B35" s="121" t="str">
        <f>'CF (Funds)'!B30</f>
        <v>North Summit Capital Fund</v>
      </c>
      <c r="C35" s="416">
        <f>'CF (Funds)'!C30</f>
        <v>44554</v>
      </c>
      <c r="D35" s="124">
        <f>'CF (Funds)'!D30</f>
        <v>1.7823899999999999</v>
      </c>
      <c r="E35" s="518">
        <f>'CF (Funds)'!E30</f>
        <v>0</v>
      </c>
      <c r="F35" s="124"/>
      <c r="G35" s="124">
        <f t="shared" si="14"/>
        <v>1.7823899999999999</v>
      </c>
      <c r="I35" s="116" t="str">
        <f t="shared" si="15"/>
        <v>North Summit Capital Fund</v>
      </c>
      <c r="J35" s="119">
        <f t="shared" si="16"/>
        <v>43983</v>
      </c>
      <c r="K35" s="117">
        <f t="shared" si="17"/>
        <v>-4.4849999999999994</v>
      </c>
      <c r="L35" s="517">
        <f t="shared" si="18"/>
        <v>0</v>
      </c>
      <c r="M35" s="517">
        <f t="shared" si="19"/>
        <v>0</v>
      </c>
      <c r="N35" s="117">
        <f t="shared" si="20"/>
        <v>-4.4849999999999994</v>
      </c>
    </row>
    <row r="36" spans="2:14" x14ac:dyDescent="0.3">
      <c r="B36" s="121" t="str">
        <f>'CF (Funds)'!B31</f>
        <v>North Summit Capital Fund</v>
      </c>
      <c r="C36" s="416">
        <f>'CF (Funds)'!C31</f>
        <v>44676</v>
      </c>
      <c r="D36" s="124">
        <f>'CF (Funds)'!D31</f>
        <v>-21</v>
      </c>
      <c r="E36" s="518">
        <f>'CF (Funds)'!E31</f>
        <v>0</v>
      </c>
      <c r="F36" s="124"/>
      <c r="G36" s="124">
        <f t="shared" si="14"/>
        <v>-21</v>
      </c>
      <c r="I36" s="116" t="str">
        <f t="shared" si="15"/>
        <v>North Summit Capital Fund</v>
      </c>
      <c r="J36" s="119">
        <f t="shared" si="16"/>
        <v>43879</v>
      </c>
      <c r="K36" s="117">
        <f t="shared" si="17"/>
        <v>-9.5097500000000004</v>
      </c>
      <c r="L36" s="517">
        <f t="shared" si="18"/>
        <v>0</v>
      </c>
      <c r="M36" s="517">
        <f t="shared" si="19"/>
        <v>0</v>
      </c>
      <c r="N36" s="117">
        <f t="shared" si="20"/>
        <v>-9.5097500000000004</v>
      </c>
    </row>
    <row r="37" spans="2:14" x14ac:dyDescent="0.3">
      <c r="B37" s="116" t="str">
        <f>'CF (Funds)'!B32</f>
        <v>New Space Capital Fund I</v>
      </c>
      <c r="C37" s="415">
        <f>'CF (Funds)'!C32</f>
        <v>44087</v>
      </c>
      <c r="D37" s="117">
        <f>'CF (Funds)'!D32</f>
        <v>-20.917552997000001</v>
      </c>
      <c r="E37" s="519">
        <f>'CF (Funds)'!E32</f>
        <v>0</v>
      </c>
      <c r="F37" s="182"/>
      <c r="G37" s="462">
        <f t="shared" si="14"/>
        <v>-20.917552997000001</v>
      </c>
      <c r="I37" s="116" t="str">
        <f t="shared" si="15"/>
        <v>North Summit Capital Fund</v>
      </c>
      <c r="J37" s="119">
        <f t="shared" si="16"/>
        <v>43934</v>
      </c>
      <c r="K37" s="117">
        <f t="shared" si="17"/>
        <v>-41.3</v>
      </c>
      <c r="L37" s="517">
        <f t="shared" si="18"/>
        <v>0</v>
      </c>
      <c r="M37" s="517">
        <f t="shared" si="19"/>
        <v>0</v>
      </c>
      <c r="N37" s="117">
        <f t="shared" si="20"/>
        <v>-41.3</v>
      </c>
    </row>
    <row r="38" spans="2:14" x14ac:dyDescent="0.3">
      <c r="B38" s="116" t="str">
        <f>'CF (Funds)'!B33</f>
        <v>New Space Capital Fund I</v>
      </c>
      <c r="C38" s="415">
        <f>'CF (Funds)'!C33</f>
        <v>44287</v>
      </c>
      <c r="D38" s="117">
        <f>'CF (Funds)'!D33</f>
        <v>-0.21103182000000001</v>
      </c>
      <c r="E38" s="519">
        <f>'CF (Funds)'!E33</f>
        <v>0</v>
      </c>
      <c r="F38" s="182"/>
      <c r="G38" s="462">
        <f t="shared" si="14"/>
        <v>-0.21103182000000001</v>
      </c>
      <c r="I38" s="116" t="str">
        <f t="shared" si="15"/>
        <v>North Summit Capital Fund</v>
      </c>
      <c r="J38" s="119">
        <f t="shared" si="16"/>
        <v>44151</v>
      </c>
      <c r="K38" s="117">
        <f t="shared" si="17"/>
        <v>9.9499999999999993</v>
      </c>
      <c r="L38" s="517">
        <f t="shared" si="18"/>
        <v>0</v>
      </c>
      <c r="M38" s="517">
        <f t="shared" si="19"/>
        <v>0</v>
      </c>
      <c r="N38" s="117">
        <f t="shared" si="20"/>
        <v>9.9499999999999993</v>
      </c>
    </row>
    <row r="39" spans="2:14" x14ac:dyDescent="0.3">
      <c r="B39" s="116" t="str">
        <f>'CF (Funds)'!B34</f>
        <v>New Space Capital Fund I</v>
      </c>
      <c r="C39" s="415">
        <f>'CF (Funds)'!C34</f>
        <v>44442</v>
      </c>
      <c r="D39" s="117">
        <f>'CF (Funds)'!D34</f>
        <v>-0.23965473139999999</v>
      </c>
      <c r="E39" s="519">
        <f>'CF (Funds)'!E34</f>
        <v>0</v>
      </c>
      <c r="F39" s="182"/>
      <c r="G39" s="462">
        <f t="shared" si="14"/>
        <v>-0.23965473139999999</v>
      </c>
      <c r="I39" s="116" t="str">
        <f t="shared" si="15"/>
        <v>North Summit Capital Fund</v>
      </c>
      <c r="J39" s="119">
        <f t="shared" si="16"/>
        <v>44151</v>
      </c>
      <c r="K39" s="117">
        <f t="shared" si="17"/>
        <v>-10.455</v>
      </c>
      <c r="L39" s="517">
        <f t="shared" si="18"/>
        <v>0</v>
      </c>
      <c r="M39" s="517">
        <f t="shared" si="19"/>
        <v>0</v>
      </c>
      <c r="N39" s="117">
        <f t="shared" si="20"/>
        <v>-10.455</v>
      </c>
    </row>
    <row r="40" spans="2:14" x14ac:dyDescent="0.3">
      <c r="B40" s="116" t="str">
        <f>'CF (Funds)'!B35</f>
        <v>New Space Capital Fund I</v>
      </c>
      <c r="C40" s="415">
        <f>'CF (Funds)'!C35</f>
        <v>44623</v>
      </c>
      <c r="D40" s="117">
        <f>'CF (Funds)'!D35</f>
        <v>-0.25893584940000003</v>
      </c>
      <c r="E40" s="519">
        <f>'CF (Funds)'!E35</f>
        <v>0</v>
      </c>
      <c r="F40" s="182"/>
      <c r="G40" s="462">
        <f t="shared" ref="G40:G41" si="21">SUM(D40:F40)</f>
        <v>-0.25893584940000003</v>
      </c>
      <c r="I40" s="116" t="str">
        <f t="shared" si="15"/>
        <v>North Summit Capital Fund</v>
      </c>
      <c r="J40" s="119">
        <f t="shared" si="16"/>
        <v>44196</v>
      </c>
      <c r="K40" s="117">
        <f t="shared" si="17"/>
        <v>4.9749999999999996</v>
      </c>
      <c r="L40" s="517">
        <f t="shared" si="18"/>
        <v>0</v>
      </c>
      <c r="M40" s="517">
        <f t="shared" si="19"/>
        <v>0</v>
      </c>
      <c r="N40" s="117">
        <f t="shared" si="20"/>
        <v>4.9749999999999996</v>
      </c>
    </row>
    <row r="41" spans="2:14" x14ac:dyDescent="0.3">
      <c r="B41" s="116" t="str">
        <f>'CF (Funds)'!B36</f>
        <v>New Space Capital Fund I</v>
      </c>
      <c r="C41" s="415">
        <f>'CF (Funds)'!C36</f>
        <v>44784</v>
      </c>
      <c r="D41" s="117">
        <f>'CF (Funds)'!D36</f>
        <v>1.5224656599999999E-2</v>
      </c>
      <c r="E41" s="519">
        <f>'CF (Funds)'!E36</f>
        <v>0</v>
      </c>
      <c r="F41" s="182"/>
      <c r="G41" s="462">
        <f t="shared" si="21"/>
        <v>1.5224656599999999E-2</v>
      </c>
      <c r="I41" s="116" t="str">
        <f t="shared" si="15"/>
        <v>North Summit Capital Fund</v>
      </c>
      <c r="J41" s="119">
        <f t="shared" si="16"/>
        <v>44196</v>
      </c>
      <c r="K41" s="117">
        <f t="shared" si="17"/>
        <v>-3.4522930000000001</v>
      </c>
      <c r="L41" s="517">
        <f t="shared" si="18"/>
        <v>0</v>
      </c>
      <c r="M41" s="517">
        <f t="shared" si="19"/>
        <v>0</v>
      </c>
      <c r="N41" s="117">
        <f t="shared" si="20"/>
        <v>-3.4522930000000001</v>
      </c>
    </row>
    <row r="42" spans="2:14" x14ac:dyDescent="0.3">
      <c r="B42" s="116" t="str">
        <f>'CF (Funds)'!B37</f>
        <v>New Space Capital Fund I</v>
      </c>
      <c r="C42" s="415">
        <f>'CF (Funds)'!C37</f>
        <v>44956</v>
      </c>
      <c r="D42" s="117">
        <f>'CF (Funds)'!D37</f>
        <v>10.553916089669999</v>
      </c>
      <c r="E42" s="519">
        <f>'CF (Funds)'!E37</f>
        <v>0</v>
      </c>
      <c r="F42" s="182"/>
      <c r="G42" s="462">
        <f t="shared" ref="G42:G48" si="22">SUM(D42:F42)</f>
        <v>10.553916089669999</v>
      </c>
      <c r="I42" s="116" t="str">
        <f t="shared" si="15"/>
        <v>North Summit Capital Fund</v>
      </c>
      <c r="J42" s="119">
        <f t="shared" si="16"/>
        <v>44196</v>
      </c>
      <c r="K42" s="117">
        <f t="shared" si="17"/>
        <v>0</v>
      </c>
      <c r="L42" s="517">
        <f t="shared" si="18"/>
        <v>0.58290199999999992</v>
      </c>
      <c r="M42" s="517">
        <f t="shared" si="19"/>
        <v>0</v>
      </c>
      <c r="N42" s="117">
        <f t="shared" si="20"/>
        <v>0.58290199999999992</v>
      </c>
    </row>
    <row r="43" spans="2:14" x14ac:dyDescent="0.3">
      <c r="B43" s="116" t="str">
        <f>'CF (Funds)'!B38</f>
        <v>New Space Capital Fund I</v>
      </c>
      <c r="C43" s="415">
        <f>'CF (Funds)'!C38</f>
        <v>44956</v>
      </c>
      <c r="D43" s="117">
        <f>'CF (Funds)'!D38</f>
        <v>0</v>
      </c>
      <c r="E43" s="519">
        <f>'CF (Funds)'!E38</f>
        <v>2.9557743514081998</v>
      </c>
      <c r="F43" s="182"/>
      <c r="G43" s="462">
        <f t="shared" si="22"/>
        <v>2.9557743514081998</v>
      </c>
      <c r="I43" s="116" t="str">
        <f t="shared" si="15"/>
        <v>North Summit Capital Fund</v>
      </c>
      <c r="J43" s="119">
        <f t="shared" si="16"/>
        <v>44370</v>
      </c>
      <c r="K43" s="117">
        <f t="shared" si="17"/>
        <v>-5.97</v>
      </c>
      <c r="L43" s="517">
        <f t="shared" si="18"/>
        <v>0</v>
      </c>
      <c r="M43" s="517">
        <f t="shared" si="19"/>
        <v>0</v>
      </c>
      <c r="N43" s="117">
        <f t="shared" si="20"/>
        <v>-5.97</v>
      </c>
    </row>
    <row r="44" spans="2:14" x14ac:dyDescent="0.3">
      <c r="B44" s="116" t="str">
        <f>'CF (Funds)'!B39</f>
        <v>New Space Capital GP Com SCSp</v>
      </c>
      <c r="C44" s="415">
        <f>'CF (Funds)'!C39</f>
        <v>44087</v>
      </c>
      <c r="D44" s="117">
        <f>'CF (Funds)'!D39</f>
        <v>-2.7058823529411762</v>
      </c>
      <c r="E44" s="519">
        <f>'CF (Funds)'!E39</f>
        <v>0</v>
      </c>
      <c r="F44" s="182"/>
      <c r="G44" s="462">
        <f t="shared" si="22"/>
        <v>-2.7058823529411762</v>
      </c>
      <c r="I44" s="116" t="str">
        <f t="shared" si="15"/>
        <v>North Summit Capital Fund</v>
      </c>
      <c r="J44" s="119">
        <f t="shared" si="16"/>
        <v>44400</v>
      </c>
      <c r="K44" s="117">
        <f t="shared" si="17"/>
        <v>-0.75</v>
      </c>
      <c r="L44" s="517">
        <f t="shared" si="18"/>
        <v>0</v>
      </c>
      <c r="M44" s="517">
        <f t="shared" si="19"/>
        <v>0</v>
      </c>
      <c r="N44" s="117">
        <f t="shared" si="20"/>
        <v>-0.75</v>
      </c>
    </row>
    <row r="45" spans="2:14" x14ac:dyDescent="0.3">
      <c r="B45" s="121" t="str">
        <f>'CF (Funds)'!B40</f>
        <v>Acies Investments Fund I, L.P.</v>
      </c>
      <c r="C45" s="416">
        <f>'CF (Funds)'!C40</f>
        <v>44540</v>
      </c>
      <c r="D45" s="124">
        <f>'CF (Funds)'!D40</f>
        <v>-2.8053124999999999</v>
      </c>
      <c r="E45" s="518">
        <f>'CF (Funds)'!E40</f>
        <v>0</v>
      </c>
      <c r="F45" s="124"/>
      <c r="G45" s="124">
        <f t="shared" si="22"/>
        <v>-2.8053124999999999</v>
      </c>
      <c r="I45" s="116" t="str">
        <f t="shared" si="15"/>
        <v>North Summit Capital Fund</v>
      </c>
      <c r="J45" s="119">
        <f t="shared" si="16"/>
        <v>44400</v>
      </c>
      <c r="K45" s="117">
        <f t="shared" si="17"/>
        <v>0</v>
      </c>
      <c r="L45" s="517">
        <f t="shared" si="18"/>
        <v>0.44505899999999998</v>
      </c>
      <c r="M45" s="517">
        <f t="shared" si="19"/>
        <v>0</v>
      </c>
      <c r="N45" s="117">
        <f t="shared" si="20"/>
        <v>0.44505899999999998</v>
      </c>
    </row>
    <row r="46" spans="2:14" x14ac:dyDescent="0.3">
      <c r="B46" s="121" t="str">
        <f>'CF (Funds)'!B41</f>
        <v>Acies Investments Fund I, L.P.</v>
      </c>
      <c r="C46" s="416">
        <f>'CF (Funds)'!C41</f>
        <v>44602</v>
      </c>
      <c r="D46" s="124">
        <f>'CF (Funds)'!D41</f>
        <v>-3.4074999999999998</v>
      </c>
      <c r="E46" s="518">
        <f>'CF (Funds)'!E41</f>
        <v>0</v>
      </c>
      <c r="F46" s="124"/>
      <c r="G46" s="124">
        <f t="shared" si="22"/>
        <v>-3.4074999999999998</v>
      </c>
      <c r="I46" s="116" t="str">
        <f t="shared" si="15"/>
        <v>North Summit Capital Fund</v>
      </c>
      <c r="J46" s="119">
        <f t="shared" si="16"/>
        <v>44554</v>
      </c>
      <c r="K46" s="117">
        <f t="shared" si="17"/>
        <v>1.7823899999999999</v>
      </c>
      <c r="L46" s="517">
        <f t="shared" si="18"/>
        <v>0</v>
      </c>
      <c r="M46" s="517">
        <f t="shared" si="19"/>
        <v>0</v>
      </c>
      <c r="N46" s="117">
        <f t="shared" si="20"/>
        <v>1.7823899999999999</v>
      </c>
    </row>
    <row r="47" spans="2:14" x14ac:dyDescent="0.3">
      <c r="B47" s="121" t="str">
        <f>'CF (Funds)'!B42</f>
        <v>Acies Investments Fund I, L.P.</v>
      </c>
      <c r="C47" s="416">
        <f>'CF (Funds)'!C42</f>
        <v>44683</v>
      </c>
      <c r="D47" s="124">
        <f>'CF (Funds)'!D42</f>
        <v>-1.0257749999999999</v>
      </c>
      <c r="E47" s="518">
        <f>'CF (Funds)'!E42</f>
        <v>0</v>
      </c>
      <c r="F47" s="124"/>
      <c r="G47" s="124">
        <f t="shared" si="22"/>
        <v>-1.0257749999999999</v>
      </c>
      <c r="I47" s="116" t="str">
        <f t="shared" si="15"/>
        <v>North Summit Capital Fund</v>
      </c>
      <c r="J47" s="119">
        <f t="shared" si="16"/>
        <v>44676</v>
      </c>
      <c r="K47" s="117">
        <f t="shared" si="17"/>
        <v>-21</v>
      </c>
      <c r="L47" s="517">
        <f t="shared" si="18"/>
        <v>0</v>
      </c>
      <c r="M47" s="517">
        <f t="shared" si="19"/>
        <v>0</v>
      </c>
      <c r="N47" s="117">
        <f t="shared" si="20"/>
        <v>-21</v>
      </c>
    </row>
    <row r="48" spans="2:14" x14ac:dyDescent="0.3">
      <c r="B48" s="121" t="str">
        <f>'CF (Funds)'!B43</f>
        <v>Acies Investments Fund I, L.P.</v>
      </c>
      <c r="C48" s="416">
        <f>'CF (Funds)'!C43</f>
        <v>44707</v>
      </c>
      <c r="D48" s="124">
        <f>'CF (Funds)'!D43</f>
        <v>-3.3882749999999997</v>
      </c>
      <c r="E48" s="518">
        <f>'CF (Funds)'!E43</f>
        <v>0</v>
      </c>
      <c r="F48" s="124"/>
      <c r="G48" s="124">
        <f t="shared" si="22"/>
        <v>-3.3882749999999997</v>
      </c>
      <c r="I48" s="121" t="s">
        <v>1</v>
      </c>
      <c r="J48" s="122">
        <f>$C$4</f>
        <v>45138</v>
      </c>
      <c r="K48" s="124"/>
      <c r="L48" s="124"/>
      <c r="M48" s="124">
        <f>F51</f>
        <v>81.695785999999998</v>
      </c>
      <c r="N48" s="124">
        <f t="shared" si="20"/>
        <v>81.695785999999998</v>
      </c>
    </row>
    <row r="49" spans="2:14" x14ac:dyDescent="0.3">
      <c r="B49" s="121" t="str">
        <f>'CF (Funds)'!B44</f>
        <v>Acies Investments Fund I, L.P.</v>
      </c>
      <c r="C49" s="416">
        <f>'CF (Funds)'!C44</f>
        <v>44875</v>
      </c>
      <c r="D49" s="124">
        <f>'CF (Funds)'!D44</f>
        <v>-3.3882749999999997</v>
      </c>
      <c r="E49" s="518">
        <f>'CF (Funds)'!E44</f>
        <v>0</v>
      </c>
      <c r="F49" s="124"/>
      <c r="G49" s="124">
        <f t="shared" ref="G49" si="23">SUM(D49:F49)</f>
        <v>-3.3882749999999997</v>
      </c>
    </row>
    <row r="50" spans="2:14" x14ac:dyDescent="0.3">
      <c r="B50" s="116" t="s">
        <v>15</v>
      </c>
      <c r="C50" s="415">
        <f t="shared" ref="C50:C54" si="24">$C$4</f>
        <v>45138</v>
      </c>
      <c r="D50" s="117"/>
      <c r="E50" s="519"/>
      <c r="F50" s="460">
        <f>VLOOKUP(B50,NAV!$B$2:$H$44,4,0)</f>
        <v>19.244515</v>
      </c>
      <c r="G50" s="460">
        <f>SUM(D50:F50)</f>
        <v>19.244515</v>
      </c>
      <c r="I50" s="254" t="s">
        <v>216</v>
      </c>
      <c r="J50" s="269">
        <f>XIRR(N34:N48,J34:J48,-0.1)</f>
        <v>-2.1562932059168817E-3</v>
      </c>
      <c r="L50" s="128" t="s">
        <v>219</v>
      </c>
      <c r="M50" s="136" t="b">
        <f>-SUM(K34:K47)='S | 01 '!K41</f>
        <v>1</v>
      </c>
    </row>
    <row r="51" spans="2:14" x14ac:dyDescent="0.3">
      <c r="B51" s="121" t="s">
        <v>1</v>
      </c>
      <c r="C51" s="416">
        <f t="shared" si="24"/>
        <v>45138</v>
      </c>
      <c r="D51" s="124"/>
      <c r="E51" s="124"/>
      <c r="F51" s="461">
        <f>VLOOKUP(B51,NAV!$B$2:$H$44,4,0)</f>
        <v>81.695785999999998</v>
      </c>
      <c r="G51" s="461">
        <f>SUM(D51:F51)</f>
        <v>81.695785999999998</v>
      </c>
      <c r="I51" s="255" t="s">
        <v>43</v>
      </c>
      <c r="J51" s="270">
        <f>SUM(L34:M48)/-SUM(K34:K48)</f>
        <v>0.99410072646700842</v>
      </c>
      <c r="L51" s="128" t="s">
        <v>42</v>
      </c>
      <c r="M51" s="248" t="b">
        <f>-SUM(L34:L47)=-'S | 01 '!M41</f>
        <v>1</v>
      </c>
    </row>
    <row r="52" spans="2:14" x14ac:dyDescent="0.3">
      <c r="B52" s="116" t="s">
        <v>171</v>
      </c>
      <c r="C52" s="415">
        <f>$C$4</f>
        <v>45138</v>
      </c>
      <c r="D52" s="117"/>
      <c r="E52" s="182"/>
      <c r="F52" s="460">
        <f>VLOOKUP(B52,NAV!$B$2:$H$44,4,0)</f>
        <v>13.390399107670001</v>
      </c>
      <c r="G52" s="460">
        <f>SUM(D52:F52)</f>
        <v>13.390399107670001</v>
      </c>
      <c r="I52" s="255" t="s">
        <v>218</v>
      </c>
      <c r="J52" s="270">
        <f>SUM(M34:M48)/-SUM(K34:K48)</f>
        <v>0.98174760159127283</v>
      </c>
      <c r="L52" s="128" t="s">
        <v>215</v>
      </c>
      <c r="M52" s="136" t="b">
        <f>M48='S | 01 '!N41</f>
        <v>1</v>
      </c>
    </row>
    <row r="53" spans="2:14" x14ac:dyDescent="0.3">
      <c r="B53" s="121" t="s">
        <v>538</v>
      </c>
      <c r="C53" s="416">
        <f t="shared" si="24"/>
        <v>45138</v>
      </c>
      <c r="D53" s="124"/>
      <c r="E53" s="124"/>
      <c r="F53" s="461">
        <f>VLOOKUP(B53,NAV!$B$2:$H$44,4,0)</f>
        <v>3.2766079856035097</v>
      </c>
      <c r="G53" s="461">
        <f>SUM(D53:F53)</f>
        <v>3.2766079856035097</v>
      </c>
      <c r="I53" s="256" t="s">
        <v>140</v>
      </c>
      <c r="J53" s="271">
        <f>SUM(L34:L48)/-SUM(K34:K48)</f>
        <v>1.2353124875735528E-2</v>
      </c>
    </row>
    <row r="54" spans="2:14" x14ac:dyDescent="0.3">
      <c r="B54" s="116" t="s">
        <v>229</v>
      </c>
      <c r="C54" s="415">
        <f t="shared" si="24"/>
        <v>45138</v>
      </c>
      <c r="D54" s="117"/>
      <c r="E54" s="182"/>
      <c r="F54" s="460">
        <f>VLOOKUP(B54,NAV!$B$2:$H$44,4,0)</f>
        <v>13.307625</v>
      </c>
      <c r="G54" s="460">
        <f>SUM(D54:F54)</f>
        <v>13.307625</v>
      </c>
    </row>
    <row r="56" spans="2:14" x14ac:dyDescent="0.3">
      <c r="B56" s="121"/>
      <c r="C56" s="416"/>
      <c r="D56" s="124"/>
      <c r="E56" s="124"/>
      <c r="F56" s="124"/>
      <c r="G56" s="124"/>
      <c r="I56" s="116" t="str">
        <f t="shared" ref="I56:I68" si="25">B8</f>
        <v>Sinovation Disrupt Fund, L.P.</v>
      </c>
      <c r="J56" s="119">
        <f t="shared" ref="J56:J68" si="26">C8</f>
        <v>44153</v>
      </c>
      <c r="K56" s="117">
        <f t="shared" ref="K56:K68" si="27">D8</f>
        <v>-10.5</v>
      </c>
      <c r="L56" s="517">
        <f t="shared" ref="L56:L68" si="28">E8</f>
        <v>0</v>
      </c>
      <c r="M56" s="517">
        <f t="shared" ref="M56:M68" si="29">F8</f>
        <v>0</v>
      </c>
      <c r="N56" s="117">
        <f t="shared" ref="N56:N67" si="30">SUM(K56:M56)</f>
        <v>-10.5</v>
      </c>
    </row>
    <row r="57" spans="2:14" x14ac:dyDescent="0.3">
      <c r="C57" s="145"/>
      <c r="I57" s="116" t="str">
        <f t="shared" si="25"/>
        <v>Sinovation Disrupt Fund, L.P.</v>
      </c>
      <c r="J57" s="119">
        <f t="shared" si="26"/>
        <v>44238</v>
      </c>
      <c r="K57" s="117">
        <f t="shared" si="27"/>
        <v>4.2140269999999997</v>
      </c>
      <c r="L57" s="517">
        <f t="shared" si="28"/>
        <v>0</v>
      </c>
      <c r="M57" s="517">
        <f t="shared" si="29"/>
        <v>0</v>
      </c>
      <c r="N57" s="117">
        <f t="shared" si="30"/>
        <v>4.2140269999999997</v>
      </c>
    </row>
    <row r="58" spans="2:14" x14ac:dyDescent="0.3">
      <c r="C58" s="145"/>
      <c r="I58" s="116" t="str">
        <f t="shared" si="25"/>
        <v>Sinovation Disrupt Fund, L.P.</v>
      </c>
      <c r="J58" s="119">
        <f t="shared" si="26"/>
        <v>44238</v>
      </c>
      <c r="K58" s="117">
        <f t="shared" si="27"/>
        <v>0</v>
      </c>
      <c r="L58" s="517">
        <f t="shared" si="28"/>
        <v>5.0448349999999996E-2</v>
      </c>
      <c r="M58" s="517">
        <f t="shared" si="29"/>
        <v>0</v>
      </c>
      <c r="N58" s="117">
        <f t="shared" si="30"/>
        <v>5.0448349999999996E-2</v>
      </c>
    </row>
    <row r="59" spans="2:14" x14ac:dyDescent="0.3">
      <c r="C59" s="145"/>
      <c r="I59" s="116" t="str">
        <f t="shared" si="25"/>
        <v>Sinovation Disrupt Fund, L.P.</v>
      </c>
      <c r="J59" s="119">
        <f t="shared" si="26"/>
        <v>44285</v>
      </c>
      <c r="K59" s="117">
        <f t="shared" si="27"/>
        <v>-6.4337459999999993</v>
      </c>
      <c r="L59" s="517">
        <f t="shared" si="28"/>
        <v>0</v>
      </c>
      <c r="M59" s="517">
        <f t="shared" si="29"/>
        <v>0</v>
      </c>
      <c r="N59" s="117">
        <f t="shared" si="30"/>
        <v>-6.4337459999999993</v>
      </c>
    </row>
    <row r="60" spans="2:14" x14ac:dyDescent="0.3">
      <c r="C60" s="145"/>
      <c r="I60" s="116" t="str">
        <f t="shared" si="25"/>
        <v>Sinovation Disrupt Fund, L.P.</v>
      </c>
      <c r="J60" s="119">
        <f t="shared" si="26"/>
        <v>44269</v>
      </c>
      <c r="K60" s="117">
        <f t="shared" si="27"/>
        <v>1.1352073899999999</v>
      </c>
      <c r="L60" s="517">
        <f t="shared" si="28"/>
        <v>0</v>
      </c>
      <c r="M60" s="517">
        <f t="shared" si="29"/>
        <v>0</v>
      </c>
      <c r="N60" s="117">
        <f t="shared" si="30"/>
        <v>1.1352073899999999</v>
      </c>
    </row>
    <row r="61" spans="2:14" x14ac:dyDescent="0.3">
      <c r="C61" s="145"/>
      <c r="I61" s="116" t="str">
        <f t="shared" si="25"/>
        <v>Sinovation Disrupt Fund, L.P.</v>
      </c>
      <c r="J61" s="119">
        <f t="shared" si="26"/>
        <v>44269</v>
      </c>
      <c r="K61" s="117">
        <f t="shared" si="27"/>
        <v>0</v>
      </c>
      <c r="L61" s="517">
        <f t="shared" si="28"/>
        <v>2.5899999999999999E-2</v>
      </c>
      <c r="M61" s="517">
        <f t="shared" si="29"/>
        <v>0</v>
      </c>
      <c r="N61" s="117">
        <f t="shared" si="30"/>
        <v>2.5899999999999999E-2</v>
      </c>
    </row>
    <row r="62" spans="2:14" x14ac:dyDescent="0.3">
      <c r="C62" s="145"/>
      <c r="I62" s="116" t="str">
        <f t="shared" si="25"/>
        <v>Sinovation Disrupt Fund, L.P.</v>
      </c>
      <c r="J62" s="119">
        <f t="shared" si="26"/>
        <v>44483</v>
      </c>
      <c r="K62" s="117">
        <f t="shared" si="27"/>
        <v>-7.5671379999999999</v>
      </c>
      <c r="L62" s="517">
        <f t="shared" si="28"/>
        <v>0</v>
      </c>
      <c r="M62" s="517">
        <f t="shared" si="29"/>
        <v>0</v>
      </c>
      <c r="N62" s="117">
        <f t="shared" si="30"/>
        <v>-7.5671379999999999</v>
      </c>
    </row>
    <row r="63" spans="2:14" x14ac:dyDescent="0.3">
      <c r="C63" s="145"/>
      <c r="I63" s="116" t="str">
        <f t="shared" si="25"/>
        <v>Sinovation Disrupt Fund, L.P.</v>
      </c>
      <c r="J63" s="119">
        <f t="shared" si="26"/>
        <v>44554</v>
      </c>
      <c r="K63" s="117">
        <f t="shared" si="27"/>
        <v>-7.3850159999999994</v>
      </c>
      <c r="L63" s="517">
        <f t="shared" si="28"/>
        <v>0</v>
      </c>
      <c r="M63" s="517">
        <f t="shared" si="29"/>
        <v>0</v>
      </c>
      <c r="N63" s="117">
        <f t="shared" si="30"/>
        <v>-7.3850159999999994</v>
      </c>
    </row>
    <row r="64" spans="2:14" x14ac:dyDescent="0.3">
      <c r="C64" s="145"/>
      <c r="I64" s="116" t="str">
        <f t="shared" si="25"/>
        <v>Sinovation Disrupt Fund, L.P.</v>
      </c>
      <c r="J64" s="119">
        <f t="shared" si="26"/>
        <v>44554</v>
      </c>
      <c r="K64" s="117">
        <f t="shared" si="27"/>
        <v>4.0733456099999996</v>
      </c>
      <c r="L64" s="517">
        <f t="shared" si="28"/>
        <v>0</v>
      </c>
      <c r="M64" s="517">
        <f t="shared" si="29"/>
        <v>0</v>
      </c>
      <c r="N64" s="117">
        <f t="shared" si="30"/>
        <v>4.0733456099999996</v>
      </c>
    </row>
    <row r="65" spans="3:14" x14ac:dyDescent="0.3">
      <c r="C65" s="145"/>
      <c r="I65" s="116" t="str">
        <f t="shared" si="25"/>
        <v>Sinovation Disrupt Fund, L.P.</v>
      </c>
      <c r="J65" s="119">
        <f t="shared" si="26"/>
        <v>44554</v>
      </c>
      <c r="K65" s="117">
        <f t="shared" si="27"/>
        <v>0</v>
      </c>
      <c r="L65" s="517">
        <f t="shared" si="28"/>
        <v>0.13969399999999998</v>
      </c>
      <c r="M65" s="517">
        <f t="shared" si="29"/>
        <v>0</v>
      </c>
      <c r="N65" s="117">
        <f t="shared" si="30"/>
        <v>0.13969399999999998</v>
      </c>
    </row>
    <row r="66" spans="3:14" x14ac:dyDescent="0.3">
      <c r="C66" s="145"/>
      <c r="I66" s="116" t="str">
        <f t="shared" si="25"/>
        <v>Sinovation Disrupt Fund, L.P.</v>
      </c>
      <c r="J66" s="119">
        <f t="shared" si="26"/>
        <v>44703</v>
      </c>
      <c r="K66" s="117">
        <f t="shared" si="27"/>
        <v>5.6730739999999997</v>
      </c>
      <c r="L66" s="517">
        <f t="shared" si="28"/>
        <v>0</v>
      </c>
      <c r="M66" s="517">
        <f t="shared" si="29"/>
        <v>0</v>
      </c>
      <c r="N66" s="117">
        <f t="shared" si="30"/>
        <v>5.6730739999999997</v>
      </c>
    </row>
    <row r="67" spans="3:14" x14ac:dyDescent="0.3">
      <c r="C67" s="145"/>
      <c r="I67" s="116" t="str">
        <f t="shared" si="25"/>
        <v>Sinovation Disrupt Fund, L.P.</v>
      </c>
      <c r="J67" s="119">
        <f t="shared" si="26"/>
        <v>44703</v>
      </c>
      <c r="K67" s="117">
        <f t="shared" si="27"/>
        <v>0</v>
      </c>
      <c r="L67" s="517">
        <f t="shared" si="28"/>
        <v>0.22778599999999999</v>
      </c>
      <c r="M67" s="517">
        <f t="shared" si="29"/>
        <v>0</v>
      </c>
      <c r="N67" s="117">
        <f t="shared" si="30"/>
        <v>0.22778599999999999</v>
      </c>
    </row>
    <row r="68" spans="3:14" x14ac:dyDescent="0.3">
      <c r="C68" s="145"/>
      <c r="I68" s="116" t="str">
        <f t="shared" si="25"/>
        <v>Sinovation Disrupt Fund, L.P.</v>
      </c>
      <c r="J68" s="119">
        <f t="shared" si="26"/>
        <v>44776</v>
      </c>
      <c r="K68" s="117">
        <f t="shared" si="27"/>
        <v>-3.235493</v>
      </c>
      <c r="L68" s="517">
        <f t="shared" si="28"/>
        <v>0</v>
      </c>
      <c r="M68" s="517">
        <f t="shared" si="29"/>
        <v>0</v>
      </c>
      <c r="N68" s="117">
        <f t="shared" ref="N68" si="31">SUM(K68:M68)</f>
        <v>-3.235493</v>
      </c>
    </row>
    <row r="69" spans="3:14" x14ac:dyDescent="0.3">
      <c r="C69" s="145"/>
      <c r="I69" s="116" t="str">
        <f t="shared" ref="I69" si="32">B21</f>
        <v>Sinovation Disrupt Fund, L.P.</v>
      </c>
      <c r="J69" s="119">
        <f t="shared" ref="J69" si="33">C21</f>
        <v>44960</v>
      </c>
      <c r="K69" s="117">
        <f t="shared" ref="K69" si="34">D21</f>
        <v>-2.6315279999999999</v>
      </c>
      <c r="L69" s="517">
        <f t="shared" ref="L69" si="35">E21</f>
        <v>0</v>
      </c>
      <c r="M69" s="517">
        <f t="shared" ref="M69" si="36">F21</f>
        <v>0</v>
      </c>
      <c r="N69" s="117">
        <f t="shared" ref="N69" si="37">SUM(K69:M69)</f>
        <v>-2.6315279999999999</v>
      </c>
    </row>
    <row r="70" spans="3:14" x14ac:dyDescent="0.3">
      <c r="C70" s="145"/>
      <c r="I70" s="116" t="str">
        <f t="shared" ref="I70" si="38">B22</f>
        <v>Sinovation Disrupt Fund, L.P.</v>
      </c>
      <c r="J70" s="119">
        <f t="shared" ref="J70" si="39">C22</f>
        <v>45085</v>
      </c>
      <c r="K70" s="117">
        <f t="shared" ref="K70" si="40">D22</f>
        <v>1.9125570000000001</v>
      </c>
      <c r="L70" s="517">
        <f t="shared" ref="L70" si="41">E22</f>
        <v>0</v>
      </c>
      <c r="M70" s="517">
        <f t="shared" ref="M70" si="42">F22</f>
        <v>0</v>
      </c>
      <c r="N70" s="117">
        <f t="shared" ref="N70" si="43">SUM(K70:M70)</f>
        <v>1.9125570000000001</v>
      </c>
    </row>
    <row r="71" spans="3:14" x14ac:dyDescent="0.3">
      <c r="C71" s="145"/>
      <c r="I71" s="121" t="s">
        <v>15</v>
      </c>
      <c r="J71" s="122">
        <f>$C$4</f>
        <v>45138</v>
      </c>
      <c r="K71" s="124"/>
      <c r="L71" s="124"/>
      <c r="M71" s="124">
        <f>F50</f>
        <v>19.244515</v>
      </c>
      <c r="N71" s="124">
        <f>SUM(K71:M71)</f>
        <v>19.244515</v>
      </c>
    </row>
    <row r="72" spans="3:14" x14ac:dyDescent="0.3">
      <c r="C72" s="145"/>
    </row>
    <row r="73" spans="3:14" x14ac:dyDescent="0.3">
      <c r="C73" s="145"/>
      <c r="I73" s="254" t="s">
        <v>216</v>
      </c>
      <c r="J73" s="269">
        <f>XIRR(N56:N71,J56:J71)</f>
        <v>-2.336170375347137E-2</v>
      </c>
      <c r="L73" s="128" t="s">
        <v>219</v>
      </c>
      <c r="M73" s="136" t="b">
        <f>-SUM(K56:K70)='S | 01 '!K42</f>
        <v>1</v>
      </c>
    </row>
    <row r="74" spans="3:14" x14ac:dyDescent="0.3">
      <c r="C74" s="145"/>
      <c r="I74" s="255" t="s">
        <v>43</v>
      </c>
      <c r="J74" s="270">
        <f>SUM(L56:M71)/-SUM(K56:K71)</f>
        <v>0.94907778175737323</v>
      </c>
      <c r="L74" s="128" t="s">
        <v>42</v>
      </c>
      <c r="M74" s="248" t="b">
        <f>-SUM(L56:L67)=-'S | 01 '!M42</f>
        <v>1</v>
      </c>
    </row>
    <row r="75" spans="3:14" x14ac:dyDescent="0.3">
      <c r="C75" s="145"/>
      <c r="I75" s="255" t="s">
        <v>218</v>
      </c>
      <c r="J75" s="270">
        <f>SUM(M56:M71)/-SUM(K56:K71)</f>
        <v>0.92768300930695091</v>
      </c>
      <c r="L75" s="128" t="s">
        <v>215</v>
      </c>
      <c r="M75" s="136" t="b">
        <f>M71='S | 01 '!N42</f>
        <v>1</v>
      </c>
    </row>
    <row r="76" spans="3:14" x14ac:dyDescent="0.3">
      <c r="C76" s="145"/>
      <c r="I76" s="256" t="s">
        <v>140</v>
      </c>
      <c r="J76" s="271">
        <f>SUM(L56:L71)/-SUM(K56:K71)</f>
        <v>2.13947724504223E-2</v>
      </c>
    </row>
    <row r="77" spans="3:14" x14ac:dyDescent="0.3">
      <c r="C77" s="145"/>
    </row>
    <row r="78" spans="3:14" x14ac:dyDescent="0.3">
      <c r="C78" s="145"/>
      <c r="I78" s="116" t="str">
        <f t="shared" ref="I78:M82" si="44">B45</f>
        <v>Acies Investments Fund I, L.P.</v>
      </c>
      <c r="J78" s="115">
        <f t="shared" si="44"/>
        <v>44540</v>
      </c>
      <c r="K78" s="117">
        <f t="shared" si="44"/>
        <v>-2.8053124999999999</v>
      </c>
      <c r="L78" s="517">
        <f t="shared" si="44"/>
        <v>0</v>
      </c>
      <c r="M78" s="517">
        <f t="shared" si="44"/>
        <v>0</v>
      </c>
      <c r="N78" s="117">
        <f t="shared" ref="N78:N83" si="45">SUM(K78:M78)</f>
        <v>-2.8053124999999999</v>
      </c>
    </row>
    <row r="79" spans="3:14" x14ac:dyDescent="0.3">
      <c r="C79" s="145"/>
      <c r="I79" s="116" t="str">
        <f t="shared" si="44"/>
        <v>Acies Investments Fund I, L.P.</v>
      </c>
      <c r="J79" s="119">
        <f t="shared" si="44"/>
        <v>44602</v>
      </c>
      <c r="K79" s="117">
        <f t="shared" si="44"/>
        <v>-3.4074999999999998</v>
      </c>
      <c r="L79" s="517">
        <f t="shared" si="44"/>
        <v>0</v>
      </c>
      <c r="M79" s="517">
        <f t="shared" si="44"/>
        <v>0</v>
      </c>
      <c r="N79" s="117">
        <f t="shared" si="45"/>
        <v>-3.4074999999999998</v>
      </c>
    </row>
    <row r="80" spans="3:14" x14ac:dyDescent="0.3">
      <c r="C80" s="145"/>
      <c r="I80" s="116" t="str">
        <f t="shared" si="44"/>
        <v>Acies Investments Fund I, L.P.</v>
      </c>
      <c r="J80" s="119">
        <f t="shared" si="44"/>
        <v>44683</v>
      </c>
      <c r="K80" s="117">
        <f t="shared" si="44"/>
        <v>-1.0257749999999999</v>
      </c>
      <c r="L80" s="517">
        <f t="shared" si="44"/>
        <v>0</v>
      </c>
      <c r="M80" s="517">
        <f t="shared" si="44"/>
        <v>0</v>
      </c>
      <c r="N80" s="117">
        <f t="shared" si="45"/>
        <v>-1.0257749999999999</v>
      </c>
    </row>
    <row r="81" spans="3:14" x14ac:dyDescent="0.3">
      <c r="C81" s="145"/>
      <c r="I81" s="116" t="str">
        <f t="shared" si="44"/>
        <v>Acies Investments Fund I, L.P.</v>
      </c>
      <c r="J81" s="119">
        <f t="shared" si="44"/>
        <v>44707</v>
      </c>
      <c r="K81" s="117">
        <f t="shared" si="44"/>
        <v>-3.3882749999999997</v>
      </c>
      <c r="L81" s="517">
        <f t="shared" si="44"/>
        <v>0</v>
      </c>
      <c r="M81" s="517">
        <f t="shared" si="44"/>
        <v>0</v>
      </c>
      <c r="N81" s="117">
        <f t="shared" si="45"/>
        <v>-3.3882749999999997</v>
      </c>
    </row>
    <row r="82" spans="3:14" x14ac:dyDescent="0.3">
      <c r="C82" s="145"/>
      <c r="I82" s="116" t="str">
        <f t="shared" si="44"/>
        <v>Acies Investments Fund I, L.P.</v>
      </c>
      <c r="J82" s="119">
        <f t="shared" si="44"/>
        <v>44875</v>
      </c>
      <c r="K82" s="117">
        <f t="shared" si="44"/>
        <v>-3.3882749999999997</v>
      </c>
      <c r="L82" s="517">
        <f t="shared" si="44"/>
        <v>0</v>
      </c>
      <c r="M82" s="517">
        <f t="shared" si="44"/>
        <v>0</v>
      </c>
      <c r="N82" s="117">
        <f t="shared" si="45"/>
        <v>-3.3882749999999997</v>
      </c>
    </row>
    <row r="83" spans="3:14" x14ac:dyDescent="0.3">
      <c r="C83" s="145"/>
      <c r="I83" s="121" t="s">
        <v>229</v>
      </c>
      <c r="J83" s="122">
        <f>$C$4</f>
        <v>45138</v>
      </c>
      <c r="K83" s="124"/>
      <c r="L83" s="124"/>
      <c r="M83" s="124">
        <f>F54</f>
        <v>13.307625</v>
      </c>
      <c r="N83" s="124">
        <f t="shared" si="45"/>
        <v>13.307625</v>
      </c>
    </row>
    <row r="84" spans="3:14" x14ac:dyDescent="0.3">
      <c r="C84" s="145"/>
    </row>
    <row r="85" spans="3:14" x14ac:dyDescent="0.3">
      <c r="C85" s="145"/>
      <c r="I85" s="254" t="s">
        <v>216</v>
      </c>
      <c r="J85" s="266">
        <f>XIRR(N78:N83,J78:J83)</f>
        <v>-4.1123560070991522E-2</v>
      </c>
      <c r="L85" s="128" t="s">
        <v>219</v>
      </c>
      <c r="M85" s="136" t="b">
        <f>-SUM(K78:K83)='S | 01 '!K43</f>
        <v>1</v>
      </c>
    </row>
    <row r="86" spans="3:14" x14ac:dyDescent="0.3">
      <c r="C86" s="145"/>
      <c r="I86" s="255" t="s">
        <v>43</v>
      </c>
      <c r="J86" s="267">
        <f>SUM(L78:M83)/-SUM(K78:K83)</f>
        <v>0.94951797654500358</v>
      </c>
      <c r="L86" s="128" t="s">
        <v>42</v>
      </c>
      <c r="M86" s="248" t="b">
        <f>-SUM(L78:L88)=-'S | 01 '!M43</f>
        <v>1</v>
      </c>
    </row>
    <row r="87" spans="3:14" x14ac:dyDescent="0.3">
      <c r="C87" s="145"/>
      <c r="I87" s="255" t="s">
        <v>218</v>
      </c>
      <c r="J87" s="267">
        <f>SUM(M78:M83)/-SUM(K78:K83)</f>
        <v>0.94951797654500358</v>
      </c>
      <c r="L87" s="128" t="s">
        <v>215</v>
      </c>
      <c r="M87" s="136" t="b">
        <f>M83='S | 01 '!N43</f>
        <v>1</v>
      </c>
    </row>
    <row r="88" spans="3:14" x14ac:dyDescent="0.3">
      <c r="C88" s="145"/>
      <c r="I88" s="256" t="s">
        <v>140</v>
      </c>
      <c r="J88" s="268">
        <f>SUM(L78:L83)/-SUM(K78:K83)</f>
        <v>0</v>
      </c>
      <c r="K88" s="247"/>
      <c r="L88" s="247"/>
      <c r="M88" s="247"/>
      <c r="N88" s="247"/>
    </row>
    <row r="89" spans="3:14" x14ac:dyDescent="0.3">
      <c r="C89" s="145"/>
    </row>
    <row r="90" spans="3:14" x14ac:dyDescent="0.3">
      <c r="C90" s="145"/>
    </row>
    <row r="91" spans="3:14" x14ac:dyDescent="0.3">
      <c r="C91" s="145"/>
    </row>
    <row r="92" spans="3:14" x14ac:dyDescent="0.3">
      <c r="C92" s="145"/>
    </row>
    <row r="93" spans="3:14" x14ac:dyDescent="0.3">
      <c r="C93" s="145"/>
    </row>
    <row r="94" spans="3:14" x14ac:dyDescent="0.3">
      <c r="C94" s="145"/>
    </row>
    <row r="95" spans="3:14" x14ac:dyDescent="0.3">
      <c r="C95" s="145"/>
    </row>
    <row r="96" spans="3:14" x14ac:dyDescent="0.3">
      <c r="C96" s="145"/>
    </row>
    <row r="97" spans="3:3" x14ac:dyDescent="0.3">
      <c r="C97" s="145"/>
    </row>
    <row r="98" spans="3:3" x14ac:dyDescent="0.3">
      <c r="C98" s="145"/>
    </row>
    <row r="99" spans="3:3" x14ac:dyDescent="0.3">
      <c r="C99" s="145"/>
    </row>
    <row r="100" spans="3:3" x14ac:dyDescent="0.3">
      <c r="C100" s="145"/>
    </row>
    <row r="101" spans="3:3" x14ac:dyDescent="0.3">
      <c r="C101" s="145"/>
    </row>
    <row r="102" spans="3:3" x14ac:dyDescent="0.3">
      <c r="C102" s="145"/>
    </row>
    <row r="103" spans="3:3" x14ac:dyDescent="0.3">
      <c r="C103" s="145"/>
    </row>
    <row r="104" spans="3:3" x14ac:dyDescent="0.3">
      <c r="C104" s="145"/>
    </row>
    <row r="105" spans="3:3" x14ac:dyDescent="0.3">
      <c r="C105" s="145"/>
    </row>
    <row r="106" spans="3:3" x14ac:dyDescent="0.3">
      <c r="C106" s="145"/>
    </row>
    <row r="107" spans="3:3" x14ac:dyDescent="0.3">
      <c r="C107" s="145"/>
    </row>
    <row r="108" spans="3:3" x14ac:dyDescent="0.3">
      <c r="C108" s="145"/>
    </row>
    <row r="109" spans="3:3" x14ac:dyDescent="0.3">
      <c r="C109" s="145"/>
    </row>
    <row r="110" spans="3:3" x14ac:dyDescent="0.3">
      <c r="C110" s="145"/>
    </row>
    <row r="111" spans="3:3" x14ac:dyDescent="0.3">
      <c r="C111" s="145"/>
    </row>
    <row r="112" spans="3:3" x14ac:dyDescent="0.3">
      <c r="C112" s="145"/>
    </row>
    <row r="113" spans="3:3" x14ac:dyDescent="0.3">
      <c r="C113" s="145"/>
    </row>
    <row r="114" spans="3:3" x14ac:dyDescent="0.3">
      <c r="C114" s="145"/>
    </row>
  </sheetData>
  <pageMargins left="0.7" right="0.7" top="0.75" bottom="0.75" header="0.3" footer="0.3"/>
  <pageSetup paperSize="9" orientation="portrait" verticalDpi="0" r:id="rId1"/>
  <ignoredErrors>
    <ignoredError sqref="G9:G19 N9" formulaRange="1"/>
    <ignoredError sqref="S11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F633-CD55-4837-B5F3-3509D77E11C2}">
  <sheetPr>
    <tabColor theme="4" tint="-0.499984740745262"/>
  </sheetPr>
  <dimension ref="B2:Q176"/>
  <sheetViews>
    <sheetView topLeftCell="A4" zoomScale="85" zoomScaleNormal="85" workbookViewId="0">
      <selection activeCell="Q9" sqref="Q9"/>
    </sheetView>
  </sheetViews>
  <sheetFormatPr defaultColWidth="9.1796875" defaultRowHeight="12" x14ac:dyDescent="0.3"/>
  <cols>
    <col min="1" max="1" width="9.1796875" style="83"/>
    <col min="2" max="2" width="30.7265625" style="83" customWidth="1"/>
    <col min="3" max="3" width="11.453125" style="83" bestFit="1" customWidth="1"/>
    <col min="4" max="4" width="10.81640625" style="83" bestFit="1" customWidth="1"/>
    <col min="5" max="5" width="14.81640625" style="83" customWidth="1"/>
    <col min="6" max="7" width="16.54296875" style="83" customWidth="1"/>
    <col min="8" max="8" width="14.453125" style="88" customWidth="1"/>
    <col min="9" max="9" width="20" style="83" bestFit="1" customWidth="1"/>
    <col min="10" max="13" width="24.81640625" style="83" customWidth="1"/>
    <col min="14" max="17" width="8.7265625" style="83" customWidth="1"/>
    <col min="18" max="16384" width="9.1796875" style="83"/>
  </cols>
  <sheetData>
    <row r="2" spans="2:17" s="162" customFormat="1" ht="43.5" customHeight="1" x14ac:dyDescent="0.65">
      <c r="B2" s="331" t="s">
        <v>300</v>
      </c>
      <c r="C2" s="332"/>
      <c r="D2" s="332"/>
      <c r="E2" s="339"/>
      <c r="F2" s="339"/>
      <c r="G2" s="339"/>
      <c r="H2" s="332" t="s">
        <v>502</v>
      </c>
      <c r="I2" s="339" t="b">
        <f>COUNTA(B8:B91)=COUNTA('CF (Equity, Debt)'!C4:C35)+COUNTA('CF (Equity, Debt)'!C42:C45)+COUNTA('CF (Funds)'!B3:B44)</f>
        <v>0</v>
      </c>
      <c r="J2" s="333"/>
      <c r="K2" s="334"/>
      <c r="L2" s="333"/>
    </row>
    <row r="3" spans="2:17" ht="12.5" thickBot="1" x14ac:dyDescent="0.35"/>
    <row r="4" spans="2:17" s="136" customFormat="1" ht="13.5" thickBot="1" x14ac:dyDescent="0.35">
      <c r="B4" s="258" t="s">
        <v>227</v>
      </c>
      <c r="C4" s="272">
        <f>D!D2</f>
        <v>45138</v>
      </c>
    </row>
    <row r="6" spans="2:17" x14ac:dyDescent="0.3">
      <c r="B6" s="97" t="s">
        <v>138</v>
      </c>
      <c r="H6" s="83"/>
    </row>
    <row r="7" spans="2:17" ht="30.75" customHeight="1" x14ac:dyDescent="0.3">
      <c r="B7" s="95" t="s">
        <v>6</v>
      </c>
      <c r="C7" s="96" t="s">
        <v>7</v>
      </c>
      <c r="D7" s="96" t="s">
        <v>139</v>
      </c>
      <c r="E7" s="96" t="s">
        <v>42</v>
      </c>
      <c r="F7" s="97" t="s">
        <v>137</v>
      </c>
      <c r="G7" s="97" t="s">
        <v>217</v>
      </c>
      <c r="H7" s="96" t="s">
        <v>213</v>
      </c>
      <c r="I7" s="321"/>
      <c r="J7" s="127" t="s">
        <v>2</v>
      </c>
      <c r="K7" s="127" t="s">
        <v>60</v>
      </c>
      <c r="L7" s="127" t="s">
        <v>42</v>
      </c>
      <c r="M7" s="127" t="s">
        <v>215</v>
      </c>
      <c r="N7" s="127" t="s">
        <v>32</v>
      </c>
      <c r="O7" s="127" t="s">
        <v>43</v>
      </c>
      <c r="P7" s="127" t="s">
        <v>228</v>
      </c>
      <c r="Q7" s="127" t="s">
        <v>140</v>
      </c>
    </row>
    <row r="8" spans="2:17" ht="13" x14ac:dyDescent="0.3">
      <c r="B8" s="84" t="str">
        <f>'CF (Equity, Debt)'!C4</f>
        <v>Jollychic Holding Limited</v>
      </c>
      <c r="C8" s="85">
        <f>'CF (Equity, Debt)'!D4</f>
        <v>43470</v>
      </c>
      <c r="D8" s="93">
        <f>'CF (Equity, Debt)'!E4</f>
        <v>-30</v>
      </c>
      <c r="E8" s="93"/>
      <c r="F8" s="93"/>
      <c r="G8" s="93">
        <f>SUM(D8:F8)</f>
        <v>-30</v>
      </c>
      <c r="H8" s="89" t="s">
        <v>212</v>
      </c>
      <c r="I8" s="249"/>
      <c r="J8" s="136"/>
      <c r="K8" s="136"/>
      <c r="L8" s="136"/>
      <c r="M8" s="136"/>
      <c r="N8" s="253"/>
      <c r="O8" s="136"/>
      <c r="P8" s="136"/>
      <c r="Q8" s="136"/>
    </row>
    <row r="9" spans="2:17" ht="14.5" x14ac:dyDescent="0.35">
      <c r="B9" s="84" t="str">
        <f>'CF (Equity, Debt)'!C5</f>
        <v>Jollychic Holding Limited</v>
      </c>
      <c r="C9" s="85">
        <f>'CF (Equity, Debt)'!D5</f>
        <v>43724</v>
      </c>
      <c r="D9" s="93">
        <f>'CF (Equity, Debt)'!E5</f>
        <v>-20</v>
      </c>
      <c r="E9" s="93"/>
      <c r="F9" s="93"/>
      <c r="G9" s="93">
        <f t="shared" ref="G9:G34" si="0">SUM(D9:F9)</f>
        <v>-20</v>
      </c>
      <c r="H9" s="89" t="s">
        <v>212</v>
      </c>
      <c r="J9" s="99">
        <f>-SUM(D8:D119)</f>
        <v>2243.0372078773148</v>
      </c>
      <c r="K9" s="88"/>
      <c r="L9" s="99">
        <f>SUM(E8:E119)</f>
        <v>17.719124451408202</v>
      </c>
      <c r="M9" s="99">
        <f ca="1">SUM(F8:F119)</f>
        <v>2251.8622520281742</v>
      </c>
      <c r="N9" s="318">
        <f ca="1">XIRR(G8:G118,C8:C118)</f>
        <v>7.0974320173263555E-3</v>
      </c>
      <c r="O9" s="319">
        <f ca="1">(L9+M9)/J9</f>
        <v>1.0118340295511137</v>
      </c>
      <c r="P9" s="319">
        <f ca="1">M9/J9</f>
        <v>1.0039344171910598</v>
      </c>
      <c r="Q9" s="319">
        <f>L9/J9</f>
        <v>7.8996123600538013E-3</v>
      </c>
    </row>
    <row r="10" spans="2:17" x14ac:dyDescent="0.3">
      <c r="B10" s="84" t="str">
        <f>'CF (Equity, Debt)'!C6</f>
        <v>Jollychic Holding Limited</v>
      </c>
      <c r="C10" s="85">
        <f>'CF (Equity, Debt)'!D6</f>
        <v>43724</v>
      </c>
      <c r="D10" s="93">
        <f>'CF (Equity, Debt)'!E6</f>
        <v>-15</v>
      </c>
      <c r="E10" s="93"/>
      <c r="F10" s="93"/>
      <c r="G10" s="93">
        <f t="shared" si="0"/>
        <v>-15</v>
      </c>
      <c r="H10" s="89" t="s">
        <v>212</v>
      </c>
    </row>
    <row r="11" spans="2:17" x14ac:dyDescent="0.3">
      <c r="B11" s="86" t="str">
        <f>'CF (Equity, Debt)'!C7</f>
        <v>Mena Mobile Inc</v>
      </c>
      <c r="C11" s="87">
        <f>'CF (Equity, Debt)'!D7</f>
        <v>43563</v>
      </c>
      <c r="D11" s="94">
        <f>'CF (Equity, Debt)'!E7</f>
        <v>-8</v>
      </c>
      <c r="E11" s="94"/>
      <c r="F11" s="94"/>
      <c r="G11" s="94">
        <f t="shared" si="0"/>
        <v>-8</v>
      </c>
      <c r="H11" s="90" t="s">
        <v>212</v>
      </c>
      <c r="J11" s="559" t="b">
        <f ca="1">ROUND(J9,2)=ROUND('S | 01 '!K46,2)</f>
        <v>1</v>
      </c>
      <c r="L11" s="83" t="b">
        <f ca="1">ROUND(L9,3)=ROUND('S | 01 '!M46,3)</f>
        <v>1</v>
      </c>
      <c r="M11" s="83" t="b">
        <f ca="1">ROUND(M9,3)=ROUND('S | 01 '!N46,3)</f>
        <v>1</v>
      </c>
    </row>
    <row r="12" spans="2:17" x14ac:dyDescent="0.3">
      <c r="B12" s="84" t="str">
        <f>'CF (Equity, Debt)'!C8</f>
        <v>Flyr Inc</v>
      </c>
      <c r="C12" s="85">
        <f>'CF (Equity, Debt)'!D8</f>
        <v>43570</v>
      </c>
      <c r="D12" s="93">
        <f>'CF (Equity, Debt)'!E8</f>
        <v>-4.9999980900000001</v>
      </c>
      <c r="E12" s="93"/>
      <c r="F12" s="93"/>
      <c r="G12" s="93">
        <f t="shared" si="0"/>
        <v>-4.9999980900000001</v>
      </c>
      <c r="H12" s="89" t="s">
        <v>212</v>
      </c>
    </row>
    <row r="13" spans="2:17" x14ac:dyDescent="0.3">
      <c r="B13" s="84" t="str">
        <f>'CF (Equity, Debt)'!C9</f>
        <v>Flyr Inc</v>
      </c>
      <c r="C13" s="85">
        <f>'CF (Equity, Debt)'!D9</f>
        <v>43915</v>
      </c>
      <c r="D13" s="93">
        <f>'CF (Equity, Debt)'!E9</f>
        <v>-5.0000019099999999</v>
      </c>
      <c r="E13" s="93"/>
      <c r="F13" s="93"/>
      <c r="G13" s="93">
        <f t="shared" si="0"/>
        <v>-5.0000019099999999</v>
      </c>
      <c r="H13" s="89" t="s">
        <v>212</v>
      </c>
    </row>
    <row r="14" spans="2:17" x14ac:dyDescent="0.3">
      <c r="B14" s="86" t="str">
        <f>'CF (Equity, Debt)'!C10</f>
        <v xml:space="preserve">Esyasoft Holding </v>
      </c>
      <c r="C14" s="87">
        <f>'CF (Equity, Debt)'!D10</f>
        <v>43870</v>
      </c>
      <c r="D14" s="94">
        <f>'CF (Equity, Debt)'!E10</f>
        <v>-2.5</v>
      </c>
      <c r="E14" s="94"/>
      <c r="F14" s="94"/>
      <c r="G14" s="94">
        <f t="shared" si="0"/>
        <v>-2.5</v>
      </c>
      <c r="H14" s="90" t="s">
        <v>212</v>
      </c>
    </row>
    <row r="15" spans="2:17" x14ac:dyDescent="0.3">
      <c r="B15" s="84" t="str">
        <f>'CF (Equity, Debt)'!C11</f>
        <v>Beyond Limits</v>
      </c>
      <c r="C15" s="85">
        <f>'CF (Equity, Debt)'!D11</f>
        <v>43879</v>
      </c>
      <c r="D15" s="93">
        <f>'CF (Equity, Debt)'!E11</f>
        <v>-20</v>
      </c>
      <c r="E15" s="93"/>
      <c r="F15" s="93"/>
      <c r="G15" s="93">
        <f t="shared" si="0"/>
        <v>-20</v>
      </c>
      <c r="H15" s="89" t="s">
        <v>212</v>
      </c>
    </row>
    <row r="16" spans="2:17" x14ac:dyDescent="0.3">
      <c r="B16" s="84" t="str">
        <f>'CF (Equity, Debt)'!C12</f>
        <v>Beyond Limits</v>
      </c>
      <c r="C16" s="85">
        <f>'CF (Equity, Debt)'!D12</f>
        <v>43921</v>
      </c>
      <c r="D16" s="93">
        <f>'CF (Equity, Debt)'!E12</f>
        <v>-30</v>
      </c>
      <c r="E16" s="93"/>
      <c r="F16" s="93"/>
      <c r="G16" s="93">
        <f t="shared" si="0"/>
        <v>-30</v>
      </c>
      <c r="H16" s="89" t="s">
        <v>212</v>
      </c>
    </row>
    <row r="17" spans="2:8" x14ac:dyDescent="0.3">
      <c r="B17" s="84" t="str">
        <f>'CF (Equity, Debt)'!C13</f>
        <v>Beyond Limits</v>
      </c>
      <c r="C17" s="85">
        <f>'CF (Equity, Debt)'!D13</f>
        <v>43989</v>
      </c>
      <c r="D17" s="93">
        <f>'CF (Equity, Debt)'!E13</f>
        <v>-30</v>
      </c>
      <c r="E17" s="93"/>
      <c r="F17" s="93"/>
      <c r="G17" s="93">
        <f t="shared" si="0"/>
        <v>-30</v>
      </c>
      <c r="H17" s="89" t="s">
        <v>212</v>
      </c>
    </row>
    <row r="18" spans="2:8" x14ac:dyDescent="0.3">
      <c r="B18" s="84" t="str">
        <f>'CF (Equity, Debt)'!C14</f>
        <v>Beyond Limits</v>
      </c>
      <c r="C18" s="85">
        <f>'CF (Equity, Debt)'!D14</f>
        <v>44103</v>
      </c>
      <c r="D18" s="93">
        <f>'CF (Equity, Debt)'!E14</f>
        <v>-10</v>
      </c>
      <c r="E18" s="93"/>
      <c r="F18" s="93"/>
      <c r="G18" s="93">
        <f t="shared" si="0"/>
        <v>-10</v>
      </c>
      <c r="H18" s="89" t="s">
        <v>212</v>
      </c>
    </row>
    <row r="19" spans="2:8" x14ac:dyDescent="0.3">
      <c r="B19" s="86" t="str">
        <f>'CF (Equity, Debt)'!C15</f>
        <v>ONT plc</v>
      </c>
      <c r="C19" s="87">
        <f>'CF (Equity, Debt)'!D15</f>
        <v>43968</v>
      </c>
      <c r="D19" s="94">
        <f>'CF (Equity, Debt)'!E15</f>
        <v>-50</v>
      </c>
      <c r="E19" s="94"/>
      <c r="F19" s="94"/>
      <c r="G19" s="94">
        <f t="shared" si="0"/>
        <v>-50</v>
      </c>
      <c r="H19" s="90" t="s">
        <v>212</v>
      </c>
    </row>
    <row r="20" spans="2:8" x14ac:dyDescent="0.3">
      <c r="B20" s="86" t="str">
        <f>'CF (Equity, Debt)'!C16</f>
        <v>ONT plc</v>
      </c>
      <c r="C20" s="87">
        <f>'CF (Equity, Debt)'!D16</f>
        <v>44006</v>
      </c>
      <c r="D20" s="94">
        <f>'CF (Equity, Debt)'!E16</f>
        <v>-27.268350856443721</v>
      </c>
      <c r="E20" s="94"/>
      <c r="F20" s="94"/>
      <c r="G20" s="94">
        <f t="shared" si="0"/>
        <v>-27.268350856443721</v>
      </c>
      <c r="H20" s="90" t="s">
        <v>212</v>
      </c>
    </row>
    <row r="21" spans="2:8" x14ac:dyDescent="0.3">
      <c r="B21" s="86" t="str">
        <f>'CF (Equity, Debt)'!C17</f>
        <v>ONT plc</v>
      </c>
      <c r="C21" s="87">
        <f>'CF (Equity, Debt)'!D17</f>
        <v>43837</v>
      </c>
      <c r="D21" s="94">
        <f>'CF (Equity, Debt)'!E17</f>
        <v>-18.109441299619355</v>
      </c>
      <c r="E21" s="94"/>
      <c r="F21" s="94"/>
      <c r="G21" s="94">
        <f t="shared" si="0"/>
        <v>-18.109441299619355</v>
      </c>
      <c r="H21" s="90" t="s">
        <v>212</v>
      </c>
    </row>
    <row r="22" spans="2:8" x14ac:dyDescent="0.3">
      <c r="B22" s="86" t="str">
        <f>'CF (Equity, Debt)'!C18</f>
        <v>ONT plc</v>
      </c>
      <c r="C22" s="87">
        <f>'CF (Equity, Debt)'!D18</f>
        <v>43990</v>
      </c>
      <c r="D22" s="94">
        <f>'CF (Equity, Debt)'!E18</f>
        <v>-34.851687094159864</v>
      </c>
      <c r="E22" s="94"/>
      <c r="F22" s="94"/>
      <c r="G22" s="94">
        <f t="shared" si="0"/>
        <v>-34.851687094159864</v>
      </c>
      <c r="H22" s="90" t="s">
        <v>212</v>
      </c>
    </row>
    <row r="23" spans="2:8" x14ac:dyDescent="0.3">
      <c r="B23" s="86" t="str">
        <f>'CF (Equity, Debt)'!C19</f>
        <v>ONT plc</v>
      </c>
      <c r="C23" s="87">
        <f>'CF (Equity, Debt)'!D19</f>
        <v>44315</v>
      </c>
      <c r="D23" s="94">
        <f>'CF (Equity, Debt)'!E19</f>
        <v>-11.240780424143557</v>
      </c>
      <c r="E23" s="94"/>
      <c r="F23" s="94"/>
      <c r="G23" s="94">
        <f t="shared" si="0"/>
        <v>-11.240780424143557</v>
      </c>
      <c r="H23" s="90" t="s">
        <v>212</v>
      </c>
    </row>
    <row r="24" spans="2:8" x14ac:dyDescent="0.3">
      <c r="B24" s="84" t="str">
        <f>'CF (Equity, Debt)'!C20</f>
        <v>Heygears</v>
      </c>
      <c r="C24" s="85">
        <f>'CF (Equity, Debt)'!D20</f>
        <v>44166</v>
      </c>
      <c r="D24" s="93">
        <f>'CF (Equity, Debt)'!E20</f>
        <v>-60</v>
      </c>
      <c r="E24" s="93"/>
      <c r="F24" s="93"/>
      <c r="G24" s="93">
        <f t="shared" si="0"/>
        <v>-60</v>
      </c>
      <c r="H24" s="89" t="s">
        <v>212</v>
      </c>
    </row>
    <row r="25" spans="2:8" x14ac:dyDescent="0.3">
      <c r="B25" s="86" t="str">
        <f>'CF (Equity, Debt)'!C21</f>
        <v>Jysan Technologies</v>
      </c>
      <c r="C25" s="87">
        <f>'CF (Equity, Debt)'!D21</f>
        <v>44363</v>
      </c>
      <c r="D25" s="94">
        <f>'CF (Equity, Debt)'!E21</f>
        <v>-20</v>
      </c>
      <c r="E25" s="94"/>
      <c r="F25" s="94"/>
      <c r="G25" s="94">
        <f t="shared" si="0"/>
        <v>-20</v>
      </c>
      <c r="H25" s="90" t="s">
        <v>212</v>
      </c>
    </row>
    <row r="26" spans="2:8" x14ac:dyDescent="0.3">
      <c r="B26" s="84" t="str">
        <f>'CF (Equity, Debt)'!C22</f>
        <v>Cerebras Systems Inc</v>
      </c>
      <c r="C26" s="85">
        <f>'CF (Equity, Debt)'!D22</f>
        <v>44488</v>
      </c>
      <c r="D26" s="93">
        <f>'CF (Equity, Debt)'!E22</f>
        <v>-39.999983359999995</v>
      </c>
      <c r="E26" s="93"/>
      <c r="F26" s="93"/>
      <c r="G26" s="93">
        <f t="shared" si="0"/>
        <v>-39.999983359999995</v>
      </c>
      <c r="H26" s="89" t="s">
        <v>212</v>
      </c>
    </row>
    <row r="27" spans="2:8" x14ac:dyDescent="0.3">
      <c r="B27" s="86" t="str">
        <f>'CF (Equity, Debt)'!C23</f>
        <v>Endless Studios LLC</v>
      </c>
      <c r="C27" s="87">
        <f>'CF (Equity, Debt)'!D23</f>
        <v>44494</v>
      </c>
      <c r="D27" s="94">
        <f>'CF (Equity, Debt)'!E23</f>
        <v>-3</v>
      </c>
      <c r="E27" s="94"/>
      <c r="F27" s="94"/>
      <c r="G27" s="94">
        <f t="shared" si="0"/>
        <v>-3</v>
      </c>
      <c r="H27" s="90" t="s">
        <v>212</v>
      </c>
    </row>
    <row r="28" spans="2:8" x14ac:dyDescent="0.3">
      <c r="B28" s="84" t="str">
        <f>'CF (Equity, Debt)'!C24</f>
        <v>Instadeep Limited</v>
      </c>
      <c r="C28" s="85">
        <f>'CF (Equity, Debt)'!D24</f>
        <v>44550</v>
      </c>
      <c r="D28" s="93">
        <f>'CF (Equity, Debt)'!E24</f>
        <v>-5.0237201984774336</v>
      </c>
      <c r="E28" s="93"/>
      <c r="F28" s="93"/>
      <c r="G28" s="93">
        <f t="shared" si="0"/>
        <v>-5.0237201984774336</v>
      </c>
      <c r="H28" s="89" t="s">
        <v>212</v>
      </c>
    </row>
    <row r="29" spans="2:8" x14ac:dyDescent="0.3">
      <c r="B29" s="86" t="str">
        <f>'CF (Equity, Debt)'!C25</f>
        <v>X-fusion</v>
      </c>
      <c r="C29" s="87">
        <f>'CF (Equity, Debt)'!D25</f>
        <v>44574</v>
      </c>
      <c r="D29" s="94">
        <f>'CF (Equity, Debt)'!E25</f>
        <v>-493.50095619999996</v>
      </c>
      <c r="E29" s="94"/>
      <c r="F29" s="94"/>
      <c r="G29" s="94">
        <f t="shared" si="0"/>
        <v>-493.50095619999996</v>
      </c>
      <c r="H29" s="90" t="s">
        <v>212</v>
      </c>
    </row>
    <row r="30" spans="2:8" x14ac:dyDescent="0.3">
      <c r="B30" s="84" t="str">
        <f>'CF (Equity, Debt)'!C26</f>
        <v>DriveNets</v>
      </c>
      <c r="C30" s="85">
        <f>'CF (Equity, Debt)'!D26</f>
        <v>44643</v>
      </c>
      <c r="D30" s="93">
        <f>'CF (Equity, Debt)'!E26</f>
        <v>-200</v>
      </c>
      <c r="E30" s="93"/>
      <c r="F30" s="93"/>
      <c r="G30" s="93">
        <f t="shared" si="0"/>
        <v>-200</v>
      </c>
      <c r="H30" s="89" t="s">
        <v>212</v>
      </c>
    </row>
    <row r="31" spans="2:8" x14ac:dyDescent="0.3">
      <c r="B31" s="84" t="str">
        <f>'CF (Equity, Debt)'!C27</f>
        <v>DriveNets</v>
      </c>
      <c r="C31" s="85">
        <f>'CF (Equity, Debt)'!D27</f>
        <v>44680</v>
      </c>
      <c r="D31" s="93">
        <f>'CF (Equity, Debt)'!E27</f>
        <v>-100</v>
      </c>
      <c r="E31" s="93"/>
      <c r="F31" s="93"/>
      <c r="G31" s="93">
        <f t="shared" si="0"/>
        <v>-100</v>
      </c>
      <c r="H31" s="89" t="s">
        <v>212</v>
      </c>
    </row>
    <row r="32" spans="2:8" x14ac:dyDescent="0.3">
      <c r="B32" s="86" t="str">
        <f>'CF (Equity, Debt)'!C28</f>
        <v xml:space="preserve">Esyasoft Holding </v>
      </c>
      <c r="C32" s="87">
        <f>'CF (Equity, Debt)'!D28</f>
        <v>44691</v>
      </c>
      <c r="D32" s="94">
        <f>'CF (Equity, Debt)'!E28</f>
        <v>0</v>
      </c>
      <c r="E32" s="94">
        <v>5</v>
      </c>
      <c r="F32" s="94"/>
      <c r="G32" s="94">
        <f t="shared" si="0"/>
        <v>5</v>
      </c>
      <c r="H32" s="90" t="s">
        <v>212</v>
      </c>
    </row>
    <row r="33" spans="2:8" x14ac:dyDescent="0.3">
      <c r="B33" s="84" t="str">
        <f>'CF (Equity, Debt)'!C29</f>
        <v>vTv Therapeutics Inc.</v>
      </c>
      <c r="C33" s="85">
        <f>'CF (Equity, Debt)'!D29</f>
        <v>44712</v>
      </c>
      <c r="D33" s="93">
        <f>'CF (Equity, Debt)'!E29</f>
        <v>-12.5</v>
      </c>
      <c r="E33" s="93"/>
      <c r="F33" s="93"/>
      <c r="G33" s="93">
        <f t="shared" si="0"/>
        <v>-12.5</v>
      </c>
      <c r="H33" s="89" t="s">
        <v>212</v>
      </c>
    </row>
    <row r="34" spans="2:8" x14ac:dyDescent="0.3">
      <c r="B34" s="86" t="str">
        <f>'CF (Equity, Debt)'!C30</f>
        <v>Honor Device Co Ltd</v>
      </c>
      <c r="C34" s="87">
        <f>'CF (Equity, Debt)'!D30</f>
        <v>44769</v>
      </c>
      <c r="D34" s="94">
        <f>'CF (Equity, Debt)'!E30</f>
        <v>-600</v>
      </c>
      <c r="E34" s="94"/>
      <c r="F34" s="94"/>
      <c r="G34" s="94">
        <f t="shared" si="0"/>
        <v>-600</v>
      </c>
      <c r="H34" s="90" t="s">
        <v>212</v>
      </c>
    </row>
    <row r="35" spans="2:8" x14ac:dyDescent="0.3">
      <c r="B35" s="86" t="str">
        <f>'CF (Equity, Debt)'!C31</f>
        <v>Honor Device Co Ltd</v>
      </c>
      <c r="C35" s="87">
        <f>'CF (Equity, Debt)'!D31</f>
        <v>44849</v>
      </c>
      <c r="D35" s="94">
        <f>'CF (Equity, Debt)'!E31</f>
        <v>-200</v>
      </c>
      <c r="E35" s="94"/>
      <c r="F35" s="94"/>
      <c r="G35" s="94">
        <f t="shared" ref="G35" si="1">SUM(D35:F35)</f>
        <v>-200</v>
      </c>
      <c r="H35" s="90" t="s">
        <v>212</v>
      </c>
    </row>
    <row r="36" spans="2:8" x14ac:dyDescent="0.3">
      <c r="B36" s="84" t="str">
        <f>'CF (Equity, Debt)'!C32</f>
        <v>Applied AI Corporation Limited</v>
      </c>
      <c r="C36" s="85">
        <f>'CF (Equity, Debt)'!D32</f>
        <v>44861</v>
      </c>
      <c r="D36" s="93">
        <f>'CF (Equity, Debt)'!E32</f>
        <v>-4.75</v>
      </c>
      <c r="E36" s="93"/>
      <c r="F36" s="93"/>
      <c r="G36" s="93">
        <f t="shared" ref="G36" si="2">SUM(D36:F36)</f>
        <v>-4.75</v>
      </c>
      <c r="H36" s="89" t="s">
        <v>212</v>
      </c>
    </row>
    <row r="37" spans="2:8" x14ac:dyDescent="0.3">
      <c r="B37" s="86" t="str">
        <f>'CF (Equity, Debt)'!C33</f>
        <v xml:space="preserve">eSpace </v>
      </c>
      <c r="C37" s="87">
        <f>'CF (Equity, Debt)'!D33</f>
        <v>44892</v>
      </c>
      <c r="D37" s="94">
        <f>'CF (Equity, Debt)'!E33</f>
        <v>-15</v>
      </c>
      <c r="E37" s="94"/>
      <c r="F37" s="94"/>
      <c r="G37" s="94">
        <f t="shared" ref="G37" si="3">SUM(D37:F37)</f>
        <v>-15</v>
      </c>
      <c r="H37" s="90" t="s">
        <v>212</v>
      </c>
    </row>
    <row r="38" spans="2:8" x14ac:dyDescent="0.3">
      <c r="B38" s="84" t="str">
        <f>'CF (Equity, Debt)'!C34</f>
        <v>vTv Therapeutics Inc.</v>
      </c>
      <c r="C38" s="85">
        <f>'CF (Equity, Debt)'!D34</f>
        <v>44985</v>
      </c>
      <c r="D38" s="93">
        <f>'CF (Equity, Debt)'!E34</f>
        <v>-12.03125</v>
      </c>
      <c r="E38" s="93"/>
      <c r="F38" s="93"/>
      <c r="G38" s="93">
        <f t="shared" ref="G38" si="4">SUM(D38:F38)</f>
        <v>-12.03125</v>
      </c>
      <c r="H38" s="89" t="s">
        <v>212</v>
      </c>
    </row>
    <row r="39" spans="2:8" x14ac:dyDescent="0.3">
      <c r="B39" s="86" t="str">
        <f>'CF (Equity, Debt)'!C35</f>
        <v>Tools for Humanity Corporation</v>
      </c>
      <c r="C39" s="87">
        <f>'CF (Equity, Debt)'!D35</f>
        <v>45075</v>
      </c>
      <c r="D39" s="94">
        <f>'CF (Equity, Debt)'!E35</f>
        <v>-14.999998939999999</v>
      </c>
      <c r="E39" s="94"/>
      <c r="F39" s="94"/>
      <c r="G39" s="94">
        <f t="shared" ref="G39" si="5">SUM(D39:F39)</f>
        <v>-14.999998939999999</v>
      </c>
      <c r="H39" s="90" t="s">
        <v>212</v>
      </c>
    </row>
    <row r="40" spans="2:8" x14ac:dyDescent="0.3">
      <c r="B40" s="84" t="str">
        <f>'CF (Equity, Debt)'!C36</f>
        <v>WLD Tokens</v>
      </c>
      <c r="C40" s="85">
        <f>'CF (Equity, Debt)'!D36</f>
        <v>45075</v>
      </c>
      <c r="D40" s="93">
        <f>'CF (Equity, Debt)'!E36</f>
        <v>-5.875E-3</v>
      </c>
      <c r="E40" s="93"/>
      <c r="F40" s="93"/>
      <c r="G40" s="93">
        <f t="shared" ref="G40:G42" si="6">SUM(D40:F40)</f>
        <v>-5.875E-3</v>
      </c>
      <c r="H40" s="89" t="s">
        <v>212</v>
      </c>
    </row>
    <row r="41" spans="2:8" x14ac:dyDescent="0.3">
      <c r="B41" s="84" t="str">
        <f>'CF (Equity, Debt)'!C37</f>
        <v>WLD Tokens</v>
      </c>
      <c r="C41" s="85">
        <f>'CF (Equity, Debt)'!D37</f>
        <v>45114</v>
      </c>
      <c r="D41" s="93">
        <f>'CF (Equity, Debt)'!E37</f>
        <v>-1E-3</v>
      </c>
      <c r="E41" s="93"/>
      <c r="F41" s="93"/>
      <c r="G41" s="93">
        <f t="shared" si="6"/>
        <v>-1E-3</v>
      </c>
      <c r="H41" s="89" t="s">
        <v>212</v>
      </c>
    </row>
    <row r="42" spans="2:8" x14ac:dyDescent="0.3">
      <c r="B42" s="86" t="str">
        <f>'CF (Equity, Debt)'!C38</f>
        <v>Applied AI Corporation Limited</v>
      </c>
      <c r="C42" s="87">
        <f>'CF (Equity, Debt)'!D38</f>
        <v>45121</v>
      </c>
      <c r="D42" s="94">
        <f>'CF (Equity, Debt)'!E38</f>
        <v>-2.75</v>
      </c>
      <c r="E42" s="94"/>
      <c r="F42" s="94"/>
      <c r="G42" s="94">
        <f t="shared" si="6"/>
        <v>-2.75</v>
      </c>
      <c r="H42" s="90" t="s">
        <v>212</v>
      </c>
    </row>
    <row r="43" spans="2:8" x14ac:dyDescent="0.3">
      <c r="B43" s="86" t="str">
        <f>'CF (Equity, Debt)'!C39</f>
        <v>Instadeep Limited</v>
      </c>
      <c r="C43" s="87">
        <f>'CF (Equity, Debt)'!D39</f>
        <v>45138</v>
      </c>
      <c r="D43" s="94">
        <f>'CF (Equity, Debt)'!E39</f>
        <v>0</v>
      </c>
      <c r="E43" s="94">
        <f>'CF (Equity, Debt)'!F39</f>
        <v>7.8207760999999989</v>
      </c>
      <c r="F43" s="94"/>
      <c r="G43" s="94">
        <f t="shared" ref="G43" si="7">SUM(D43:F43)</f>
        <v>7.8207760999999989</v>
      </c>
      <c r="H43" s="90" t="s">
        <v>212</v>
      </c>
    </row>
    <row r="44" spans="2:8" x14ac:dyDescent="0.3">
      <c r="B44" s="86"/>
      <c r="C44" s="87"/>
      <c r="D44" s="94"/>
      <c r="E44" s="94"/>
      <c r="F44" s="94"/>
      <c r="G44" s="94"/>
      <c r="H44" s="90"/>
    </row>
    <row r="45" spans="2:8" x14ac:dyDescent="0.3">
      <c r="B45" s="396" t="str">
        <f>'CF (Equity, Debt)'!C42</f>
        <v xml:space="preserve">Glass Earth Holdings LLC </v>
      </c>
      <c r="C45" s="85">
        <f>'CF (Equity, Debt)'!D42</f>
        <v>43635</v>
      </c>
      <c r="D45" s="291">
        <f>'CF (Equity, Debt)'!E42</f>
        <v>-8</v>
      </c>
      <c r="E45" s="291"/>
      <c r="F45" s="291"/>
      <c r="G45" s="291">
        <f t="shared" ref="G45:G89" si="8">SUM(D45:F45)</f>
        <v>-8</v>
      </c>
      <c r="H45" s="289" t="s">
        <v>53</v>
      </c>
    </row>
    <row r="46" spans="2:8" x14ac:dyDescent="0.3">
      <c r="B46" s="288" t="str">
        <f>'CF (Equity, Debt)'!C43</f>
        <v>Mena Mobile Inc (Debt)</v>
      </c>
      <c r="C46" s="85">
        <f>'CF (Equity, Debt)'!D43</f>
        <v>44293</v>
      </c>
      <c r="D46" s="291">
        <f>'CF (Equity, Debt)'!E43</f>
        <v>-2.3539819999999998</v>
      </c>
      <c r="E46" s="291"/>
      <c r="F46" s="291"/>
      <c r="G46" s="291">
        <f t="shared" si="8"/>
        <v>-2.3539819999999998</v>
      </c>
      <c r="H46" s="289" t="s">
        <v>53</v>
      </c>
    </row>
    <row r="47" spans="2:8" x14ac:dyDescent="0.3">
      <c r="B47" s="288" t="str">
        <f>'CF (Equity, Debt)'!C44</f>
        <v>Esyasoft Holding (Debt)</v>
      </c>
      <c r="C47" s="85">
        <f>'CF (Equity, Debt)'!D44</f>
        <v>44384</v>
      </c>
      <c r="D47" s="291">
        <f>'CF (Equity, Debt)'!E44</f>
        <v>-0.41176499999999999</v>
      </c>
      <c r="E47" s="291"/>
      <c r="F47" s="291"/>
      <c r="G47" s="291">
        <f t="shared" si="8"/>
        <v>-0.41176499999999999</v>
      </c>
      <c r="H47" s="289" t="s">
        <v>53</v>
      </c>
    </row>
    <row r="48" spans="2:8" x14ac:dyDescent="0.3">
      <c r="B48" s="288" t="str">
        <f>'CF (Equity, Debt)'!C45</f>
        <v>Esyasoft Holding (Debt)</v>
      </c>
      <c r="C48" s="85">
        <f>'CF (Equity, Debt)'!D45</f>
        <v>44902</v>
      </c>
      <c r="D48" s="291">
        <f>'CF (Equity, Debt)'!E45</f>
        <v>0</v>
      </c>
      <c r="E48" s="291">
        <f>'CF (Equity, Debt)'!F45</f>
        <v>0.47078465000000003</v>
      </c>
      <c r="F48" s="291"/>
      <c r="G48" s="291">
        <f t="shared" ref="G48" si="9">SUM(D48:F48)</f>
        <v>0.47078465000000003</v>
      </c>
      <c r="H48" s="289" t="s">
        <v>53</v>
      </c>
    </row>
    <row r="49" spans="2:8" x14ac:dyDescent="0.3">
      <c r="B49" s="288"/>
      <c r="C49" s="85"/>
      <c r="D49" s="291"/>
      <c r="E49" s="291"/>
      <c r="F49" s="291"/>
      <c r="G49" s="291"/>
      <c r="H49" s="289"/>
    </row>
    <row r="50" spans="2:8" x14ac:dyDescent="0.3">
      <c r="B50" s="288" t="str">
        <f>'CF (Funds)'!B3</f>
        <v>Sinovation Disrupt Fund, L.P.</v>
      </c>
      <c r="C50" s="85">
        <f>'CF (Funds)'!C3</f>
        <v>44153</v>
      </c>
      <c r="D50" s="291">
        <f>'CF (Funds)'!D3</f>
        <v>-10.5</v>
      </c>
      <c r="E50" s="291">
        <f>'CF (Funds)'!E3</f>
        <v>0</v>
      </c>
      <c r="F50" s="291"/>
      <c r="G50" s="291">
        <f t="shared" si="8"/>
        <v>-10.5</v>
      </c>
      <c r="H50" s="289" t="s">
        <v>63</v>
      </c>
    </row>
    <row r="51" spans="2:8" x14ac:dyDescent="0.3">
      <c r="B51" s="288" t="str">
        <f>'CF (Funds)'!B4</f>
        <v>Sinovation Disrupt Fund, L.P.</v>
      </c>
      <c r="C51" s="85">
        <f>'CF (Funds)'!C4</f>
        <v>44238</v>
      </c>
      <c r="D51" s="291">
        <f>'CF (Funds)'!D4</f>
        <v>4.2140269999999997</v>
      </c>
      <c r="E51" s="291">
        <f>'CF (Funds)'!E4</f>
        <v>0</v>
      </c>
      <c r="F51" s="291"/>
      <c r="G51" s="291">
        <f t="shared" si="8"/>
        <v>4.2140269999999997</v>
      </c>
      <c r="H51" s="289" t="s">
        <v>63</v>
      </c>
    </row>
    <row r="52" spans="2:8" x14ac:dyDescent="0.3">
      <c r="B52" s="288" t="str">
        <f>'CF (Funds)'!B5</f>
        <v>Sinovation Disrupt Fund, L.P.</v>
      </c>
      <c r="C52" s="85">
        <f>'CF (Funds)'!C5</f>
        <v>44238</v>
      </c>
      <c r="D52" s="291">
        <f>'CF (Funds)'!D5</f>
        <v>0</v>
      </c>
      <c r="E52" s="291">
        <f>'CF (Funds)'!E5</f>
        <v>5.0448349999999996E-2</v>
      </c>
      <c r="F52" s="291"/>
      <c r="G52" s="291">
        <f t="shared" si="8"/>
        <v>5.0448349999999996E-2</v>
      </c>
      <c r="H52" s="289" t="s">
        <v>63</v>
      </c>
    </row>
    <row r="53" spans="2:8" x14ac:dyDescent="0.3">
      <c r="B53" s="288" t="str">
        <f>'CF (Funds)'!B6</f>
        <v>Sinovation Disrupt Fund, L.P.</v>
      </c>
      <c r="C53" s="85">
        <f>'CF (Funds)'!C6</f>
        <v>44285</v>
      </c>
      <c r="D53" s="291">
        <f>'CF (Funds)'!D6</f>
        <v>-6.4337459999999993</v>
      </c>
      <c r="E53" s="291">
        <f>'CF (Funds)'!E6</f>
        <v>0</v>
      </c>
      <c r="F53" s="291"/>
      <c r="G53" s="291">
        <f t="shared" si="8"/>
        <v>-6.4337459999999993</v>
      </c>
      <c r="H53" s="289" t="s">
        <v>63</v>
      </c>
    </row>
    <row r="54" spans="2:8" x14ac:dyDescent="0.3">
      <c r="B54" s="288" t="str">
        <f>'CF (Funds)'!B7</f>
        <v>Sinovation Disrupt Fund, L.P.</v>
      </c>
      <c r="C54" s="85">
        <f>'CF (Funds)'!C7</f>
        <v>44269</v>
      </c>
      <c r="D54" s="291">
        <f>'CF (Funds)'!D7</f>
        <v>1.1352073899999999</v>
      </c>
      <c r="E54" s="291">
        <f>'CF (Funds)'!E7</f>
        <v>0</v>
      </c>
      <c r="F54" s="291"/>
      <c r="G54" s="291">
        <f t="shared" si="8"/>
        <v>1.1352073899999999</v>
      </c>
      <c r="H54" s="289" t="s">
        <v>63</v>
      </c>
    </row>
    <row r="55" spans="2:8" x14ac:dyDescent="0.3">
      <c r="B55" s="288" t="str">
        <f>'CF (Funds)'!B8</f>
        <v>Sinovation Disrupt Fund, L.P.</v>
      </c>
      <c r="C55" s="85">
        <f>'CF (Funds)'!C8</f>
        <v>44269</v>
      </c>
      <c r="D55" s="291">
        <f>'CF (Funds)'!D8</f>
        <v>0</v>
      </c>
      <c r="E55" s="291">
        <f>'CF (Funds)'!E8</f>
        <v>2.5899999999999999E-2</v>
      </c>
      <c r="F55" s="291"/>
      <c r="G55" s="291">
        <f t="shared" si="8"/>
        <v>2.5899999999999999E-2</v>
      </c>
      <c r="H55" s="289" t="s">
        <v>63</v>
      </c>
    </row>
    <row r="56" spans="2:8" x14ac:dyDescent="0.3">
      <c r="B56" s="288" t="str">
        <f>'CF (Funds)'!B9</f>
        <v>Sinovation Disrupt Fund, L.P.</v>
      </c>
      <c r="C56" s="85">
        <f>'CF (Funds)'!C9</f>
        <v>44483</v>
      </c>
      <c r="D56" s="291">
        <f>'CF (Funds)'!D9</f>
        <v>-7.5671379999999999</v>
      </c>
      <c r="E56" s="291">
        <f>'CF (Funds)'!E9</f>
        <v>0</v>
      </c>
      <c r="F56" s="291"/>
      <c r="G56" s="291">
        <f t="shared" si="8"/>
        <v>-7.5671379999999999</v>
      </c>
      <c r="H56" s="289" t="s">
        <v>63</v>
      </c>
    </row>
    <row r="57" spans="2:8" x14ac:dyDescent="0.3">
      <c r="B57" s="288" t="str">
        <f>'CF (Funds)'!B10</f>
        <v>Sinovation Disrupt Fund, L.P.</v>
      </c>
      <c r="C57" s="85">
        <f>'CF (Funds)'!C10</f>
        <v>44554</v>
      </c>
      <c r="D57" s="291">
        <f>'CF (Funds)'!D10</f>
        <v>-7.3850159999999994</v>
      </c>
      <c r="E57" s="291">
        <f>'CF (Funds)'!E10</f>
        <v>0</v>
      </c>
      <c r="F57" s="291"/>
      <c r="G57" s="291">
        <f t="shared" si="8"/>
        <v>-7.3850159999999994</v>
      </c>
      <c r="H57" s="289" t="s">
        <v>63</v>
      </c>
    </row>
    <row r="58" spans="2:8" x14ac:dyDescent="0.3">
      <c r="B58" s="288" t="str">
        <f>'CF (Funds)'!B11</f>
        <v>Sinovation Disrupt Fund, L.P.</v>
      </c>
      <c r="C58" s="85">
        <f>'CF (Funds)'!C11</f>
        <v>44554</v>
      </c>
      <c r="D58" s="291">
        <f>'CF (Funds)'!D11</f>
        <v>4.0733456099999996</v>
      </c>
      <c r="E58" s="291">
        <f>'CF (Funds)'!E11</f>
        <v>0</v>
      </c>
      <c r="F58" s="291"/>
      <c r="G58" s="291">
        <f t="shared" si="8"/>
        <v>4.0733456099999996</v>
      </c>
      <c r="H58" s="289" t="s">
        <v>63</v>
      </c>
    </row>
    <row r="59" spans="2:8" x14ac:dyDescent="0.3">
      <c r="B59" s="288" t="str">
        <f>'CF (Funds)'!B12</f>
        <v>Sinovation Disrupt Fund, L.P.</v>
      </c>
      <c r="C59" s="85">
        <f>'CF (Funds)'!C12</f>
        <v>44554</v>
      </c>
      <c r="D59" s="291">
        <f>'CF (Funds)'!D12</f>
        <v>0</v>
      </c>
      <c r="E59" s="291">
        <f>'CF (Funds)'!E12</f>
        <v>0.13969399999999998</v>
      </c>
      <c r="F59" s="291"/>
      <c r="G59" s="291">
        <f t="shared" si="8"/>
        <v>0.13969399999999998</v>
      </c>
      <c r="H59" s="289" t="s">
        <v>63</v>
      </c>
    </row>
    <row r="60" spans="2:8" x14ac:dyDescent="0.3">
      <c r="B60" s="288" t="str">
        <f>'CF (Funds)'!B13</f>
        <v>Sinovation Disrupt Fund, L.P.</v>
      </c>
      <c r="C60" s="85">
        <f>'CF (Funds)'!C13</f>
        <v>44703</v>
      </c>
      <c r="D60" s="291">
        <f>'CF (Funds)'!D13</f>
        <v>5.6730739999999997</v>
      </c>
      <c r="E60" s="291">
        <f>'CF (Funds)'!E13</f>
        <v>0</v>
      </c>
      <c r="F60" s="291"/>
      <c r="G60" s="291">
        <f t="shared" si="8"/>
        <v>5.6730739999999997</v>
      </c>
      <c r="H60" s="289" t="s">
        <v>63</v>
      </c>
    </row>
    <row r="61" spans="2:8" x14ac:dyDescent="0.3">
      <c r="B61" s="288" t="str">
        <f>'CF (Funds)'!B14</f>
        <v>Sinovation Disrupt Fund, L.P.</v>
      </c>
      <c r="C61" s="85">
        <f>'CF (Funds)'!C14</f>
        <v>44703</v>
      </c>
      <c r="D61" s="291">
        <f>'CF (Funds)'!D14</f>
        <v>0</v>
      </c>
      <c r="E61" s="291">
        <f>'CF (Funds)'!E14</f>
        <v>0.22778599999999999</v>
      </c>
      <c r="F61" s="291"/>
      <c r="G61" s="291">
        <f t="shared" si="8"/>
        <v>0.22778599999999999</v>
      </c>
      <c r="H61" s="289" t="s">
        <v>63</v>
      </c>
    </row>
    <row r="62" spans="2:8" x14ac:dyDescent="0.3">
      <c r="B62" s="288" t="str">
        <f>'CF (Funds)'!B15</f>
        <v>Sinovation Disrupt Fund, L.P.</v>
      </c>
      <c r="C62" s="85">
        <f>'CF (Funds)'!C15</f>
        <v>44776</v>
      </c>
      <c r="D62" s="291">
        <f>'CF (Funds)'!D15</f>
        <v>-3.235493</v>
      </c>
      <c r="E62" s="291">
        <f>'CF (Funds)'!E15</f>
        <v>0</v>
      </c>
      <c r="F62" s="291"/>
      <c r="G62" s="291">
        <f t="shared" ref="G62" si="10">SUM(D62:F62)</f>
        <v>-3.235493</v>
      </c>
      <c r="H62" s="289" t="s">
        <v>63</v>
      </c>
    </row>
    <row r="63" spans="2:8" x14ac:dyDescent="0.3">
      <c r="B63" s="288" t="str">
        <f>'CF (Funds)'!B16</f>
        <v>Sinovation Disrupt Fund, L.P.</v>
      </c>
      <c r="C63" s="85">
        <f>'CF (Funds)'!C16</f>
        <v>44960</v>
      </c>
      <c r="D63" s="291">
        <f>'CF (Funds)'!D16</f>
        <v>-2.6315279999999999</v>
      </c>
      <c r="E63" s="291">
        <f>'CF (Funds)'!E16</f>
        <v>0</v>
      </c>
      <c r="F63" s="291"/>
      <c r="G63" s="291">
        <f t="shared" ref="G63" si="11">SUM(D63:F63)</f>
        <v>-2.6315279999999999</v>
      </c>
      <c r="H63" s="289" t="s">
        <v>63</v>
      </c>
    </row>
    <row r="64" spans="2:8" x14ac:dyDescent="0.3">
      <c r="B64" s="288" t="str">
        <f>'CF (Funds)'!B17</f>
        <v>Sinovation Disrupt Fund, L.P.</v>
      </c>
      <c r="C64" s="85">
        <f>'CF (Funds)'!C17</f>
        <v>45085</v>
      </c>
      <c r="D64" s="291">
        <f>'CF (Funds)'!D17</f>
        <v>1.9125570000000001</v>
      </c>
      <c r="E64" s="291">
        <f>'CF (Funds)'!E17</f>
        <v>0</v>
      </c>
      <c r="F64" s="291"/>
      <c r="G64" s="291">
        <f t="shared" ref="G64" si="12">SUM(D64:F64)</f>
        <v>1.9125570000000001</v>
      </c>
      <c r="H64" s="289" t="s">
        <v>63</v>
      </c>
    </row>
    <row r="65" spans="2:8" x14ac:dyDescent="0.3">
      <c r="B65" s="292" t="str">
        <f>'CF (Funds)'!B18</f>
        <v>North Summit Capital Fund</v>
      </c>
      <c r="C65" s="464">
        <f>'CF (Funds)'!C18</f>
        <v>43665</v>
      </c>
      <c r="D65" s="295">
        <f>'CF (Funds)'!D18</f>
        <v>-3</v>
      </c>
      <c r="E65" s="295">
        <f>'CF (Funds)'!E18</f>
        <v>0</v>
      </c>
      <c r="F65" s="295"/>
      <c r="G65" s="295">
        <f t="shared" si="8"/>
        <v>-3</v>
      </c>
      <c r="H65" s="293" t="s">
        <v>63</v>
      </c>
    </row>
    <row r="66" spans="2:8" x14ac:dyDescent="0.3">
      <c r="B66" s="292" t="str">
        <f>'CF (Funds)'!B19</f>
        <v>North Summit Capital Fund</v>
      </c>
      <c r="C66" s="464">
        <f>'CF (Funds)'!C19</f>
        <v>43983</v>
      </c>
      <c r="D66" s="295">
        <f>'CF (Funds)'!D19</f>
        <v>-4.4849999999999994</v>
      </c>
      <c r="E66" s="295">
        <f>'CF (Funds)'!E19</f>
        <v>0</v>
      </c>
      <c r="F66" s="295"/>
      <c r="G66" s="295">
        <f t="shared" si="8"/>
        <v>-4.4849999999999994</v>
      </c>
      <c r="H66" s="293" t="s">
        <v>63</v>
      </c>
    </row>
    <row r="67" spans="2:8" x14ac:dyDescent="0.3">
      <c r="B67" s="292" t="str">
        <f>'CF (Funds)'!B20</f>
        <v>North Summit Capital Fund</v>
      </c>
      <c r="C67" s="464">
        <f>'CF (Funds)'!C20</f>
        <v>43879</v>
      </c>
      <c r="D67" s="295">
        <f>'CF (Funds)'!D20</f>
        <v>-9.5097500000000004</v>
      </c>
      <c r="E67" s="295">
        <f>'CF (Funds)'!E20</f>
        <v>0</v>
      </c>
      <c r="F67" s="295"/>
      <c r="G67" s="295">
        <f t="shared" si="8"/>
        <v>-9.5097500000000004</v>
      </c>
      <c r="H67" s="293" t="s">
        <v>63</v>
      </c>
    </row>
    <row r="68" spans="2:8" x14ac:dyDescent="0.3">
      <c r="B68" s="292" t="str">
        <f>'CF (Funds)'!B21</f>
        <v>North Summit Capital Fund</v>
      </c>
      <c r="C68" s="464">
        <f>'CF (Funds)'!C21</f>
        <v>43934</v>
      </c>
      <c r="D68" s="295">
        <f>'CF (Funds)'!D21</f>
        <v>-41.3</v>
      </c>
      <c r="E68" s="295">
        <f>'CF (Funds)'!E21</f>
        <v>0</v>
      </c>
      <c r="F68" s="295"/>
      <c r="G68" s="295">
        <f t="shared" si="8"/>
        <v>-41.3</v>
      </c>
      <c r="H68" s="293" t="s">
        <v>63</v>
      </c>
    </row>
    <row r="69" spans="2:8" x14ac:dyDescent="0.3">
      <c r="B69" s="292" t="str">
        <f>'CF (Funds)'!B22</f>
        <v>North Summit Capital Fund</v>
      </c>
      <c r="C69" s="464">
        <f>'CF (Funds)'!C22</f>
        <v>44151</v>
      </c>
      <c r="D69" s="295">
        <f>'CF (Funds)'!D22</f>
        <v>9.9499999999999993</v>
      </c>
      <c r="E69" s="295">
        <f>'CF (Funds)'!E22</f>
        <v>0</v>
      </c>
      <c r="F69" s="295"/>
      <c r="G69" s="295">
        <f t="shared" si="8"/>
        <v>9.9499999999999993</v>
      </c>
      <c r="H69" s="293" t="s">
        <v>63</v>
      </c>
    </row>
    <row r="70" spans="2:8" x14ac:dyDescent="0.3">
      <c r="B70" s="292" t="str">
        <f>'CF (Funds)'!B23</f>
        <v>North Summit Capital Fund</v>
      </c>
      <c r="C70" s="464">
        <f>'CF (Funds)'!C23</f>
        <v>44151</v>
      </c>
      <c r="D70" s="295">
        <f>'CF (Funds)'!D23</f>
        <v>-10.455</v>
      </c>
      <c r="E70" s="295">
        <f>'CF (Funds)'!E23</f>
        <v>0</v>
      </c>
      <c r="F70" s="295"/>
      <c r="G70" s="295">
        <f t="shared" si="8"/>
        <v>-10.455</v>
      </c>
      <c r="H70" s="293" t="s">
        <v>63</v>
      </c>
    </row>
    <row r="71" spans="2:8" x14ac:dyDescent="0.3">
      <c r="B71" s="292" t="str">
        <f>'CF (Funds)'!B24</f>
        <v>North Summit Capital Fund</v>
      </c>
      <c r="C71" s="464">
        <f>'CF (Funds)'!C24</f>
        <v>44196</v>
      </c>
      <c r="D71" s="295">
        <f>'CF (Funds)'!D24</f>
        <v>4.9749999999999996</v>
      </c>
      <c r="E71" s="295">
        <f>'CF (Funds)'!E24</f>
        <v>0</v>
      </c>
      <c r="F71" s="295"/>
      <c r="G71" s="295">
        <f t="shared" si="8"/>
        <v>4.9749999999999996</v>
      </c>
      <c r="H71" s="293" t="s">
        <v>63</v>
      </c>
    </row>
    <row r="72" spans="2:8" x14ac:dyDescent="0.3">
      <c r="B72" s="292" t="str">
        <f>'CF (Funds)'!B25</f>
        <v>North Summit Capital Fund</v>
      </c>
      <c r="C72" s="464">
        <f>'CF (Funds)'!C25</f>
        <v>44196</v>
      </c>
      <c r="D72" s="295">
        <f>'CF (Funds)'!D25</f>
        <v>-3.4522930000000001</v>
      </c>
      <c r="E72" s="295">
        <f>'CF (Funds)'!E25</f>
        <v>0</v>
      </c>
      <c r="F72" s="295"/>
      <c r="G72" s="295">
        <f t="shared" si="8"/>
        <v>-3.4522930000000001</v>
      </c>
      <c r="H72" s="293" t="s">
        <v>63</v>
      </c>
    </row>
    <row r="73" spans="2:8" x14ac:dyDescent="0.3">
      <c r="B73" s="292" t="str">
        <f>'CF (Funds)'!B26</f>
        <v>North Summit Capital Fund</v>
      </c>
      <c r="C73" s="464">
        <f>'CF (Funds)'!C26</f>
        <v>44196</v>
      </c>
      <c r="D73" s="295">
        <f>'CF (Funds)'!D26</f>
        <v>0</v>
      </c>
      <c r="E73" s="295">
        <f>'CF (Funds)'!E26</f>
        <v>0.58290199999999992</v>
      </c>
      <c r="F73" s="295"/>
      <c r="G73" s="295">
        <f t="shared" si="8"/>
        <v>0.58290199999999992</v>
      </c>
      <c r="H73" s="293" t="s">
        <v>63</v>
      </c>
    </row>
    <row r="74" spans="2:8" x14ac:dyDescent="0.3">
      <c r="B74" s="292" t="str">
        <f>'CF (Funds)'!B27</f>
        <v>North Summit Capital Fund</v>
      </c>
      <c r="C74" s="464">
        <f>'CF (Funds)'!C27</f>
        <v>44370</v>
      </c>
      <c r="D74" s="295">
        <f>'CF (Funds)'!D27</f>
        <v>-5.97</v>
      </c>
      <c r="E74" s="295">
        <f>'CF (Funds)'!E27</f>
        <v>0</v>
      </c>
      <c r="F74" s="295"/>
      <c r="G74" s="295">
        <f t="shared" si="8"/>
        <v>-5.97</v>
      </c>
      <c r="H74" s="293" t="s">
        <v>63</v>
      </c>
    </row>
    <row r="75" spans="2:8" x14ac:dyDescent="0.3">
      <c r="B75" s="292" t="str">
        <f>'CF (Funds)'!B28</f>
        <v>North Summit Capital Fund</v>
      </c>
      <c r="C75" s="464">
        <f>'CF (Funds)'!C28</f>
        <v>44400</v>
      </c>
      <c r="D75" s="295">
        <f>'CF (Funds)'!D28</f>
        <v>-0.75</v>
      </c>
      <c r="E75" s="295">
        <f>'CF (Funds)'!E28</f>
        <v>0</v>
      </c>
      <c r="F75" s="295"/>
      <c r="G75" s="295">
        <f t="shared" si="8"/>
        <v>-0.75</v>
      </c>
      <c r="H75" s="293" t="s">
        <v>63</v>
      </c>
    </row>
    <row r="76" spans="2:8" x14ac:dyDescent="0.3">
      <c r="B76" s="292" t="str">
        <f>'CF (Funds)'!B29</f>
        <v>North Summit Capital Fund</v>
      </c>
      <c r="C76" s="464">
        <f>'CF (Funds)'!C29</f>
        <v>44400</v>
      </c>
      <c r="D76" s="295">
        <f>'CF (Funds)'!D29</f>
        <v>0</v>
      </c>
      <c r="E76" s="295">
        <f>'CF (Funds)'!E29</f>
        <v>0.44505899999999998</v>
      </c>
      <c r="F76" s="295"/>
      <c r="G76" s="295">
        <f t="shared" si="8"/>
        <v>0.44505899999999998</v>
      </c>
      <c r="H76" s="293" t="s">
        <v>63</v>
      </c>
    </row>
    <row r="77" spans="2:8" x14ac:dyDescent="0.3">
      <c r="B77" s="292" t="str">
        <f>'CF (Funds)'!B30</f>
        <v>North Summit Capital Fund</v>
      </c>
      <c r="C77" s="464">
        <f>'CF (Funds)'!C30</f>
        <v>44554</v>
      </c>
      <c r="D77" s="295">
        <f>'CF (Funds)'!D30</f>
        <v>1.7823899999999999</v>
      </c>
      <c r="E77" s="295">
        <f>'CF (Funds)'!E30</f>
        <v>0</v>
      </c>
      <c r="F77" s="295"/>
      <c r="G77" s="295">
        <f t="shared" si="8"/>
        <v>1.7823899999999999</v>
      </c>
      <c r="H77" s="293" t="s">
        <v>63</v>
      </c>
    </row>
    <row r="78" spans="2:8" x14ac:dyDescent="0.3">
      <c r="B78" s="292" t="str">
        <f>'CF (Funds)'!B31</f>
        <v>North Summit Capital Fund</v>
      </c>
      <c r="C78" s="464">
        <f>'CF (Funds)'!C31</f>
        <v>44676</v>
      </c>
      <c r="D78" s="295">
        <f>'CF (Funds)'!D31</f>
        <v>-21</v>
      </c>
      <c r="E78" s="295">
        <f>'CF (Funds)'!E31</f>
        <v>0</v>
      </c>
      <c r="F78" s="295"/>
      <c r="G78" s="295">
        <f t="shared" si="8"/>
        <v>-21</v>
      </c>
      <c r="H78" s="293" t="s">
        <v>63</v>
      </c>
    </row>
    <row r="79" spans="2:8" x14ac:dyDescent="0.3">
      <c r="B79" s="288" t="str">
        <f>'CF (Funds)'!B32</f>
        <v>New Space Capital Fund I</v>
      </c>
      <c r="C79" s="465">
        <f>'CF (Funds)'!C32</f>
        <v>44087</v>
      </c>
      <c r="D79" s="291">
        <f>'CF (Funds)'!D32</f>
        <v>-20.917552997000001</v>
      </c>
      <c r="E79" s="291">
        <f>'CF (Funds)'!E32</f>
        <v>0</v>
      </c>
      <c r="F79" s="291"/>
      <c r="G79" s="291">
        <f t="shared" si="8"/>
        <v>-20.917552997000001</v>
      </c>
      <c r="H79" s="289" t="s">
        <v>63</v>
      </c>
    </row>
    <row r="80" spans="2:8" x14ac:dyDescent="0.3">
      <c r="B80" s="288" t="str">
        <f>'CF (Funds)'!B33</f>
        <v>New Space Capital Fund I</v>
      </c>
      <c r="C80" s="465">
        <f>'CF (Funds)'!C33</f>
        <v>44287</v>
      </c>
      <c r="D80" s="291">
        <f>'CF (Funds)'!D33</f>
        <v>-0.21103182000000001</v>
      </c>
      <c r="E80" s="291">
        <f>'CF (Funds)'!E33</f>
        <v>0</v>
      </c>
      <c r="F80" s="291"/>
      <c r="G80" s="291">
        <f t="shared" si="8"/>
        <v>-0.21103182000000001</v>
      </c>
      <c r="H80" s="289" t="s">
        <v>63</v>
      </c>
    </row>
    <row r="81" spans="2:8" x14ac:dyDescent="0.3">
      <c r="B81" s="288" t="str">
        <f>'CF (Funds)'!B34</f>
        <v>New Space Capital Fund I</v>
      </c>
      <c r="C81" s="465">
        <f>'CF (Funds)'!C34</f>
        <v>44442</v>
      </c>
      <c r="D81" s="291">
        <f>'CF (Funds)'!D34</f>
        <v>-0.23965473139999999</v>
      </c>
      <c r="E81" s="291">
        <f>'CF (Funds)'!E34</f>
        <v>0</v>
      </c>
      <c r="F81" s="291"/>
      <c r="G81" s="291">
        <f t="shared" si="8"/>
        <v>-0.23965473139999999</v>
      </c>
      <c r="H81" s="289" t="s">
        <v>63</v>
      </c>
    </row>
    <row r="82" spans="2:8" x14ac:dyDescent="0.3">
      <c r="B82" s="288" t="str">
        <f>'CF (Funds)'!B35</f>
        <v>New Space Capital Fund I</v>
      </c>
      <c r="C82" s="465">
        <f>'CF (Funds)'!C35</f>
        <v>44623</v>
      </c>
      <c r="D82" s="291">
        <f>'CF (Funds)'!D35</f>
        <v>-0.25893584940000003</v>
      </c>
      <c r="E82" s="291">
        <f>'CF (Funds)'!E35</f>
        <v>0</v>
      </c>
      <c r="F82" s="291"/>
      <c r="G82" s="291">
        <f t="shared" si="8"/>
        <v>-0.25893584940000003</v>
      </c>
      <c r="H82" s="289" t="s">
        <v>63</v>
      </c>
    </row>
    <row r="83" spans="2:8" x14ac:dyDescent="0.3">
      <c r="B83" s="288" t="str">
        <f>'CF (Funds)'!B36</f>
        <v>New Space Capital Fund I</v>
      </c>
      <c r="C83" s="465">
        <f>'CF (Funds)'!C36</f>
        <v>44784</v>
      </c>
      <c r="D83" s="291">
        <f>'CF (Funds)'!D36</f>
        <v>1.5224656599999999E-2</v>
      </c>
      <c r="E83" s="291">
        <f>'CF (Funds)'!E36</f>
        <v>0</v>
      </c>
      <c r="F83" s="291"/>
      <c r="G83" s="291">
        <f t="shared" si="8"/>
        <v>1.5224656599999999E-2</v>
      </c>
      <c r="H83" s="289" t="s">
        <v>63</v>
      </c>
    </row>
    <row r="84" spans="2:8" x14ac:dyDescent="0.3">
      <c r="B84" s="288" t="str">
        <f>'CF (Funds)'!B37</f>
        <v>New Space Capital Fund I</v>
      </c>
      <c r="C84" s="465">
        <f>'CF (Funds)'!C37</f>
        <v>44956</v>
      </c>
      <c r="D84" s="291">
        <f>'CF (Funds)'!D37</f>
        <v>10.553916089669999</v>
      </c>
      <c r="E84" s="291">
        <f>'CF (Funds)'!E37</f>
        <v>0</v>
      </c>
      <c r="F84" s="291"/>
      <c r="G84" s="291">
        <f t="shared" ref="G84:G85" si="13">SUM(D84:F84)</f>
        <v>10.553916089669999</v>
      </c>
      <c r="H84" s="289" t="s">
        <v>63</v>
      </c>
    </row>
    <row r="85" spans="2:8" x14ac:dyDescent="0.3">
      <c r="B85" s="288" t="str">
        <f>'CF (Funds)'!B38</f>
        <v>New Space Capital Fund I</v>
      </c>
      <c r="C85" s="465">
        <f>'CF (Funds)'!C38</f>
        <v>44956</v>
      </c>
      <c r="D85" s="291">
        <f>'CF (Funds)'!D38</f>
        <v>0</v>
      </c>
      <c r="E85" s="291">
        <f>'CF (Funds)'!E38</f>
        <v>2.9557743514081998</v>
      </c>
      <c r="F85" s="291"/>
      <c r="G85" s="291">
        <f t="shared" si="13"/>
        <v>2.9557743514081998</v>
      </c>
      <c r="H85" s="289" t="s">
        <v>63</v>
      </c>
    </row>
    <row r="86" spans="2:8" x14ac:dyDescent="0.3">
      <c r="B86" s="288" t="str">
        <f>'CF (Funds)'!B39</f>
        <v>New Space Capital GP Com SCSp</v>
      </c>
      <c r="C86" s="465">
        <f>'CF (Funds)'!C39</f>
        <v>44087</v>
      </c>
      <c r="D86" s="291">
        <f>'CF (Funds)'!D39</f>
        <v>-2.7058823529411762</v>
      </c>
      <c r="E86" s="291">
        <f>'CF (Funds)'!E39</f>
        <v>0</v>
      </c>
      <c r="F86" s="291"/>
      <c r="G86" s="291">
        <f t="shared" si="8"/>
        <v>-2.7058823529411762</v>
      </c>
      <c r="H86" s="289" t="s">
        <v>63</v>
      </c>
    </row>
    <row r="87" spans="2:8" x14ac:dyDescent="0.3">
      <c r="B87" s="292" t="str">
        <f>'CF (Funds)'!B40</f>
        <v>Acies Investments Fund I, L.P.</v>
      </c>
      <c r="C87" s="464">
        <f>'CF (Funds)'!C40</f>
        <v>44540</v>
      </c>
      <c r="D87" s="295">
        <f>'CF (Funds)'!D40</f>
        <v>-2.8053124999999999</v>
      </c>
      <c r="E87" s="295">
        <f>'CF (Funds)'!E40</f>
        <v>0</v>
      </c>
      <c r="F87" s="295"/>
      <c r="G87" s="295">
        <f t="shared" si="8"/>
        <v>-2.8053124999999999</v>
      </c>
      <c r="H87" s="293" t="s">
        <v>63</v>
      </c>
    </row>
    <row r="88" spans="2:8" x14ac:dyDescent="0.3">
      <c r="B88" s="292" t="str">
        <f>'CF (Funds)'!B41</f>
        <v>Acies Investments Fund I, L.P.</v>
      </c>
      <c r="C88" s="464">
        <f>'CF (Funds)'!C41</f>
        <v>44602</v>
      </c>
      <c r="D88" s="295">
        <f>'CF (Funds)'!D41</f>
        <v>-3.4074999999999998</v>
      </c>
      <c r="E88" s="295">
        <f>'CF (Funds)'!E41</f>
        <v>0</v>
      </c>
      <c r="F88" s="295"/>
      <c r="G88" s="295">
        <f t="shared" si="8"/>
        <v>-3.4074999999999998</v>
      </c>
      <c r="H88" s="293" t="s">
        <v>63</v>
      </c>
    </row>
    <row r="89" spans="2:8" x14ac:dyDescent="0.3">
      <c r="B89" s="292" t="str">
        <f>'CF (Funds)'!B42</f>
        <v>Acies Investments Fund I, L.P.</v>
      </c>
      <c r="C89" s="464">
        <f>'CF (Funds)'!C42</f>
        <v>44683</v>
      </c>
      <c r="D89" s="295">
        <f>'CF (Funds)'!D42</f>
        <v>-1.0257749999999999</v>
      </c>
      <c r="E89" s="295">
        <f>'CF (Funds)'!E42</f>
        <v>0</v>
      </c>
      <c r="F89" s="295"/>
      <c r="G89" s="295">
        <f t="shared" si="8"/>
        <v>-1.0257749999999999</v>
      </c>
      <c r="H89" s="293" t="s">
        <v>63</v>
      </c>
    </row>
    <row r="90" spans="2:8" x14ac:dyDescent="0.3">
      <c r="B90" s="292" t="str">
        <f>'CF (Funds)'!B43</f>
        <v>Acies Investments Fund I, L.P.</v>
      </c>
      <c r="C90" s="464">
        <f>'CF (Funds)'!C43</f>
        <v>44707</v>
      </c>
      <c r="D90" s="295">
        <f>'CF (Funds)'!D43</f>
        <v>-3.3882749999999997</v>
      </c>
      <c r="E90" s="295">
        <f>'CF (Funds)'!E43</f>
        <v>0</v>
      </c>
      <c r="F90" s="295"/>
      <c r="G90" s="295">
        <f t="shared" ref="G90:G109" si="14">SUM(D90:F90)</f>
        <v>-3.3882749999999997</v>
      </c>
      <c r="H90" s="293" t="s">
        <v>63</v>
      </c>
    </row>
    <row r="91" spans="2:8" x14ac:dyDescent="0.3">
      <c r="B91" s="292" t="str">
        <f>'CF (Funds)'!B44</f>
        <v>Acies Investments Fund I, L.P.</v>
      </c>
      <c r="C91" s="464">
        <f>'CF (Funds)'!C44</f>
        <v>44875</v>
      </c>
      <c r="D91" s="295">
        <f>'CF (Funds)'!D44</f>
        <v>-3.3882749999999997</v>
      </c>
      <c r="E91" s="295">
        <f>'CF (Funds)'!E44</f>
        <v>0</v>
      </c>
      <c r="F91" s="295"/>
      <c r="G91" s="295">
        <f t="shared" ref="G91" si="15">SUM(D91:F91)</f>
        <v>-3.3882749999999997</v>
      </c>
      <c r="H91" s="293" t="s">
        <v>63</v>
      </c>
    </row>
    <row r="92" spans="2:8" x14ac:dyDescent="0.3">
      <c r="B92" s="288" t="s">
        <v>57</v>
      </c>
      <c r="C92" s="465">
        <f t="shared" ref="C92:C118" si="16">$C$4</f>
        <v>45138</v>
      </c>
      <c r="D92" s="291"/>
      <c r="E92" s="291"/>
      <c r="F92" s="291">
        <f>VLOOKUP(B92,NAV!$B$9:$E$43,4,0)</f>
        <v>0</v>
      </c>
      <c r="G92" s="291">
        <f t="shared" si="14"/>
        <v>0</v>
      </c>
      <c r="H92" s="289" t="s">
        <v>402</v>
      </c>
    </row>
    <row r="93" spans="2:8" x14ac:dyDescent="0.3">
      <c r="B93" s="288" t="s">
        <v>0</v>
      </c>
      <c r="C93" s="465">
        <f t="shared" si="16"/>
        <v>45138</v>
      </c>
      <c r="D93" s="291"/>
      <c r="E93" s="291"/>
      <c r="F93" s="291">
        <f>VLOOKUP(B93,NAV!$B$9:$E$43,4,0)</f>
        <v>0</v>
      </c>
      <c r="G93" s="291">
        <f t="shared" si="14"/>
        <v>0</v>
      </c>
      <c r="H93" s="289" t="s">
        <v>402</v>
      </c>
    </row>
    <row r="94" spans="2:8" x14ac:dyDescent="0.3">
      <c r="B94" s="288" t="s">
        <v>48</v>
      </c>
      <c r="C94" s="465">
        <f t="shared" si="16"/>
        <v>45138</v>
      </c>
      <c r="D94" s="291"/>
      <c r="E94" s="291"/>
      <c r="F94" s="291">
        <f>VLOOKUP(B94,NAV!$B$9:$E$43,4,0)</f>
        <v>78.082229999999996</v>
      </c>
      <c r="G94" s="291">
        <f t="shared" si="14"/>
        <v>78.082229999999996</v>
      </c>
      <c r="H94" s="289" t="s">
        <v>402</v>
      </c>
    </row>
    <row r="95" spans="2:8" x14ac:dyDescent="0.3">
      <c r="B95" s="288" t="s">
        <v>49</v>
      </c>
      <c r="C95" s="465">
        <f t="shared" si="16"/>
        <v>45138</v>
      </c>
      <c r="D95" s="291"/>
      <c r="E95" s="291"/>
      <c r="F95" s="291">
        <f>VLOOKUP(B95,NAV!$B$9:$E$43,4,0)</f>
        <v>0</v>
      </c>
      <c r="G95" s="291">
        <f t="shared" si="14"/>
        <v>0</v>
      </c>
      <c r="H95" s="289" t="s">
        <v>402</v>
      </c>
    </row>
    <row r="96" spans="2:8" x14ac:dyDescent="0.3">
      <c r="B96" s="288" t="s">
        <v>47</v>
      </c>
      <c r="C96" s="465">
        <f t="shared" si="16"/>
        <v>45138</v>
      </c>
      <c r="D96" s="291"/>
      <c r="E96" s="291"/>
      <c r="F96" s="291">
        <f>VLOOKUP(B96,NAV!$B$9:$E$43,4,0)</f>
        <v>91.001540300000002</v>
      </c>
      <c r="G96" s="291">
        <f t="shared" si="14"/>
        <v>91.001540300000002</v>
      </c>
      <c r="H96" s="289" t="s">
        <v>402</v>
      </c>
    </row>
    <row r="97" spans="2:8" x14ac:dyDescent="0.3">
      <c r="B97" s="288" t="s">
        <v>131</v>
      </c>
      <c r="C97" s="465">
        <f t="shared" si="16"/>
        <v>45138</v>
      </c>
      <c r="D97" s="291"/>
      <c r="E97" s="291"/>
      <c r="F97" s="291">
        <f>VLOOKUP(B97,NAV!$B$9:$E$43,4,0)</f>
        <v>150.4004386130496</v>
      </c>
      <c r="G97" s="291">
        <f t="shared" si="14"/>
        <v>150.4004386130496</v>
      </c>
      <c r="H97" s="289" t="s">
        <v>402</v>
      </c>
    </row>
    <row r="98" spans="2:8" x14ac:dyDescent="0.3">
      <c r="B98" s="288" t="s">
        <v>11</v>
      </c>
      <c r="C98" s="465">
        <f t="shared" si="16"/>
        <v>45138</v>
      </c>
      <c r="D98" s="291"/>
      <c r="E98" s="291"/>
      <c r="F98" s="291">
        <f>VLOOKUP(B98,NAV!$B$9:$E$43,4,0)</f>
        <v>151.06943446641711</v>
      </c>
      <c r="G98" s="291">
        <f t="shared" si="14"/>
        <v>151.06943446641711</v>
      </c>
      <c r="H98" s="289" t="s">
        <v>402</v>
      </c>
    </row>
    <row r="99" spans="2:8" x14ac:dyDescent="0.3">
      <c r="B99" s="288" t="s">
        <v>24</v>
      </c>
      <c r="C99" s="465">
        <f t="shared" si="16"/>
        <v>45138</v>
      </c>
      <c r="D99" s="291"/>
      <c r="E99" s="291"/>
      <c r="F99" s="291">
        <f>VLOOKUP(B99,NAV!$B$9:$E$43,4,0)</f>
        <v>20</v>
      </c>
      <c r="G99" s="291">
        <f t="shared" si="14"/>
        <v>20</v>
      </c>
      <c r="H99" s="289" t="s">
        <v>402</v>
      </c>
    </row>
    <row r="100" spans="2:8" x14ac:dyDescent="0.3">
      <c r="B100" s="288" t="s">
        <v>50</v>
      </c>
      <c r="C100" s="465">
        <f t="shared" si="16"/>
        <v>45138</v>
      </c>
      <c r="D100" s="291"/>
      <c r="E100" s="291"/>
      <c r="F100" s="291">
        <f>VLOOKUP(B100,NAV!$B$9:$E$43,4,0)</f>
        <v>39.999983359999995</v>
      </c>
      <c r="G100" s="291">
        <f t="shared" si="14"/>
        <v>39.999983359999995</v>
      </c>
      <c r="H100" s="289" t="s">
        <v>402</v>
      </c>
    </row>
    <row r="101" spans="2:8" x14ac:dyDescent="0.3">
      <c r="B101" s="288" t="s">
        <v>51</v>
      </c>
      <c r="C101" s="465">
        <f t="shared" si="16"/>
        <v>45138</v>
      </c>
      <c r="D101" s="291"/>
      <c r="E101" s="291"/>
      <c r="F101" s="291">
        <f>VLOOKUP(B101,NAV!$B$9:$E$43,4,0)</f>
        <v>3</v>
      </c>
      <c r="G101" s="291">
        <f t="shared" si="14"/>
        <v>3</v>
      </c>
      <c r="H101" s="289" t="s">
        <v>402</v>
      </c>
    </row>
    <row r="102" spans="2:8" x14ac:dyDescent="0.3">
      <c r="B102" s="288" t="s">
        <v>52</v>
      </c>
      <c r="C102" s="465">
        <f t="shared" si="16"/>
        <v>45138</v>
      </c>
      <c r="D102" s="291"/>
      <c r="E102" s="291"/>
      <c r="F102" s="291">
        <f>VLOOKUP(B102,NAV!$B$9:$E$43,4,0)</f>
        <v>0</v>
      </c>
      <c r="G102" s="291">
        <f t="shared" si="14"/>
        <v>0</v>
      </c>
      <c r="H102" s="289" t="s">
        <v>402</v>
      </c>
    </row>
    <row r="103" spans="2:8" x14ac:dyDescent="0.3">
      <c r="B103" s="288" t="s">
        <v>113</v>
      </c>
      <c r="C103" s="465">
        <f t="shared" si="16"/>
        <v>45138</v>
      </c>
      <c r="D103" s="291"/>
      <c r="E103" s="291"/>
      <c r="F103" s="291">
        <f>VLOOKUP(B103,NAV!$B$9:$E$43,4,0)</f>
        <v>408.28799457755485</v>
      </c>
      <c r="G103" s="291">
        <f t="shared" si="14"/>
        <v>408.28799457755485</v>
      </c>
      <c r="H103" s="289" t="s">
        <v>402</v>
      </c>
    </row>
    <row r="104" spans="2:8" x14ac:dyDescent="0.3">
      <c r="B104" s="288" t="s">
        <v>25</v>
      </c>
      <c r="C104" s="465">
        <f t="shared" si="16"/>
        <v>45138</v>
      </c>
      <c r="D104" s="291"/>
      <c r="E104" s="291"/>
      <c r="F104" s="291">
        <f>VLOOKUP(B104,NAV!$B$9:$E$43,4,0)</f>
        <v>300</v>
      </c>
      <c r="G104" s="291">
        <f t="shared" si="14"/>
        <v>300</v>
      </c>
      <c r="H104" s="289" t="s">
        <v>402</v>
      </c>
    </row>
    <row r="105" spans="2:8" x14ac:dyDescent="0.3">
      <c r="B105" s="288" t="s">
        <v>132</v>
      </c>
      <c r="C105" s="465">
        <f t="shared" si="16"/>
        <v>45138</v>
      </c>
      <c r="D105" s="291"/>
      <c r="E105" s="291"/>
      <c r="F105" s="291">
        <f>VLOOKUP(B105,NAV!$B$9:$E$43,4,0)</f>
        <v>7.0626663199999999</v>
      </c>
      <c r="G105" s="291">
        <f t="shared" si="14"/>
        <v>7.0626663199999999</v>
      </c>
      <c r="H105" s="289" t="s">
        <v>402</v>
      </c>
    </row>
    <row r="106" spans="2:8" x14ac:dyDescent="0.3">
      <c r="B106" s="288" t="s">
        <v>44</v>
      </c>
      <c r="C106" s="465">
        <f t="shared" si="16"/>
        <v>45138</v>
      </c>
      <c r="D106" s="291"/>
      <c r="E106" s="291"/>
      <c r="F106" s="291">
        <f>VLOOKUP(B106,NAV!$B$9:$E$43,4,0)</f>
        <v>817.18905035787873</v>
      </c>
      <c r="G106" s="291">
        <f t="shared" si="14"/>
        <v>817.18905035787873</v>
      </c>
      <c r="H106" s="289" t="s">
        <v>402</v>
      </c>
    </row>
    <row r="107" spans="2:8" x14ac:dyDescent="0.3">
      <c r="B107" s="84" t="s">
        <v>396</v>
      </c>
      <c r="C107" s="465">
        <f t="shared" si="16"/>
        <v>45138</v>
      </c>
      <c r="D107" s="291"/>
      <c r="E107" s="291"/>
      <c r="F107" s="291">
        <f>VLOOKUP(B107,NAV!$B$9:$E$43,4,0)</f>
        <v>7.5</v>
      </c>
      <c r="G107" s="291">
        <f t="shared" si="14"/>
        <v>7.5</v>
      </c>
      <c r="H107" s="289" t="s">
        <v>402</v>
      </c>
    </row>
    <row r="108" spans="2:8" x14ac:dyDescent="0.3">
      <c r="B108" s="84" t="s">
        <v>433</v>
      </c>
      <c r="C108" s="465">
        <f t="shared" si="16"/>
        <v>45138</v>
      </c>
      <c r="D108" s="291"/>
      <c r="E108" s="291"/>
      <c r="F108" s="291">
        <f>VLOOKUP(B108,NAV!$B$9:$E$43,4,0)</f>
        <v>15</v>
      </c>
      <c r="G108" s="291">
        <f t="shared" si="14"/>
        <v>15</v>
      </c>
      <c r="H108" s="289" t="s">
        <v>402</v>
      </c>
    </row>
    <row r="109" spans="2:8" x14ac:dyDescent="0.3">
      <c r="B109" s="84" t="s">
        <v>539</v>
      </c>
      <c r="C109" s="465">
        <f t="shared" si="16"/>
        <v>45138</v>
      </c>
      <c r="D109" s="291"/>
      <c r="E109" s="291"/>
      <c r="F109" s="291">
        <f ca="1">VLOOKUP(B109,NAV!$B$9:$E$43,4,0)</f>
        <v>14.999998939999999</v>
      </c>
      <c r="G109" s="291">
        <f t="shared" ca="1" si="14"/>
        <v>14.999998939999999</v>
      </c>
      <c r="H109" s="289" t="s">
        <v>402</v>
      </c>
    </row>
    <row r="110" spans="2:8" x14ac:dyDescent="0.3">
      <c r="B110" s="84" t="s">
        <v>622</v>
      </c>
      <c r="C110" s="465">
        <f t="shared" si="16"/>
        <v>45138</v>
      </c>
      <c r="D110" s="291"/>
      <c r="E110" s="291"/>
      <c r="F110" s="291">
        <f ca="1">VLOOKUP(B110,NAV!$B$9:$E$43,4,0)</f>
        <v>15</v>
      </c>
      <c r="G110" s="291">
        <f t="shared" ref="G110" ca="1" si="17">SUM(D110:F110)</f>
        <v>15</v>
      </c>
      <c r="H110" s="289" t="s">
        <v>402</v>
      </c>
    </row>
    <row r="111" spans="2:8" x14ac:dyDescent="0.3">
      <c r="B111" s="288" t="s">
        <v>58</v>
      </c>
      <c r="C111" s="465">
        <f t="shared" si="16"/>
        <v>45138</v>
      </c>
      <c r="D111" s="291"/>
      <c r="E111" s="291"/>
      <c r="F111" s="291">
        <f>VLOOKUP(B111,NAV!$B$9:$E$43,4,0)</f>
        <v>0</v>
      </c>
      <c r="G111" s="291">
        <f t="shared" ref="G111" si="18">SUM(D111:F111)</f>
        <v>0</v>
      </c>
      <c r="H111" s="289" t="s">
        <v>402</v>
      </c>
    </row>
    <row r="112" spans="2:8" x14ac:dyDescent="0.3">
      <c r="B112" s="288" t="s">
        <v>398</v>
      </c>
      <c r="C112" s="465">
        <f t="shared" si="16"/>
        <v>45138</v>
      </c>
      <c r="D112" s="291"/>
      <c r="E112" s="291"/>
      <c r="F112" s="291">
        <f>VLOOKUP(B112,NAV!$B$9:$E$43,4,0)</f>
        <v>2.3539819999999998</v>
      </c>
      <c r="G112" s="291">
        <f t="shared" ref="G112:G118" si="19">SUM(D112:F112)</f>
        <v>2.3539819999999998</v>
      </c>
      <c r="H112" s="289" t="s">
        <v>402</v>
      </c>
    </row>
    <row r="113" spans="2:8" x14ac:dyDescent="0.3">
      <c r="B113" s="288" t="s">
        <v>390</v>
      </c>
      <c r="C113" s="465">
        <f t="shared" si="16"/>
        <v>45138</v>
      </c>
      <c r="D113" s="291"/>
      <c r="E113" s="291"/>
      <c r="F113" s="291">
        <f>VLOOKUP(B113,NAV!$B$9:$E$43,4,0)</f>
        <v>0</v>
      </c>
      <c r="G113" s="291">
        <f t="shared" si="19"/>
        <v>0</v>
      </c>
      <c r="H113" s="289" t="s">
        <v>402</v>
      </c>
    </row>
    <row r="114" spans="2:8" x14ac:dyDescent="0.3">
      <c r="B114" s="288" t="s">
        <v>171</v>
      </c>
      <c r="C114" s="465">
        <f t="shared" si="16"/>
        <v>45138</v>
      </c>
      <c r="D114" s="291"/>
      <c r="E114" s="291"/>
      <c r="F114" s="291">
        <f>VLOOKUP(B114,NAV!$B$9:$E$43,4,0)</f>
        <v>13.390399107670001</v>
      </c>
      <c r="G114" s="291">
        <f t="shared" si="19"/>
        <v>13.390399107670001</v>
      </c>
      <c r="H114" s="289" t="s">
        <v>402</v>
      </c>
    </row>
    <row r="115" spans="2:8" x14ac:dyDescent="0.3">
      <c r="B115" s="288" t="s">
        <v>538</v>
      </c>
      <c r="C115" s="465">
        <f t="shared" si="16"/>
        <v>45138</v>
      </c>
      <c r="D115" s="291"/>
      <c r="E115" s="291"/>
      <c r="F115" s="291">
        <f>VLOOKUP(B115,NAV!$B$9:$E$43,4,0)</f>
        <v>3.2766079856035097</v>
      </c>
      <c r="G115" s="291">
        <f t="shared" si="19"/>
        <v>3.2766079856035097</v>
      </c>
      <c r="H115" s="289" t="s">
        <v>402</v>
      </c>
    </row>
    <row r="116" spans="2:8" x14ac:dyDescent="0.3">
      <c r="B116" s="288" t="s">
        <v>1</v>
      </c>
      <c r="C116" s="465">
        <f t="shared" si="16"/>
        <v>45138</v>
      </c>
      <c r="D116" s="291"/>
      <c r="E116" s="291"/>
      <c r="F116" s="291">
        <f>VLOOKUP(B116,NAV!$B$9:$E$43,4,0)</f>
        <v>81.695785999999998</v>
      </c>
      <c r="G116" s="291">
        <f t="shared" si="19"/>
        <v>81.695785999999998</v>
      </c>
      <c r="H116" s="289" t="s">
        <v>402</v>
      </c>
    </row>
    <row r="117" spans="2:8" x14ac:dyDescent="0.3">
      <c r="B117" s="288" t="s">
        <v>15</v>
      </c>
      <c r="C117" s="465">
        <f t="shared" si="16"/>
        <v>45138</v>
      </c>
      <c r="D117" s="291"/>
      <c r="E117" s="291"/>
      <c r="F117" s="291">
        <f>VLOOKUP(B117,NAV!$B$9:$E$43,4,0)</f>
        <v>19.244515</v>
      </c>
      <c r="G117" s="291">
        <f t="shared" si="19"/>
        <v>19.244515</v>
      </c>
      <c r="H117" s="289" t="s">
        <v>402</v>
      </c>
    </row>
    <row r="118" spans="2:8" x14ac:dyDescent="0.3">
      <c r="B118" s="288" t="s">
        <v>229</v>
      </c>
      <c r="C118" s="465">
        <f t="shared" si="16"/>
        <v>45138</v>
      </c>
      <c r="D118" s="291"/>
      <c r="E118" s="291"/>
      <c r="F118" s="291">
        <f>VLOOKUP(B118,NAV!$B$9:$E$43,4,0)</f>
        <v>13.307625</v>
      </c>
      <c r="G118" s="291">
        <f t="shared" si="19"/>
        <v>13.307625</v>
      </c>
      <c r="H118" s="289" t="s">
        <v>402</v>
      </c>
    </row>
    <row r="119" spans="2:8" x14ac:dyDescent="0.3">
      <c r="C119" s="466"/>
    </row>
    <row r="120" spans="2:8" x14ac:dyDescent="0.3">
      <c r="C120" s="466"/>
    </row>
    <row r="121" spans="2:8" x14ac:dyDescent="0.3">
      <c r="C121" s="466"/>
    </row>
    <row r="122" spans="2:8" x14ac:dyDescent="0.3">
      <c r="C122" s="466"/>
    </row>
    <row r="123" spans="2:8" x14ac:dyDescent="0.3">
      <c r="C123" s="466"/>
    </row>
    <row r="124" spans="2:8" x14ac:dyDescent="0.3">
      <c r="C124" s="466"/>
    </row>
    <row r="125" spans="2:8" x14ac:dyDescent="0.3">
      <c r="C125" s="466"/>
    </row>
    <row r="126" spans="2:8" x14ac:dyDescent="0.3">
      <c r="C126" s="466"/>
    </row>
    <row r="127" spans="2:8" x14ac:dyDescent="0.3">
      <c r="C127" s="466"/>
    </row>
    <row r="128" spans="2:8" x14ac:dyDescent="0.3">
      <c r="C128" s="466"/>
    </row>
    <row r="129" spans="3:3" x14ac:dyDescent="0.3">
      <c r="C129" s="466"/>
    </row>
    <row r="130" spans="3:3" x14ac:dyDescent="0.3">
      <c r="C130" s="466"/>
    </row>
    <row r="131" spans="3:3" x14ac:dyDescent="0.3">
      <c r="C131" s="466"/>
    </row>
    <row r="132" spans="3:3" x14ac:dyDescent="0.3">
      <c r="C132" s="466"/>
    </row>
    <row r="133" spans="3:3" x14ac:dyDescent="0.3">
      <c r="C133" s="466"/>
    </row>
    <row r="134" spans="3:3" x14ac:dyDescent="0.3">
      <c r="C134" s="466"/>
    </row>
    <row r="135" spans="3:3" x14ac:dyDescent="0.3">
      <c r="C135" s="466"/>
    </row>
    <row r="136" spans="3:3" x14ac:dyDescent="0.3">
      <c r="C136" s="466"/>
    </row>
    <row r="137" spans="3:3" x14ac:dyDescent="0.3">
      <c r="C137" s="466"/>
    </row>
    <row r="138" spans="3:3" x14ac:dyDescent="0.3">
      <c r="C138" s="466"/>
    </row>
    <row r="139" spans="3:3" x14ac:dyDescent="0.3">
      <c r="C139" s="466"/>
    </row>
    <row r="140" spans="3:3" x14ac:dyDescent="0.3">
      <c r="C140" s="466"/>
    </row>
    <row r="141" spans="3:3" x14ac:dyDescent="0.3">
      <c r="C141" s="466"/>
    </row>
    <row r="142" spans="3:3" x14ac:dyDescent="0.3">
      <c r="C142" s="466"/>
    </row>
    <row r="143" spans="3:3" x14ac:dyDescent="0.3">
      <c r="C143" s="466"/>
    </row>
    <row r="144" spans="3:3" x14ac:dyDescent="0.3">
      <c r="C144" s="466"/>
    </row>
    <row r="145" spans="3:3" x14ac:dyDescent="0.3">
      <c r="C145" s="466"/>
    </row>
    <row r="146" spans="3:3" x14ac:dyDescent="0.3">
      <c r="C146" s="466"/>
    </row>
    <row r="147" spans="3:3" x14ac:dyDescent="0.3">
      <c r="C147" s="466"/>
    </row>
    <row r="148" spans="3:3" x14ac:dyDescent="0.3">
      <c r="C148" s="466"/>
    </row>
    <row r="149" spans="3:3" x14ac:dyDescent="0.3">
      <c r="C149" s="466"/>
    </row>
    <row r="150" spans="3:3" x14ac:dyDescent="0.3">
      <c r="C150" s="466"/>
    </row>
    <row r="151" spans="3:3" x14ac:dyDescent="0.3">
      <c r="C151" s="466"/>
    </row>
    <row r="152" spans="3:3" x14ac:dyDescent="0.3">
      <c r="C152" s="466"/>
    </row>
    <row r="153" spans="3:3" x14ac:dyDescent="0.3">
      <c r="C153" s="466"/>
    </row>
    <row r="154" spans="3:3" x14ac:dyDescent="0.3">
      <c r="C154" s="466"/>
    </row>
    <row r="155" spans="3:3" x14ac:dyDescent="0.3">
      <c r="C155" s="466"/>
    </row>
    <row r="156" spans="3:3" x14ac:dyDescent="0.3">
      <c r="C156" s="466"/>
    </row>
    <row r="157" spans="3:3" x14ac:dyDescent="0.3">
      <c r="C157" s="466"/>
    </row>
    <row r="158" spans="3:3" x14ac:dyDescent="0.3">
      <c r="C158" s="466"/>
    </row>
    <row r="159" spans="3:3" x14ac:dyDescent="0.3">
      <c r="C159" s="466"/>
    </row>
    <row r="160" spans="3:3" x14ac:dyDescent="0.3">
      <c r="C160" s="466"/>
    </row>
    <row r="161" spans="3:3" x14ac:dyDescent="0.3">
      <c r="C161" s="466"/>
    </row>
    <row r="162" spans="3:3" x14ac:dyDescent="0.3">
      <c r="C162" s="466"/>
    </row>
    <row r="163" spans="3:3" x14ac:dyDescent="0.3">
      <c r="C163" s="466"/>
    </row>
    <row r="164" spans="3:3" x14ac:dyDescent="0.3">
      <c r="C164" s="466"/>
    </row>
    <row r="165" spans="3:3" x14ac:dyDescent="0.3">
      <c r="C165" s="466"/>
    </row>
    <row r="166" spans="3:3" x14ac:dyDescent="0.3">
      <c r="C166" s="466"/>
    </row>
    <row r="167" spans="3:3" x14ac:dyDescent="0.3">
      <c r="C167" s="466"/>
    </row>
    <row r="168" spans="3:3" x14ac:dyDescent="0.3">
      <c r="C168" s="466"/>
    </row>
    <row r="169" spans="3:3" x14ac:dyDescent="0.3">
      <c r="C169" s="466"/>
    </row>
    <row r="170" spans="3:3" x14ac:dyDescent="0.3">
      <c r="C170" s="466"/>
    </row>
    <row r="171" spans="3:3" x14ac:dyDescent="0.3">
      <c r="C171" s="466"/>
    </row>
    <row r="172" spans="3:3" x14ac:dyDescent="0.3">
      <c r="C172" s="466"/>
    </row>
    <row r="173" spans="3:3" x14ac:dyDescent="0.3">
      <c r="C173" s="466"/>
    </row>
    <row r="174" spans="3:3" x14ac:dyDescent="0.3">
      <c r="C174" s="466"/>
    </row>
    <row r="175" spans="3:3" x14ac:dyDescent="0.3">
      <c r="C175" s="466"/>
    </row>
    <row r="176" spans="3:3" x14ac:dyDescent="0.3">
      <c r="C176" s="466"/>
    </row>
  </sheetData>
  <pageMargins left="0.7" right="0.7" top="0.75" bottom="0.75" header="0.3" footer="0.3"/>
  <pageSetup paperSize="9" orientation="portrait" verticalDpi="0" r:id="rId1"/>
  <ignoredErrors>
    <ignoredError sqref="G8:G34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F52E-07F1-40F1-94E4-981C92EE782A}">
  <sheetPr>
    <tabColor theme="4" tint="-0.499984740745262"/>
  </sheetPr>
  <dimension ref="B2:R118"/>
  <sheetViews>
    <sheetView zoomScale="85" zoomScaleNormal="85" workbookViewId="0">
      <selection activeCell="N9" sqref="N9"/>
    </sheetView>
  </sheetViews>
  <sheetFormatPr defaultColWidth="9.1796875" defaultRowHeight="12" x14ac:dyDescent="0.3"/>
  <cols>
    <col min="1" max="1" width="9.1796875" style="83"/>
    <col min="2" max="2" width="31.1796875" style="83" customWidth="1"/>
    <col min="3" max="4" width="22.7265625" style="88" customWidth="1"/>
    <col min="5" max="6" width="17.453125" style="83" customWidth="1"/>
    <col min="7" max="7" width="14.81640625" style="83" customWidth="1"/>
    <col min="8" max="9" width="16.54296875" style="83" customWidth="1"/>
    <col min="10" max="10" width="20" style="83" bestFit="1" customWidth="1"/>
    <col min="11" max="14" width="24.81640625" style="83" customWidth="1"/>
    <col min="15" max="18" width="8.7265625" style="83" customWidth="1"/>
    <col min="19" max="16384" width="9.1796875" style="83"/>
  </cols>
  <sheetData>
    <row r="2" spans="2:18" s="162" customFormat="1" ht="43.5" customHeight="1" x14ac:dyDescent="0.65">
      <c r="B2" s="331" t="s">
        <v>429</v>
      </c>
      <c r="C2" s="480"/>
      <c r="D2" s="480"/>
      <c r="E2" s="332"/>
      <c r="F2" s="332"/>
      <c r="G2" s="339" t="s">
        <v>502</v>
      </c>
      <c r="H2" s="339" t="b">
        <f>H5=H4</f>
        <v>1</v>
      </c>
      <c r="I2" s="339"/>
      <c r="J2" s="339"/>
      <c r="K2" s="333"/>
      <c r="L2" s="334"/>
      <c r="M2" s="333"/>
    </row>
    <row r="3" spans="2:18" ht="12.5" thickBot="1" x14ac:dyDescent="0.35"/>
    <row r="4" spans="2:18" s="136" customFormat="1" ht="13.5" thickBot="1" x14ac:dyDescent="0.35">
      <c r="B4" s="258" t="s">
        <v>227</v>
      </c>
      <c r="C4" s="481"/>
      <c r="D4" s="481"/>
      <c r="E4" s="272">
        <f>D!D2</f>
        <v>45138</v>
      </c>
      <c r="H4" s="136">
        <f>COUNTIF('CF (Equity, Debt)'!$B$4:$B$55,MID('CF (Equity, Debt)'!$B$4:$B$55,1,4))</f>
        <v>31</v>
      </c>
    </row>
    <row r="5" spans="2:18" ht="13" x14ac:dyDescent="0.3">
      <c r="G5" s="136"/>
      <c r="H5" s="136">
        <f>COUNTIFS('CF (Equity, Debt)'!B4:B45,"Mozn")+COUNTIFS('CF (Funds)'!A3:A44,"Mozn")</f>
        <v>31</v>
      </c>
      <c r="K5" s="83" t="b">
        <f ca="1">K9='S | 02'!L29</f>
        <v>1</v>
      </c>
      <c r="M5" s="83" t="b">
        <f ca="1">M9='S | 02'!M29</f>
        <v>1</v>
      </c>
      <c r="N5" s="83" t="b">
        <f ca="1">N9='S | 02'!N29</f>
        <v>1</v>
      </c>
    </row>
    <row r="7" spans="2:18" ht="13" x14ac:dyDescent="0.3">
      <c r="J7" s="321"/>
      <c r="K7" s="127" t="s">
        <v>2</v>
      </c>
      <c r="L7" s="127" t="s">
        <v>60</v>
      </c>
      <c r="M7" s="127" t="s">
        <v>42</v>
      </c>
      <c r="N7" s="127" t="s">
        <v>215</v>
      </c>
      <c r="O7" s="127" t="s">
        <v>32</v>
      </c>
      <c r="P7" s="127" t="s">
        <v>43</v>
      </c>
      <c r="Q7" s="127" t="s">
        <v>228</v>
      </c>
      <c r="R7" s="127" t="s">
        <v>140</v>
      </c>
    </row>
    <row r="8" spans="2:18" ht="13" x14ac:dyDescent="0.3">
      <c r="J8" s="249"/>
      <c r="K8" s="136"/>
      <c r="L8" s="136"/>
      <c r="M8" s="136"/>
      <c r="N8" s="136"/>
      <c r="O8" s="253"/>
      <c r="P8" s="136"/>
      <c r="Q8" s="136"/>
      <c r="R8" s="136"/>
    </row>
    <row r="9" spans="2:18" ht="14.5" x14ac:dyDescent="0.35">
      <c r="K9" s="482">
        <f>-SUM(F12:F65)</f>
        <v>986.76754037284365</v>
      </c>
      <c r="L9" s="482"/>
      <c r="M9" s="99">
        <f>SUM(G12:G65)</f>
        <v>13.29156075</v>
      </c>
      <c r="N9" s="482">
        <f ca="1">SUM(H12:H65)</f>
        <v>996.69560225702151</v>
      </c>
      <c r="O9" s="318">
        <f ca="1">XIRR(I12:I65,E12:E65)</f>
        <v>1.0515186190605163E-2</v>
      </c>
      <c r="P9" s="319">
        <f ca="1">(M9+N9)/K9</f>
        <v>1.0235309955832197</v>
      </c>
      <c r="Q9" s="319">
        <f ca="1">N9/K9</f>
        <v>1.0100611962574555</v>
      </c>
      <c r="R9" s="319">
        <f>M9/K9</f>
        <v>1.3469799325764071E-2</v>
      </c>
    </row>
    <row r="10" spans="2:18" ht="14.5" x14ac:dyDescent="0.35">
      <c r="B10" s="479" t="s">
        <v>138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18"/>
      <c r="P10" s="319"/>
      <c r="Q10" s="319"/>
      <c r="R10" s="319"/>
    </row>
    <row r="11" spans="2:18" x14ac:dyDescent="0.3">
      <c r="B11" s="476" t="s">
        <v>6</v>
      </c>
      <c r="C11" s="478" t="s">
        <v>213</v>
      </c>
      <c r="D11" s="478" t="s">
        <v>168</v>
      </c>
      <c r="E11" s="477" t="s">
        <v>7</v>
      </c>
      <c r="F11" s="477" t="s">
        <v>139</v>
      </c>
      <c r="G11" s="477" t="s">
        <v>42</v>
      </c>
      <c r="H11" s="478" t="s">
        <v>137</v>
      </c>
      <c r="I11" s="478" t="s">
        <v>217</v>
      </c>
    </row>
    <row r="12" spans="2:18" x14ac:dyDescent="0.3">
      <c r="B12" s="84" t="str">
        <f>'CF (Equity, Debt)'!C4</f>
        <v>Jollychic Holding Limited</v>
      </c>
      <c r="C12" s="89" t="str">
        <f>VLOOKUP(B12,'S | 02'!$C$6:$J$39,2,0)</f>
        <v>Direct Investment</v>
      </c>
      <c r="D12" s="89" t="str">
        <f>VLOOKUP(B12,'S | 02'!$C$6:$J$39,5,0)</f>
        <v>Mozn</v>
      </c>
      <c r="E12" s="85">
        <f>'CF (Equity, Debt)'!D4</f>
        <v>43470</v>
      </c>
      <c r="F12" s="93">
        <f>'CF (Equity, Debt)'!E4</f>
        <v>-30</v>
      </c>
      <c r="G12" s="93"/>
      <c r="H12" s="93"/>
      <c r="I12" s="93">
        <f>SUM(F12:H12)</f>
        <v>-30</v>
      </c>
      <c r="K12" s="83" t="s">
        <v>2</v>
      </c>
      <c r="L12" s="486">
        <f>-SUM(F12:F76)</f>
        <v>986.76754037284365</v>
      </c>
      <c r="M12" s="83" t="b">
        <f ca="1">'S | 02'!L29=L12</f>
        <v>1</v>
      </c>
    </row>
    <row r="13" spans="2:18" ht="13" x14ac:dyDescent="0.3">
      <c r="B13" s="84" t="str">
        <f>'CF (Equity, Debt)'!C5</f>
        <v>Jollychic Holding Limited</v>
      </c>
      <c r="C13" s="89" t="str">
        <f>VLOOKUP(B13,'S | 02'!$C$6:$J$39,2,0)</f>
        <v>Direct Investment</v>
      </c>
      <c r="D13" s="89" t="str">
        <f>VLOOKUP(B13,'S | 02'!$C$6:$J$39,5,0)</f>
        <v>Mozn</v>
      </c>
      <c r="E13" s="85">
        <f>'CF (Equity, Debt)'!D5</f>
        <v>43724</v>
      </c>
      <c r="F13" s="93">
        <f>'CF (Equity, Debt)'!E5</f>
        <v>-20</v>
      </c>
      <c r="G13" s="93"/>
      <c r="H13" s="93"/>
      <c r="I13" s="93">
        <f t="shared" ref="I13:I28" si="0">SUM(F13:H13)</f>
        <v>-20</v>
      </c>
      <c r="K13" s="83" t="s">
        <v>402</v>
      </c>
      <c r="L13" s="486">
        <f ca="1">SUM(H12:H76)</f>
        <v>996.69560225702151</v>
      </c>
      <c r="M13" s="250"/>
      <c r="N13" s="250"/>
      <c r="O13" s="273"/>
      <c r="P13" s="264"/>
      <c r="Q13" s="264"/>
      <c r="R13" s="264"/>
    </row>
    <row r="14" spans="2:18" x14ac:dyDescent="0.3">
      <c r="B14" s="84" t="str">
        <f>'CF (Equity, Debt)'!C6</f>
        <v>Jollychic Holding Limited</v>
      </c>
      <c r="C14" s="89" t="str">
        <f>VLOOKUP(B14,'S | 02'!$C$6:$J$39,2,0)</f>
        <v>Direct Investment</v>
      </c>
      <c r="D14" s="89" t="str">
        <f>VLOOKUP(B14,'S | 02'!$C$6:$J$39,5,0)</f>
        <v>Mozn</v>
      </c>
      <c r="E14" s="85">
        <f>'CF (Equity, Debt)'!D6</f>
        <v>43724</v>
      </c>
      <c r="F14" s="93">
        <f>'CF (Equity, Debt)'!E6</f>
        <v>-15</v>
      </c>
      <c r="G14" s="93"/>
      <c r="H14" s="93"/>
      <c r="I14" s="93">
        <f t="shared" si="0"/>
        <v>-15</v>
      </c>
      <c r="K14" s="83" t="s">
        <v>42</v>
      </c>
      <c r="L14" s="485">
        <f>SUM(G12:G76)</f>
        <v>13.29156075</v>
      </c>
    </row>
    <row r="15" spans="2:18" x14ac:dyDescent="0.3">
      <c r="B15" s="86" t="str">
        <f>'CF (Equity, Debt)'!C7</f>
        <v>Mena Mobile Inc</v>
      </c>
      <c r="C15" s="90" t="str">
        <f>VLOOKUP(B15,'S | 02'!$C$6:$J$39,2,0)</f>
        <v>Direct Investment</v>
      </c>
      <c r="D15" s="90" t="str">
        <f>VLOOKUP(B15,'S | 02'!$C$6:$J$39,5,0)</f>
        <v>Mozn</v>
      </c>
      <c r="E15" s="87">
        <f>'CF (Equity, Debt)'!D7</f>
        <v>43563</v>
      </c>
      <c r="F15" s="94">
        <f>'CF (Equity, Debt)'!E7</f>
        <v>-8</v>
      </c>
      <c r="G15" s="94"/>
      <c r="H15" s="94"/>
      <c r="I15" s="94">
        <f t="shared" si="0"/>
        <v>-8</v>
      </c>
      <c r="K15" s="83" t="s">
        <v>403</v>
      </c>
      <c r="L15" s="485">
        <f ca="1">L14+L13-L12</f>
        <v>23.219622634177881</v>
      </c>
    </row>
    <row r="16" spans="2:18" x14ac:dyDescent="0.3">
      <c r="B16" s="84" t="str">
        <f>'CF (Equity, Debt)'!C8</f>
        <v>Flyr Inc</v>
      </c>
      <c r="C16" s="89" t="str">
        <f>VLOOKUP(B16,'S | 02'!$C$6:$J$39,2,0)</f>
        <v>Direct Investment</v>
      </c>
      <c r="D16" s="89" t="str">
        <f>VLOOKUP(B16,'S | 02'!$C$6:$J$39,5,0)</f>
        <v>Mozn</v>
      </c>
      <c r="E16" s="85">
        <f>'CF (Equity, Debt)'!D8</f>
        <v>43570</v>
      </c>
      <c r="F16" s="93">
        <f>'CF (Equity, Debt)'!E8</f>
        <v>-4.9999980900000001</v>
      </c>
      <c r="G16" s="93"/>
      <c r="H16" s="93"/>
      <c r="I16" s="93">
        <f t="shared" si="0"/>
        <v>-4.9999980900000001</v>
      </c>
      <c r="K16" s="83" t="s">
        <v>32</v>
      </c>
      <c r="L16" s="484">
        <f ca="1">O9</f>
        <v>1.0515186190605163E-2</v>
      </c>
    </row>
    <row r="17" spans="2:9" x14ac:dyDescent="0.3">
      <c r="B17" s="84" t="str">
        <f>'CF (Equity, Debt)'!C9</f>
        <v>Flyr Inc</v>
      </c>
      <c r="C17" s="89" t="str">
        <f>VLOOKUP(B17,'S | 02'!$C$6:$J$39,2,0)</f>
        <v>Direct Investment</v>
      </c>
      <c r="D17" s="89" t="str">
        <f>VLOOKUP(B17,'S | 02'!$C$6:$J$39,5,0)</f>
        <v>Mozn</v>
      </c>
      <c r="E17" s="85">
        <f>'CF (Equity, Debt)'!D9</f>
        <v>43915</v>
      </c>
      <c r="F17" s="93">
        <f>'CF (Equity, Debt)'!E9</f>
        <v>-5.0000019099999999</v>
      </c>
      <c r="G17" s="93"/>
      <c r="H17" s="93"/>
      <c r="I17" s="93">
        <f t="shared" si="0"/>
        <v>-5.0000019099999999</v>
      </c>
    </row>
    <row r="18" spans="2:9" x14ac:dyDescent="0.3">
      <c r="B18" s="86" t="str">
        <f>'CF (Equity, Debt)'!C10</f>
        <v xml:space="preserve">Esyasoft Holding </v>
      </c>
      <c r="C18" s="90" t="str">
        <f>VLOOKUP(B18,'S | 02'!$C$6:$J$39,2,0)</f>
        <v>Direct Investment</v>
      </c>
      <c r="D18" s="90" t="str">
        <f>VLOOKUP(B18,'S | 02'!$C$6:$J$39,5,0)</f>
        <v>Mozn</v>
      </c>
      <c r="E18" s="87">
        <f>'CF (Equity, Debt)'!D10</f>
        <v>43870</v>
      </c>
      <c r="F18" s="94">
        <f>'CF (Equity, Debt)'!E10</f>
        <v>-2.5</v>
      </c>
      <c r="G18" s="94"/>
      <c r="H18" s="94"/>
      <c r="I18" s="94">
        <f t="shared" si="0"/>
        <v>-2.5</v>
      </c>
    </row>
    <row r="19" spans="2:9" x14ac:dyDescent="0.3">
      <c r="B19" s="84" t="str">
        <f>'CF (Equity, Debt)'!C11</f>
        <v>Beyond Limits</v>
      </c>
      <c r="C19" s="89" t="str">
        <f>VLOOKUP(B19,'S | 02'!$C$6:$J$39,2,0)</f>
        <v>Direct Investment</v>
      </c>
      <c r="D19" s="89" t="str">
        <f>VLOOKUP(B19,'S | 02'!$C$6:$J$39,5,0)</f>
        <v>Mozn</v>
      </c>
      <c r="E19" s="85">
        <f>'CF (Equity, Debt)'!D11</f>
        <v>43879</v>
      </c>
      <c r="F19" s="93">
        <f>'CF (Equity, Debt)'!E11</f>
        <v>-20</v>
      </c>
      <c r="G19" s="93"/>
      <c r="H19" s="93"/>
      <c r="I19" s="93">
        <f t="shared" si="0"/>
        <v>-20</v>
      </c>
    </row>
    <row r="20" spans="2:9" x14ac:dyDescent="0.3">
      <c r="B20" s="84" t="str">
        <f>'CF (Equity, Debt)'!C12</f>
        <v>Beyond Limits</v>
      </c>
      <c r="C20" s="89" t="str">
        <f>VLOOKUP(B20,'S | 02'!$C$6:$J$39,2,0)</f>
        <v>Direct Investment</v>
      </c>
      <c r="D20" s="89" t="str">
        <f>VLOOKUP(B20,'S | 02'!$C$6:$J$39,5,0)</f>
        <v>Mozn</v>
      </c>
      <c r="E20" s="85">
        <f>'CF (Equity, Debt)'!D12</f>
        <v>43921</v>
      </c>
      <c r="F20" s="93">
        <f>'CF (Equity, Debt)'!E12</f>
        <v>-30</v>
      </c>
      <c r="G20" s="93"/>
      <c r="H20" s="93"/>
      <c r="I20" s="93">
        <f t="shared" si="0"/>
        <v>-30</v>
      </c>
    </row>
    <row r="21" spans="2:9" x14ac:dyDescent="0.3">
      <c r="B21" s="84" t="str">
        <f>'CF (Equity, Debt)'!C13</f>
        <v>Beyond Limits</v>
      </c>
      <c r="C21" s="89" t="str">
        <f>VLOOKUP(B21,'S | 02'!$C$6:$J$39,2,0)</f>
        <v>Direct Investment</v>
      </c>
      <c r="D21" s="89" t="str">
        <f>VLOOKUP(B21,'S | 02'!$C$6:$J$39,5,0)</f>
        <v>Mozn</v>
      </c>
      <c r="E21" s="85">
        <f>'CF (Equity, Debt)'!D13</f>
        <v>43989</v>
      </c>
      <c r="F21" s="93">
        <f>'CF (Equity, Debt)'!E13</f>
        <v>-30</v>
      </c>
      <c r="G21" s="93"/>
      <c r="H21" s="93"/>
      <c r="I21" s="93">
        <f t="shared" si="0"/>
        <v>-30</v>
      </c>
    </row>
    <row r="22" spans="2:9" x14ac:dyDescent="0.3">
      <c r="B22" s="84" t="str">
        <f>'CF (Equity, Debt)'!C14</f>
        <v>Beyond Limits</v>
      </c>
      <c r="C22" s="89" t="str">
        <f>VLOOKUP(B22,'S | 02'!$C$6:$J$39,2,0)</f>
        <v>Direct Investment</v>
      </c>
      <c r="D22" s="89" t="str">
        <f>VLOOKUP(B22,'S | 02'!$C$6:$J$39,5,0)</f>
        <v>Mozn</v>
      </c>
      <c r="E22" s="85">
        <f>'CF (Equity, Debt)'!D14</f>
        <v>44103</v>
      </c>
      <c r="F22" s="93">
        <f>'CF (Equity, Debt)'!E14</f>
        <v>-10</v>
      </c>
      <c r="G22" s="93"/>
      <c r="H22" s="93"/>
      <c r="I22" s="93">
        <f t="shared" si="0"/>
        <v>-10</v>
      </c>
    </row>
    <row r="23" spans="2:9" x14ac:dyDescent="0.3">
      <c r="B23" s="86" t="str">
        <f>'CF (Equity, Debt)'!C15</f>
        <v>ONT plc</v>
      </c>
      <c r="C23" s="90" t="str">
        <f>VLOOKUP(B23,'S | 02'!$C$6:$J$39,2,0)</f>
        <v>Direct Investment</v>
      </c>
      <c r="D23" s="90" t="str">
        <f>VLOOKUP(B23,'S | 02'!$C$6:$J$39,5,0)</f>
        <v>Mozn</v>
      </c>
      <c r="E23" s="87">
        <f>'CF (Equity, Debt)'!D15</f>
        <v>43968</v>
      </c>
      <c r="F23" s="94">
        <f>'CF (Equity, Debt)'!E15</f>
        <v>-50</v>
      </c>
      <c r="G23" s="94"/>
      <c r="H23" s="94"/>
      <c r="I23" s="94">
        <f t="shared" si="0"/>
        <v>-50</v>
      </c>
    </row>
    <row r="24" spans="2:9" x14ac:dyDescent="0.3">
      <c r="B24" s="86" t="str">
        <f>'CF (Equity, Debt)'!C16</f>
        <v>ONT plc</v>
      </c>
      <c r="C24" s="90" t="str">
        <f>VLOOKUP(B24,'S | 02'!$C$6:$J$39,2,0)</f>
        <v>Direct Investment</v>
      </c>
      <c r="D24" s="90" t="str">
        <f>VLOOKUP(B24,'S | 02'!$C$6:$J$39,5,0)</f>
        <v>Mozn</v>
      </c>
      <c r="E24" s="87">
        <f>'CF (Equity, Debt)'!D16</f>
        <v>44006</v>
      </c>
      <c r="F24" s="94">
        <f>'CF (Equity, Debt)'!E16</f>
        <v>-27.268350856443721</v>
      </c>
      <c r="G24" s="94"/>
      <c r="H24" s="94"/>
      <c r="I24" s="94">
        <f t="shared" si="0"/>
        <v>-27.268350856443721</v>
      </c>
    </row>
    <row r="25" spans="2:9" x14ac:dyDescent="0.3">
      <c r="B25" s="86" t="str">
        <f>'CF (Equity, Debt)'!C17</f>
        <v>ONT plc</v>
      </c>
      <c r="C25" s="90" t="str">
        <f>VLOOKUP(B25,'S | 02'!$C$6:$J$39,2,0)</f>
        <v>Direct Investment</v>
      </c>
      <c r="D25" s="90" t="str">
        <f>VLOOKUP(B25,'S | 02'!$C$6:$J$39,5,0)</f>
        <v>Mozn</v>
      </c>
      <c r="E25" s="87">
        <f>'CF (Equity, Debt)'!D17</f>
        <v>43837</v>
      </c>
      <c r="F25" s="94">
        <f>'CF (Equity, Debt)'!E17</f>
        <v>-18.109441299619355</v>
      </c>
      <c r="G25" s="94"/>
      <c r="H25" s="94"/>
      <c r="I25" s="94">
        <f t="shared" si="0"/>
        <v>-18.109441299619355</v>
      </c>
    </row>
    <row r="26" spans="2:9" x14ac:dyDescent="0.3">
      <c r="B26" s="86" t="str">
        <f>'CF (Equity, Debt)'!C18</f>
        <v>ONT plc</v>
      </c>
      <c r="C26" s="90" t="str">
        <f>VLOOKUP(B26,'S | 02'!$C$6:$J$39,2,0)</f>
        <v>Direct Investment</v>
      </c>
      <c r="D26" s="90" t="str">
        <f>VLOOKUP(B26,'S | 02'!$C$6:$J$39,5,0)</f>
        <v>Mozn</v>
      </c>
      <c r="E26" s="87">
        <f>'CF (Equity, Debt)'!D18</f>
        <v>43990</v>
      </c>
      <c r="F26" s="94">
        <f>'CF (Equity, Debt)'!E18</f>
        <v>-34.851687094159864</v>
      </c>
      <c r="G26" s="94"/>
      <c r="H26" s="94"/>
      <c r="I26" s="94">
        <f t="shared" si="0"/>
        <v>-34.851687094159864</v>
      </c>
    </row>
    <row r="27" spans="2:9" x14ac:dyDescent="0.3">
      <c r="B27" s="86" t="str">
        <f>'CF (Equity, Debt)'!C19</f>
        <v>ONT plc</v>
      </c>
      <c r="C27" s="90" t="str">
        <f>VLOOKUP(B27,'S | 02'!$C$6:$J$39,2,0)</f>
        <v>Direct Investment</v>
      </c>
      <c r="D27" s="90" t="str">
        <f>VLOOKUP(B27,'S | 02'!$C$6:$J$39,5,0)</f>
        <v>Mozn</v>
      </c>
      <c r="E27" s="87">
        <f>'CF (Equity, Debt)'!D19</f>
        <v>44315</v>
      </c>
      <c r="F27" s="94">
        <f>'CF (Equity, Debt)'!E19</f>
        <v>-11.240780424143557</v>
      </c>
      <c r="G27" s="94"/>
      <c r="H27" s="94"/>
      <c r="I27" s="94">
        <f t="shared" si="0"/>
        <v>-11.240780424143557</v>
      </c>
    </row>
    <row r="28" spans="2:9" x14ac:dyDescent="0.3">
      <c r="B28" s="84" t="str">
        <f>'CF (Equity, Debt)'!C20</f>
        <v>Heygears</v>
      </c>
      <c r="C28" s="89" t="str">
        <f>VLOOKUP(B28,'S | 02'!$C$6:$J$39,2,0)</f>
        <v>Direct Investment</v>
      </c>
      <c r="D28" s="89" t="str">
        <f>VLOOKUP(B28,'S | 02'!$C$6:$J$39,5,0)</f>
        <v>Mozn</v>
      </c>
      <c r="E28" s="85">
        <f>'CF (Equity, Debt)'!D20</f>
        <v>44166</v>
      </c>
      <c r="F28" s="93">
        <f>'CF (Equity, Debt)'!E20</f>
        <v>-60</v>
      </c>
      <c r="G28" s="93"/>
      <c r="H28" s="93"/>
      <c r="I28" s="93">
        <f t="shared" si="0"/>
        <v>-60</v>
      </c>
    </row>
    <row r="29" spans="2:9" x14ac:dyDescent="0.3">
      <c r="B29" s="84" t="str">
        <f>'CF (Equity, Debt)'!C21</f>
        <v>Jysan Technologies</v>
      </c>
      <c r="C29" s="89" t="str">
        <f>VLOOKUP(B29,'S | 02'!$C$6:$J$39,2,0)</f>
        <v>Direct Investment</v>
      </c>
      <c r="D29" s="89" t="str">
        <f>VLOOKUP(B29,'S | 02'!$C$6:$J$39,5,0)</f>
        <v>Mozn 1</v>
      </c>
      <c r="E29" s="85">
        <f>'CF (Equity, Debt)'!D21</f>
        <v>44363</v>
      </c>
      <c r="F29" s="93">
        <f>'CF (Equity, Debt)'!E21</f>
        <v>-20</v>
      </c>
      <c r="G29" s="93"/>
      <c r="H29" s="93"/>
      <c r="I29" s="93">
        <f t="shared" ref="I29" si="1">SUM(F29:H29)</f>
        <v>-20</v>
      </c>
    </row>
    <row r="30" spans="2:9" x14ac:dyDescent="0.3">
      <c r="B30" s="84" t="str">
        <f>'CF (Equity, Debt)'!C22</f>
        <v>Cerebras Systems Inc</v>
      </c>
      <c r="C30" s="89" t="str">
        <f>VLOOKUP(B30,'S | 02'!$C$6:$J$39,2,0)</f>
        <v>Direct Investment</v>
      </c>
      <c r="D30" s="89" t="str">
        <f>VLOOKUP(B30,'S | 02'!$C$6:$J$39,5,0)</f>
        <v>Mozn</v>
      </c>
      <c r="E30" s="85">
        <f>'CF (Equity, Debt)'!D22</f>
        <v>44488</v>
      </c>
      <c r="F30" s="93">
        <f>'CF (Equity, Debt)'!E22</f>
        <v>-39.999983359999995</v>
      </c>
      <c r="G30" s="93"/>
      <c r="H30" s="93"/>
      <c r="I30" s="93">
        <f>SUM(F30:H30)</f>
        <v>-39.999983359999995</v>
      </c>
    </row>
    <row r="31" spans="2:9" x14ac:dyDescent="0.3">
      <c r="B31" s="86" t="str">
        <f>'CF (Equity, Debt)'!C23</f>
        <v>Endless Studios LLC</v>
      </c>
      <c r="C31" s="90" t="str">
        <f>VLOOKUP(B31,'S | 02'!$C$6:$J$39,2,0)</f>
        <v>Direct Investment</v>
      </c>
      <c r="D31" s="90" t="str">
        <f>VLOOKUP(B31,'S | 02'!$C$6:$J$39,5,0)</f>
        <v>Mozn</v>
      </c>
      <c r="E31" s="87">
        <f>'CF (Equity, Debt)'!D23</f>
        <v>44494</v>
      </c>
      <c r="F31" s="94">
        <f>'CF (Equity, Debt)'!E23</f>
        <v>-3</v>
      </c>
      <c r="G31" s="94"/>
      <c r="H31" s="94"/>
      <c r="I31" s="94">
        <f>SUM(F31:H31)</f>
        <v>-3</v>
      </c>
    </row>
    <row r="32" spans="2:9" x14ac:dyDescent="0.3">
      <c r="B32" s="84" t="str">
        <f>'CF (Equity, Debt)'!C24</f>
        <v>Instadeep Limited</v>
      </c>
      <c r="C32" s="89" t="str">
        <f>VLOOKUP(B32,'S | 02'!$C$6:$J$39,2,0)</f>
        <v>Direct Investment</v>
      </c>
      <c r="D32" s="89" t="str">
        <f>VLOOKUP(B32,'S | 02'!$C$6:$J$39,5,0)</f>
        <v>Mozn</v>
      </c>
      <c r="E32" s="85">
        <f>'CF (Equity, Debt)'!D24</f>
        <v>44550</v>
      </c>
      <c r="F32" s="93">
        <f>'CF (Equity, Debt)'!E24</f>
        <v>-5.0237201984774336</v>
      </c>
      <c r="G32" s="93"/>
      <c r="H32" s="93"/>
      <c r="I32" s="93">
        <f>SUM(F32:H32)</f>
        <v>-5.0237201984774336</v>
      </c>
    </row>
    <row r="33" spans="2:9" x14ac:dyDescent="0.3">
      <c r="B33" s="84" t="str">
        <f>'CF (Equity, Debt)'!C25</f>
        <v>X-fusion</v>
      </c>
      <c r="C33" s="89" t="str">
        <f>VLOOKUP(B33,'S | 02'!$C$6:$J$39,2,0)</f>
        <v>Direct Investment</v>
      </c>
      <c r="D33" s="89" t="str">
        <f>VLOOKUP(B33,'S | 02'!$C$6:$J$39,5,0)</f>
        <v>Mozn 2</v>
      </c>
      <c r="E33" s="85">
        <f>'CF (Equity, Debt)'!D25</f>
        <v>44574</v>
      </c>
      <c r="F33" s="93">
        <f>'CF (Equity, Debt)'!E25</f>
        <v>-493.50095619999996</v>
      </c>
      <c r="G33" s="93"/>
      <c r="H33" s="93"/>
      <c r="I33" s="93">
        <f t="shared" ref="I33" si="2">SUM(F33:H33)</f>
        <v>-493.50095619999996</v>
      </c>
    </row>
    <row r="34" spans="2:9" x14ac:dyDescent="0.3">
      <c r="B34" s="86" t="str">
        <f>'CF (Equity, Debt)'!C28</f>
        <v xml:space="preserve">Esyasoft Holding </v>
      </c>
      <c r="C34" s="90" t="str">
        <f>VLOOKUP(B34,'S | 02'!$C$6:$J$39,2,0)</f>
        <v>Direct Investment</v>
      </c>
      <c r="D34" s="90" t="str">
        <f>VLOOKUP(B34,'S | 02'!$C$6:$J$39,5,0)</f>
        <v>Mozn</v>
      </c>
      <c r="E34" s="87">
        <f>'CF (Equity, Debt)'!D28</f>
        <v>44691</v>
      </c>
      <c r="F34" s="94">
        <f>'CF (Equity, Debt)'!E28</f>
        <v>0</v>
      </c>
      <c r="G34" s="94">
        <v>5</v>
      </c>
      <c r="H34" s="94"/>
      <c r="I34" s="94">
        <f>SUM(F34:H34)</f>
        <v>5</v>
      </c>
    </row>
    <row r="35" spans="2:9" x14ac:dyDescent="0.3">
      <c r="B35" s="84" t="str">
        <f>'CF (Equity, Debt)'!C32</f>
        <v>Applied AI Corporation Limited</v>
      </c>
      <c r="C35" s="89" t="str">
        <f>VLOOKUP(B35,'S | 02'!$C$6:$J$39,2,0)</f>
        <v>Direct Investment</v>
      </c>
      <c r="D35" s="89" t="str">
        <f>VLOOKUP(B35,'S | 02'!$C$6:$J$39,5,0)</f>
        <v>Mozn</v>
      </c>
      <c r="E35" s="85">
        <f>'CF (Equity, Debt)'!D32</f>
        <v>44861</v>
      </c>
      <c r="F35" s="93">
        <f>'CF (Equity, Debt)'!E32</f>
        <v>-4.75</v>
      </c>
      <c r="G35" s="93"/>
      <c r="H35" s="93"/>
      <c r="I35" s="93">
        <f t="shared" ref="I35" si="3">SUM(F35:H35)</f>
        <v>-4.75</v>
      </c>
    </row>
    <row r="36" spans="2:9" x14ac:dyDescent="0.3">
      <c r="B36" s="84" t="str">
        <f>'CF (Equity, Debt)'!C33</f>
        <v xml:space="preserve">eSpace </v>
      </c>
      <c r="C36" s="89" t="str">
        <f>VLOOKUP(B36,'S | 02'!$C$6:$J$39,2,0)</f>
        <v>Direct Investment</v>
      </c>
      <c r="D36" s="89" t="str">
        <f>VLOOKUP(B36,'S | 02'!$C$6:$J$39,5,0)</f>
        <v>Mozn 4</v>
      </c>
      <c r="E36" s="85">
        <f>'CF (Equity, Debt)'!D33</f>
        <v>44892</v>
      </c>
      <c r="F36" s="93">
        <f>'CF (Equity, Debt)'!E33</f>
        <v>-15</v>
      </c>
      <c r="G36" s="93"/>
      <c r="H36" s="93"/>
      <c r="I36" s="93">
        <f t="shared" ref="I36" si="4">SUM(F36:H36)</f>
        <v>-15</v>
      </c>
    </row>
    <row r="37" spans="2:9" x14ac:dyDescent="0.3">
      <c r="B37" s="84" t="str">
        <f>'CF (Equity, Debt)'!C35</f>
        <v>Tools for Humanity Corporation</v>
      </c>
      <c r="C37" s="89" t="str">
        <f>VLOOKUP(B37,'S | 02'!$C$6:$J$39,2,0)</f>
        <v>Direct Investment</v>
      </c>
      <c r="D37" s="89" t="str">
        <f>VLOOKUP(B37,'S | 02'!$C$6:$J$39,5,0)</f>
        <v>Mozn</v>
      </c>
      <c r="E37" s="85">
        <f>'CF (Equity, Debt)'!D35</f>
        <v>45075</v>
      </c>
      <c r="F37" s="93">
        <f>'CF (Equity, Debt)'!E35</f>
        <v>-14.999998939999999</v>
      </c>
      <c r="G37" s="93"/>
      <c r="H37" s="93"/>
      <c r="I37" s="93">
        <f t="shared" ref="I37:I40" si="5">SUM(F37:H37)</f>
        <v>-14.999998939999999</v>
      </c>
    </row>
    <row r="38" spans="2:9" x14ac:dyDescent="0.3">
      <c r="B38" s="84" t="str">
        <f>'CF (Equity, Debt)'!C36</f>
        <v>WLD Tokens</v>
      </c>
      <c r="C38" s="89" t="str">
        <f>VLOOKUP(B38,'S | 02'!$C$6:$J$39,2,0)</f>
        <v>Direct Investment</v>
      </c>
      <c r="D38" s="89" t="str">
        <f>VLOOKUP(B38,'S | 02'!$C$6:$J$39,5,0)</f>
        <v>Mozn</v>
      </c>
      <c r="E38" s="85">
        <f>'CF (Equity, Debt)'!D36</f>
        <v>45075</v>
      </c>
      <c r="F38" s="93">
        <f>'CF (Equity, Debt)'!E36</f>
        <v>-5.875E-3</v>
      </c>
      <c r="G38" s="93"/>
      <c r="H38" s="93"/>
      <c r="I38" s="93">
        <f t="shared" si="5"/>
        <v>-5.875E-3</v>
      </c>
    </row>
    <row r="39" spans="2:9" x14ac:dyDescent="0.3">
      <c r="B39" s="84" t="str">
        <f>'CF (Equity, Debt)'!C37</f>
        <v>WLD Tokens</v>
      </c>
      <c r="C39" s="89" t="str">
        <f>VLOOKUP(B39,'S | 02'!$C$6:$J$39,2,0)</f>
        <v>Direct Investment</v>
      </c>
      <c r="D39" s="89" t="str">
        <f>VLOOKUP(B39,'S | 02'!$C$6:$J$39,5,0)</f>
        <v>Mozn</v>
      </c>
      <c r="E39" s="85">
        <f>'CF (Equity, Debt)'!D37</f>
        <v>45114</v>
      </c>
      <c r="F39" s="93">
        <f>'CF (Equity, Debt)'!E37</f>
        <v>-1E-3</v>
      </c>
      <c r="G39" s="93"/>
      <c r="H39" s="93"/>
      <c r="I39" s="93">
        <f t="shared" si="5"/>
        <v>-1E-3</v>
      </c>
    </row>
    <row r="40" spans="2:9" x14ac:dyDescent="0.3">
      <c r="B40" s="84" t="str">
        <f>'CF (Equity, Debt)'!C38</f>
        <v>Applied AI Corporation Limited</v>
      </c>
      <c r="C40" s="89" t="str">
        <f>VLOOKUP(B40,'S | 02'!$C$6:$J$39,2,0)</f>
        <v>Direct Investment</v>
      </c>
      <c r="D40" s="89" t="str">
        <f>VLOOKUP(B40,'S | 02'!$C$6:$J$39,5,0)</f>
        <v>Mozn</v>
      </c>
      <c r="E40" s="85">
        <f>'CF (Equity, Debt)'!D38</f>
        <v>45121</v>
      </c>
      <c r="F40" s="93">
        <f>'CF (Equity, Debt)'!E38</f>
        <v>-2.75</v>
      </c>
      <c r="G40" s="93"/>
      <c r="H40" s="93"/>
      <c r="I40" s="93">
        <f t="shared" si="5"/>
        <v>-2.75</v>
      </c>
    </row>
    <row r="41" spans="2:9" x14ac:dyDescent="0.3">
      <c r="B41" s="84" t="str">
        <f>'CF (Equity, Debt)'!C39</f>
        <v>Instadeep Limited</v>
      </c>
      <c r="C41" s="89" t="str">
        <f>VLOOKUP(B41,'S | 02'!$C$6:$J$39,2,0)</f>
        <v>Direct Investment</v>
      </c>
      <c r="D41" s="89" t="str">
        <f>VLOOKUP(B41,'S | 02'!$C$6:$J$39,5,0)</f>
        <v>Mozn</v>
      </c>
      <c r="E41" s="85">
        <f>'CF (Equity, Debt)'!D39</f>
        <v>45138</v>
      </c>
      <c r="F41" s="93">
        <f>'CF (Equity, Debt)'!E39</f>
        <v>0</v>
      </c>
      <c r="G41" s="93">
        <f>'CF (Equity, Debt)'!F39</f>
        <v>7.8207760999999989</v>
      </c>
      <c r="H41" s="93"/>
      <c r="I41" s="93">
        <f t="shared" ref="I41" si="6">SUM(F41:H41)</f>
        <v>7.8207760999999989</v>
      </c>
    </row>
    <row r="42" spans="2:9" x14ac:dyDescent="0.3">
      <c r="B42" s="84"/>
      <c r="C42" s="89"/>
      <c r="D42" s="89"/>
      <c r="E42" s="85"/>
      <c r="F42" s="93"/>
      <c r="G42" s="93"/>
      <c r="H42" s="93"/>
      <c r="I42" s="93"/>
    </row>
    <row r="43" spans="2:9" x14ac:dyDescent="0.3">
      <c r="B43" s="396" t="str">
        <f>'CF (Equity, Debt)'!C42</f>
        <v xml:space="preserve">Glass Earth Holdings LLC </v>
      </c>
      <c r="C43" s="290" t="str">
        <f>VLOOKUP(B43,'S | 02'!$C$6:$J$39,2,0)</f>
        <v>Debt Investment</v>
      </c>
      <c r="D43" s="290" t="str">
        <f>VLOOKUP(B43,'S | 02'!$C$6:$J$39,5,0)</f>
        <v>Mozn</v>
      </c>
      <c r="E43" s="85">
        <f>'CF (Equity, Debt)'!D42</f>
        <v>43635</v>
      </c>
      <c r="F43" s="291">
        <f>'CF (Equity, Debt)'!E42</f>
        <v>-8</v>
      </c>
      <c r="G43" s="291"/>
      <c r="H43" s="291"/>
      <c r="I43" s="291">
        <f>SUM(F43:H43)</f>
        <v>-8</v>
      </c>
    </row>
    <row r="44" spans="2:9" x14ac:dyDescent="0.3">
      <c r="B44" s="288" t="str">
        <f>'CF (Equity, Debt)'!C43</f>
        <v>Mena Mobile Inc (Debt)</v>
      </c>
      <c r="C44" s="289" t="str">
        <f>VLOOKUP(B44,'S | 02'!$C$6:$J$39,2,0)</f>
        <v>Debt Investment</v>
      </c>
      <c r="D44" s="289" t="str">
        <f>VLOOKUP(B44,'S | 02'!$C$6:$J$39,5,0)</f>
        <v>Mozn</v>
      </c>
      <c r="E44" s="85">
        <f>'CF (Equity, Debt)'!D43</f>
        <v>44293</v>
      </c>
      <c r="F44" s="291">
        <f>'CF (Equity, Debt)'!E43</f>
        <v>-2.3539819999999998</v>
      </c>
      <c r="G44" s="291"/>
      <c r="H44" s="291"/>
      <c r="I44" s="291">
        <f>SUM(F44:H44)</f>
        <v>-2.3539819999999998</v>
      </c>
    </row>
    <row r="45" spans="2:9" x14ac:dyDescent="0.3">
      <c r="B45" s="288" t="str">
        <f>'CF (Equity, Debt)'!C44</f>
        <v>Esyasoft Holding (Debt)</v>
      </c>
      <c r="C45" s="289" t="str">
        <f>VLOOKUP(B45,'S | 02'!$C$6:$J$39,2,0)</f>
        <v>Debt Investment</v>
      </c>
      <c r="D45" s="289" t="str">
        <f>VLOOKUP(B45,'S | 02'!$C$6:$J$39,5,0)</f>
        <v>Mozn</v>
      </c>
      <c r="E45" s="85">
        <f>'CF (Equity, Debt)'!D44</f>
        <v>44384</v>
      </c>
      <c r="F45" s="291">
        <f>'CF (Equity, Debt)'!E44</f>
        <v>-0.41176499999999999</v>
      </c>
      <c r="G45" s="291"/>
      <c r="H45" s="291"/>
      <c r="I45" s="291">
        <f>SUM(F45:H45)</f>
        <v>-0.41176499999999999</v>
      </c>
    </row>
    <row r="46" spans="2:9" x14ac:dyDescent="0.3">
      <c r="B46" s="288" t="str">
        <f>'CF (Equity, Debt)'!C45</f>
        <v>Esyasoft Holding (Debt)</v>
      </c>
      <c r="C46" s="289" t="str">
        <f>VLOOKUP(B46,'S | 02'!$C$6:$J$39,2,0)</f>
        <v>Debt Investment</v>
      </c>
      <c r="D46" s="289" t="str">
        <f>VLOOKUP(B46,'S | 02'!$C$6:$J$39,5,0)</f>
        <v>Mozn</v>
      </c>
      <c r="E46" s="85">
        <f>'CF (Equity, Debt)'!D45</f>
        <v>44902</v>
      </c>
      <c r="F46" s="291">
        <f>'CF (Equity, Debt)'!E45</f>
        <v>0</v>
      </c>
      <c r="G46" s="291">
        <f>'CF (Equity, Debt)'!F45</f>
        <v>0.47078465000000003</v>
      </c>
      <c r="H46" s="291"/>
      <c r="I46" s="291">
        <f>SUM(F46:H46)</f>
        <v>0.47078465000000003</v>
      </c>
    </row>
    <row r="48" spans="2:9" x14ac:dyDescent="0.3">
      <c r="B48" s="288" t="s">
        <v>57</v>
      </c>
      <c r="C48" s="289" t="str">
        <f>VLOOKUP(B48,'S | 02'!$C$6:$J$39,2,0)</f>
        <v>Direct Investment</v>
      </c>
      <c r="D48" s="289" t="str">
        <f>VLOOKUP(B48,'S | 02'!$C$6:$J$39,5,0)</f>
        <v>Mozn</v>
      </c>
      <c r="E48" s="465">
        <f t="shared" ref="E48:E65" si="7">$E$4</f>
        <v>45138</v>
      </c>
      <c r="F48" s="291"/>
      <c r="G48" s="291"/>
      <c r="H48" s="291">
        <f>VLOOKUP(B48,NAV!$B$9:$E$43,4,0)</f>
        <v>0</v>
      </c>
      <c r="I48" s="291">
        <f t="shared" ref="I48:I65" si="8">SUM(F48:H48)</f>
        <v>0</v>
      </c>
    </row>
    <row r="49" spans="2:9" x14ac:dyDescent="0.3">
      <c r="B49" s="288" t="s">
        <v>0</v>
      </c>
      <c r="C49" s="289" t="str">
        <f>VLOOKUP(B49,'S | 02'!$C$6:$J$39,2,0)</f>
        <v>Direct Investment</v>
      </c>
      <c r="D49" s="289" t="str">
        <f>VLOOKUP(B49,'S | 02'!$C$6:$J$39,5,0)</f>
        <v>Mozn</v>
      </c>
      <c r="E49" s="465">
        <f t="shared" si="7"/>
        <v>45138</v>
      </c>
      <c r="F49" s="291"/>
      <c r="G49" s="291"/>
      <c r="H49" s="291">
        <f>VLOOKUP(B49,NAV!$B$9:$E$43,4,0)</f>
        <v>0</v>
      </c>
      <c r="I49" s="291">
        <f t="shared" si="8"/>
        <v>0</v>
      </c>
    </row>
    <row r="50" spans="2:9" x14ac:dyDescent="0.3">
      <c r="B50" s="288" t="s">
        <v>48</v>
      </c>
      <c r="C50" s="289" t="str">
        <f>VLOOKUP(B50,'S | 02'!$C$6:$J$39,2,0)</f>
        <v>Direct Investment</v>
      </c>
      <c r="D50" s="289" t="str">
        <f>VLOOKUP(B50,'S | 02'!$C$6:$J$39,5,0)</f>
        <v>Mozn</v>
      </c>
      <c r="E50" s="465">
        <f t="shared" si="7"/>
        <v>45138</v>
      </c>
      <c r="F50" s="291"/>
      <c r="G50" s="291"/>
      <c r="H50" s="291">
        <f>VLOOKUP(B50,NAV!$B$9:$E$43,4,0)</f>
        <v>78.082229999999996</v>
      </c>
      <c r="I50" s="291">
        <f t="shared" si="8"/>
        <v>78.082229999999996</v>
      </c>
    </row>
    <row r="51" spans="2:9" x14ac:dyDescent="0.3">
      <c r="B51" s="288" t="s">
        <v>49</v>
      </c>
      <c r="C51" s="289" t="str">
        <f>VLOOKUP(B51,'S | 02'!$C$6:$J$39,2,0)</f>
        <v>Direct Investment</v>
      </c>
      <c r="D51" s="289" t="str">
        <f>VLOOKUP(B51,'S | 02'!$C$6:$J$39,5,0)</f>
        <v>Mozn</v>
      </c>
      <c r="E51" s="465">
        <f t="shared" si="7"/>
        <v>45138</v>
      </c>
      <c r="F51" s="291"/>
      <c r="G51" s="291"/>
      <c r="H51" s="291">
        <f>VLOOKUP(B51,NAV!$B$9:$E$43,4,0)</f>
        <v>0</v>
      </c>
      <c r="I51" s="291">
        <f t="shared" si="8"/>
        <v>0</v>
      </c>
    </row>
    <row r="52" spans="2:9" x14ac:dyDescent="0.3">
      <c r="B52" s="288" t="s">
        <v>47</v>
      </c>
      <c r="C52" s="289" t="str">
        <f>VLOOKUP(B52,'S | 02'!$C$6:$J$39,2,0)</f>
        <v>Direct Investment</v>
      </c>
      <c r="D52" s="289" t="str">
        <f>VLOOKUP(B52,'S | 02'!$C$6:$J$39,5,0)</f>
        <v>Mozn</v>
      </c>
      <c r="E52" s="465">
        <f t="shared" si="7"/>
        <v>45138</v>
      </c>
      <c r="F52" s="291"/>
      <c r="G52" s="291"/>
      <c r="H52" s="291">
        <f>VLOOKUP(B52,NAV!$B$9:$E$43,4,0)</f>
        <v>91.001540300000002</v>
      </c>
      <c r="I52" s="291">
        <f t="shared" si="8"/>
        <v>91.001540300000002</v>
      </c>
    </row>
    <row r="53" spans="2:9" x14ac:dyDescent="0.3">
      <c r="B53" s="288" t="s">
        <v>131</v>
      </c>
      <c r="C53" s="289" t="str">
        <f>VLOOKUP(B53,'S | 02'!$C$6:$J$39,2,0)</f>
        <v>Direct Investment</v>
      </c>
      <c r="D53" s="289" t="str">
        <f>VLOOKUP(B53,'S | 02'!$C$6:$J$39,5,0)</f>
        <v>Mozn</v>
      </c>
      <c r="E53" s="465">
        <f t="shared" si="7"/>
        <v>45138</v>
      </c>
      <c r="F53" s="291"/>
      <c r="G53" s="291"/>
      <c r="H53" s="291">
        <f>VLOOKUP(B53,NAV!$B$9:$E$43,4,0)</f>
        <v>150.4004386130496</v>
      </c>
      <c r="I53" s="291">
        <f t="shared" si="8"/>
        <v>150.4004386130496</v>
      </c>
    </row>
    <row r="54" spans="2:9" x14ac:dyDescent="0.3">
      <c r="B54" s="288" t="s">
        <v>11</v>
      </c>
      <c r="C54" s="289" t="str">
        <f>VLOOKUP(B54,'S | 02'!$C$6:$J$39,2,0)</f>
        <v>Direct Investment</v>
      </c>
      <c r="D54" s="289" t="str">
        <f>VLOOKUP(B54,'S | 02'!$C$6:$J$39,5,0)</f>
        <v>Mozn</v>
      </c>
      <c r="E54" s="465">
        <f t="shared" si="7"/>
        <v>45138</v>
      </c>
      <c r="F54" s="291"/>
      <c r="G54" s="291"/>
      <c r="H54" s="291">
        <f>VLOOKUP(B54,NAV!$B$9:$E$43,4,0)</f>
        <v>151.06943446641711</v>
      </c>
      <c r="I54" s="291">
        <f t="shared" si="8"/>
        <v>151.06943446641711</v>
      </c>
    </row>
    <row r="55" spans="2:9" x14ac:dyDescent="0.3">
      <c r="B55" s="84" t="s">
        <v>24</v>
      </c>
      <c r="C55" s="89" t="s">
        <v>455</v>
      </c>
      <c r="D55" s="89" t="s">
        <v>440</v>
      </c>
      <c r="E55" s="465">
        <f t="shared" si="7"/>
        <v>45138</v>
      </c>
      <c r="F55" s="291"/>
      <c r="G55" s="291"/>
      <c r="H55" s="291">
        <f>VLOOKUP(B55,NAV!$B$9:$E$43,4,0)</f>
        <v>20</v>
      </c>
      <c r="I55" s="291">
        <f t="shared" si="8"/>
        <v>20</v>
      </c>
    </row>
    <row r="56" spans="2:9" x14ac:dyDescent="0.3">
      <c r="B56" s="288" t="s">
        <v>50</v>
      </c>
      <c r="C56" s="289" t="str">
        <f>VLOOKUP(B56,'S | 02'!$C$6:$J$39,2,0)</f>
        <v>Direct Investment</v>
      </c>
      <c r="D56" s="289" t="str">
        <f>VLOOKUP(B56,'S | 02'!$C$6:$J$39,5,0)</f>
        <v>Mozn</v>
      </c>
      <c r="E56" s="465">
        <f t="shared" si="7"/>
        <v>45138</v>
      </c>
      <c r="F56" s="291"/>
      <c r="G56" s="291"/>
      <c r="H56" s="291">
        <f>VLOOKUP(B56,NAV!$B$9:$E$43,4,0)</f>
        <v>39.999983359999995</v>
      </c>
      <c r="I56" s="291">
        <f t="shared" si="8"/>
        <v>39.999983359999995</v>
      </c>
    </row>
    <row r="57" spans="2:9" x14ac:dyDescent="0.3">
      <c r="B57" s="288" t="s">
        <v>51</v>
      </c>
      <c r="C57" s="289" t="str">
        <f>VLOOKUP(B57,'S | 02'!$C$6:$J$39,2,0)</f>
        <v>Direct Investment</v>
      </c>
      <c r="D57" s="289" t="str">
        <f>VLOOKUP(B57,'S | 02'!$C$6:$J$39,5,0)</f>
        <v>Mozn</v>
      </c>
      <c r="E57" s="465">
        <f t="shared" si="7"/>
        <v>45138</v>
      </c>
      <c r="F57" s="291"/>
      <c r="G57" s="291"/>
      <c r="H57" s="291">
        <f>VLOOKUP(B57,NAV!$B$9:$E$43,4,0)</f>
        <v>3</v>
      </c>
      <c r="I57" s="291">
        <f t="shared" si="8"/>
        <v>3</v>
      </c>
    </row>
    <row r="58" spans="2:9" x14ac:dyDescent="0.3">
      <c r="B58" s="288" t="s">
        <v>52</v>
      </c>
      <c r="C58" s="289" t="str">
        <f>VLOOKUP(B58,'S | 02'!$C$6:$J$39,2,0)</f>
        <v>Direct Investment</v>
      </c>
      <c r="D58" s="289" t="str">
        <f>VLOOKUP(B58,'S | 02'!$C$6:$J$39,5,0)</f>
        <v>Mozn</v>
      </c>
      <c r="E58" s="465">
        <f t="shared" si="7"/>
        <v>45138</v>
      </c>
      <c r="F58" s="291"/>
      <c r="G58" s="291"/>
      <c r="H58" s="291">
        <f>VLOOKUP(B58,NAV!$B$9:$E$43,4,0)</f>
        <v>0</v>
      </c>
      <c r="I58" s="291">
        <f t="shared" si="8"/>
        <v>0</v>
      </c>
    </row>
    <row r="59" spans="2:9" x14ac:dyDescent="0.3">
      <c r="B59" s="84" t="s">
        <v>113</v>
      </c>
      <c r="C59" s="289" t="str">
        <f>VLOOKUP(B59,'S | 02'!$C$6:$J$39,2,0)</f>
        <v>Direct Investment</v>
      </c>
      <c r="D59" s="289" t="str">
        <f>VLOOKUP(B59,'S | 02'!$C$6:$J$39,5,0)</f>
        <v>Mozn 2</v>
      </c>
      <c r="E59" s="465">
        <f t="shared" si="7"/>
        <v>45138</v>
      </c>
      <c r="F59" s="291"/>
      <c r="G59" s="291"/>
      <c r="H59" s="291">
        <f>VLOOKUP(B59,NAV!$B$9:$E$43,4,0)</f>
        <v>408.28799457755485</v>
      </c>
      <c r="I59" s="291">
        <f t="shared" ref="I59" si="9">SUM(F59:H59)</f>
        <v>408.28799457755485</v>
      </c>
    </row>
    <row r="60" spans="2:9" x14ac:dyDescent="0.3">
      <c r="B60" s="84" t="s">
        <v>396</v>
      </c>
      <c r="C60" s="89" t="str">
        <f>VLOOKUP(B60,'S | 02'!$C$6:$J$39,2,0)</f>
        <v>Direct Investment</v>
      </c>
      <c r="D60" s="89" t="str">
        <f>VLOOKUP(B60,'S | 02'!$C$6:$J$39,5,0)</f>
        <v>Mozn</v>
      </c>
      <c r="E60" s="465">
        <f t="shared" si="7"/>
        <v>45138</v>
      </c>
      <c r="F60" s="291"/>
      <c r="G60" s="291"/>
      <c r="H60" s="291">
        <f>VLOOKUP(B60,NAV!$B$9:$E$43,4,0)</f>
        <v>7.5</v>
      </c>
      <c r="I60" s="291">
        <f t="shared" si="8"/>
        <v>7.5</v>
      </c>
    </row>
    <row r="61" spans="2:9" x14ac:dyDescent="0.3">
      <c r="B61" s="84" t="s">
        <v>433</v>
      </c>
      <c r="C61" s="89" t="s">
        <v>455</v>
      </c>
      <c r="D61" s="89" t="str">
        <f>VLOOKUP(B61,'S | 02'!$C$6:$J$39,5,0)</f>
        <v>Mozn 4</v>
      </c>
      <c r="E61" s="465">
        <f t="shared" si="7"/>
        <v>45138</v>
      </c>
      <c r="F61" s="291"/>
      <c r="G61" s="291"/>
      <c r="H61" s="291">
        <f>VLOOKUP(B61,NAV!$B$9:$E$43,4,0)</f>
        <v>15</v>
      </c>
      <c r="I61" s="291">
        <f t="shared" si="8"/>
        <v>15</v>
      </c>
    </row>
    <row r="62" spans="2:9" x14ac:dyDescent="0.3">
      <c r="B62" s="84" t="s">
        <v>539</v>
      </c>
      <c r="C62" s="89" t="s">
        <v>455</v>
      </c>
      <c r="D62" s="289" t="str">
        <f>VLOOKUP(B62,'S | 02'!$C$6:$J$39,5,0)</f>
        <v>Mozn</v>
      </c>
      <c r="E62" s="465">
        <f t="shared" si="7"/>
        <v>45138</v>
      </c>
      <c r="F62" s="291"/>
      <c r="G62" s="291"/>
      <c r="H62" s="291">
        <f ca="1">VLOOKUP(B62,NAV!$B$9:$E$43,4,0)</f>
        <v>14.999998939999999</v>
      </c>
      <c r="I62" s="291">
        <f t="shared" ref="I62" ca="1" si="10">SUM(F62:H62)</f>
        <v>14.999998939999999</v>
      </c>
    </row>
    <row r="63" spans="2:9" x14ac:dyDescent="0.3">
      <c r="B63" s="84" t="s">
        <v>622</v>
      </c>
      <c r="C63" s="89" t="s">
        <v>455</v>
      </c>
      <c r="D63" s="289" t="str">
        <f>VLOOKUP(B63,'S | 02'!$C$6:$J$39,5,0)</f>
        <v>Mozn</v>
      </c>
      <c r="E63" s="465">
        <f t="shared" si="7"/>
        <v>45138</v>
      </c>
      <c r="F63" s="291"/>
      <c r="G63" s="291"/>
      <c r="H63" s="291">
        <f ca="1">VLOOKUP(B63,NAV!$B$9:$E$43,4,0)</f>
        <v>15</v>
      </c>
      <c r="I63" s="291">
        <f t="shared" ref="I63" ca="1" si="11">SUM(F63:H63)</f>
        <v>15</v>
      </c>
    </row>
    <row r="64" spans="2:9" x14ac:dyDescent="0.3">
      <c r="B64" s="288" t="s">
        <v>58</v>
      </c>
      <c r="C64" s="289" t="str">
        <f>VLOOKUP(B64,'S | 02'!$C$6:$J$39,2,0)</f>
        <v>Debt Investment</v>
      </c>
      <c r="D64" s="289" t="str">
        <f>VLOOKUP(B64,'S | 02'!$C$6:$J$39,5,0)</f>
        <v>Mozn</v>
      </c>
      <c r="E64" s="465">
        <f t="shared" si="7"/>
        <v>45138</v>
      </c>
      <c r="F64" s="291"/>
      <c r="G64" s="291"/>
      <c r="H64" s="291">
        <f>VLOOKUP(B64,NAV!$B$9:$E$43,4,0)</f>
        <v>0</v>
      </c>
      <c r="I64" s="291">
        <f t="shared" si="8"/>
        <v>0</v>
      </c>
    </row>
    <row r="65" spans="2:9" x14ac:dyDescent="0.3">
      <c r="B65" s="288" t="s">
        <v>398</v>
      </c>
      <c r="C65" s="289" t="str">
        <f>VLOOKUP(B65,'S | 02'!$C$6:$J$39,2,0)</f>
        <v>Debt Investment</v>
      </c>
      <c r="D65" s="289" t="str">
        <f>VLOOKUP(B65,'S | 02'!$C$6:$J$39,5,0)</f>
        <v>Mozn</v>
      </c>
      <c r="E65" s="465">
        <f t="shared" si="7"/>
        <v>45138</v>
      </c>
      <c r="F65" s="291"/>
      <c r="G65" s="291"/>
      <c r="H65" s="291">
        <f>VLOOKUP(B65,NAV!$B$9:$E$43,4,0)</f>
        <v>2.3539819999999998</v>
      </c>
      <c r="I65" s="291">
        <f t="shared" si="8"/>
        <v>2.3539819999999998</v>
      </c>
    </row>
    <row r="66" spans="2:9" x14ac:dyDescent="0.3">
      <c r="E66" s="466"/>
    </row>
    <row r="67" spans="2:9" x14ac:dyDescent="0.3">
      <c r="E67" s="466"/>
    </row>
    <row r="68" spans="2:9" x14ac:dyDescent="0.3">
      <c r="E68" s="466"/>
    </row>
    <row r="69" spans="2:9" x14ac:dyDescent="0.3">
      <c r="E69" s="466"/>
    </row>
    <row r="70" spans="2:9" x14ac:dyDescent="0.3">
      <c r="E70" s="466"/>
    </row>
    <row r="71" spans="2:9" x14ac:dyDescent="0.3">
      <c r="E71" s="466"/>
    </row>
    <row r="72" spans="2:9" x14ac:dyDescent="0.3">
      <c r="E72" s="466"/>
    </row>
    <row r="73" spans="2:9" x14ac:dyDescent="0.3">
      <c r="E73" s="466"/>
    </row>
    <row r="74" spans="2:9" x14ac:dyDescent="0.3">
      <c r="E74" s="466"/>
    </row>
    <row r="75" spans="2:9" x14ac:dyDescent="0.3">
      <c r="E75" s="466"/>
    </row>
    <row r="76" spans="2:9" x14ac:dyDescent="0.3">
      <c r="C76" s="83"/>
      <c r="D76" s="83"/>
      <c r="E76" s="466"/>
    </row>
    <row r="77" spans="2:9" x14ac:dyDescent="0.3">
      <c r="C77" s="83"/>
      <c r="D77" s="83"/>
      <c r="E77" s="466"/>
    </row>
    <row r="78" spans="2:9" x14ac:dyDescent="0.3">
      <c r="C78" s="83"/>
      <c r="D78" s="83"/>
      <c r="E78" s="466"/>
    </row>
    <row r="79" spans="2:9" x14ac:dyDescent="0.3">
      <c r="C79" s="83"/>
      <c r="D79" s="83"/>
      <c r="E79" s="466"/>
    </row>
    <row r="80" spans="2:9" x14ac:dyDescent="0.3">
      <c r="C80" s="83"/>
      <c r="D80" s="83"/>
      <c r="E80" s="466"/>
    </row>
    <row r="81" spans="3:5" x14ac:dyDescent="0.3">
      <c r="C81" s="83"/>
      <c r="D81" s="83"/>
      <c r="E81" s="466"/>
    </row>
    <row r="82" spans="3:5" x14ac:dyDescent="0.3">
      <c r="C82" s="83"/>
      <c r="D82" s="83"/>
      <c r="E82" s="466"/>
    </row>
    <row r="83" spans="3:5" x14ac:dyDescent="0.3">
      <c r="C83" s="83"/>
      <c r="D83" s="83"/>
      <c r="E83" s="466"/>
    </row>
    <row r="84" spans="3:5" x14ac:dyDescent="0.3">
      <c r="C84" s="83"/>
      <c r="D84" s="83"/>
      <c r="E84" s="466"/>
    </row>
    <row r="85" spans="3:5" x14ac:dyDescent="0.3">
      <c r="C85" s="83"/>
      <c r="D85" s="83"/>
      <c r="E85" s="466"/>
    </row>
    <row r="86" spans="3:5" x14ac:dyDescent="0.3">
      <c r="C86" s="83"/>
      <c r="D86" s="83"/>
      <c r="E86" s="466"/>
    </row>
    <row r="87" spans="3:5" x14ac:dyDescent="0.3">
      <c r="C87" s="83"/>
      <c r="D87" s="83"/>
      <c r="E87" s="466"/>
    </row>
    <row r="88" spans="3:5" x14ac:dyDescent="0.3">
      <c r="C88" s="83"/>
      <c r="D88" s="83"/>
      <c r="E88" s="466"/>
    </row>
    <row r="89" spans="3:5" x14ac:dyDescent="0.3">
      <c r="C89" s="83"/>
      <c r="D89" s="83"/>
      <c r="E89" s="466"/>
    </row>
    <row r="90" spans="3:5" x14ac:dyDescent="0.3">
      <c r="C90" s="83"/>
      <c r="D90" s="83"/>
      <c r="E90" s="466"/>
    </row>
    <row r="91" spans="3:5" x14ac:dyDescent="0.3">
      <c r="C91" s="83"/>
      <c r="D91" s="83"/>
      <c r="E91" s="466"/>
    </row>
    <row r="92" spans="3:5" x14ac:dyDescent="0.3">
      <c r="C92" s="83"/>
      <c r="D92" s="83"/>
      <c r="E92" s="466"/>
    </row>
    <row r="93" spans="3:5" x14ac:dyDescent="0.3">
      <c r="C93" s="83"/>
      <c r="D93" s="83"/>
      <c r="E93" s="466"/>
    </row>
    <row r="94" spans="3:5" x14ac:dyDescent="0.3">
      <c r="C94" s="83"/>
      <c r="D94" s="83"/>
      <c r="E94" s="466"/>
    </row>
    <row r="95" spans="3:5" x14ac:dyDescent="0.3">
      <c r="C95" s="83"/>
      <c r="D95" s="83"/>
      <c r="E95" s="466"/>
    </row>
    <row r="96" spans="3:5" x14ac:dyDescent="0.3">
      <c r="C96" s="83"/>
      <c r="D96" s="83"/>
      <c r="E96" s="466"/>
    </row>
    <row r="97" spans="3:5" x14ac:dyDescent="0.3">
      <c r="C97" s="83"/>
      <c r="D97" s="83"/>
      <c r="E97" s="466"/>
    </row>
    <row r="98" spans="3:5" x14ac:dyDescent="0.3">
      <c r="C98" s="83"/>
      <c r="D98" s="83"/>
      <c r="E98" s="466"/>
    </row>
    <row r="99" spans="3:5" x14ac:dyDescent="0.3">
      <c r="C99" s="83"/>
      <c r="D99" s="83"/>
      <c r="E99" s="466"/>
    </row>
    <row r="100" spans="3:5" x14ac:dyDescent="0.3">
      <c r="C100" s="83"/>
      <c r="D100" s="83"/>
      <c r="E100" s="466"/>
    </row>
    <row r="101" spans="3:5" x14ac:dyDescent="0.3">
      <c r="C101" s="83"/>
      <c r="D101" s="83"/>
      <c r="E101" s="466"/>
    </row>
    <row r="102" spans="3:5" x14ac:dyDescent="0.3">
      <c r="C102" s="83"/>
      <c r="D102" s="83"/>
      <c r="E102" s="466"/>
    </row>
    <row r="103" spans="3:5" x14ac:dyDescent="0.3">
      <c r="C103" s="83"/>
      <c r="D103" s="83"/>
      <c r="E103" s="466"/>
    </row>
    <row r="104" spans="3:5" x14ac:dyDescent="0.3">
      <c r="C104" s="83"/>
      <c r="D104" s="83"/>
      <c r="E104" s="466"/>
    </row>
    <row r="105" spans="3:5" x14ac:dyDescent="0.3">
      <c r="C105" s="83"/>
      <c r="D105" s="83"/>
      <c r="E105" s="466"/>
    </row>
    <row r="106" spans="3:5" x14ac:dyDescent="0.3">
      <c r="C106" s="83"/>
      <c r="D106" s="83"/>
      <c r="E106" s="466"/>
    </row>
    <row r="107" spans="3:5" x14ac:dyDescent="0.3">
      <c r="C107" s="83"/>
      <c r="D107" s="83"/>
      <c r="E107" s="466"/>
    </row>
    <row r="108" spans="3:5" x14ac:dyDescent="0.3">
      <c r="C108" s="83"/>
      <c r="D108" s="83"/>
      <c r="E108" s="466"/>
    </row>
    <row r="109" spans="3:5" x14ac:dyDescent="0.3">
      <c r="C109" s="83"/>
      <c r="D109" s="83"/>
      <c r="E109" s="466"/>
    </row>
    <row r="110" spans="3:5" x14ac:dyDescent="0.3">
      <c r="C110" s="83"/>
      <c r="D110" s="83"/>
      <c r="E110" s="466"/>
    </row>
    <row r="111" spans="3:5" x14ac:dyDescent="0.3">
      <c r="C111" s="83"/>
      <c r="D111" s="83"/>
      <c r="E111" s="466"/>
    </row>
    <row r="112" spans="3:5" x14ac:dyDescent="0.3">
      <c r="C112" s="83"/>
      <c r="D112" s="83"/>
      <c r="E112" s="466"/>
    </row>
    <row r="113" spans="3:5" x14ac:dyDescent="0.3">
      <c r="C113" s="83"/>
      <c r="D113" s="83"/>
      <c r="E113" s="466"/>
    </row>
    <row r="114" spans="3:5" x14ac:dyDescent="0.3">
      <c r="C114" s="83"/>
      <c r="D114" s="83"/>
      <c r="E114" s="466"/>
    </row>
    <row r="115" spans="3:5" x14ac:dyDescent="0.3">
      <c r="C115" s="83"/>
      <c r="D115" s="83"/>
      <c r="E115" s="466"/>
    </row>
    <row r="116" spans="3:5" x14ac:dyDescent="0.3">
      <c r="C116" s="83"/>
      <c r="D116" s="83"/>
      <c r="E116" s="466"/>
    </row>
    <row r="117" spans="3:5" x14ac:dyDescent="0.3">
      <c r="C117" s="83"/>
      <c r="D117" s="83"/>
      <c r="E117" s="466"/>
    </row>
    <row r="118" spans="3:5" x14ac:dyDescent="0.3">
      <c r="C118" s="83"/>
      <c r="D118" s="83"/>
      <c r="E118" s="466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A3CC-CB8B-4F33-86A8-C08A1E557D45}">
  <sheetPr>
    <tabColor theme="4" tint="-0.499984740745262"/>
  </sheetPr>
  <dimension ref="B2:R126"/>
  <sheetViews>
    <sheetView topLeftCell="A7" zoomScale="85" zoomScaleNormal="85" workbookViewId="0">
      <selection activeCell="O9" sqref="O9"/>
    </sheetView>
  </sheetViews>
  <sheetFormatPr defaultColWidth="9.1796875" defaultRowHeight="12" x14ac:dyDescent="0.3"/>
  <cols>
    <col min="1" max="1" width="9.1796875" style="83"/>
    <col min="2" max="2" width="31.1796875" style="83" customWidth="1"/>
    <col min="3" max="4" width="22.7265625" style="88" customWidth="1"/>
    <col min="5" max="6" width="17.453125" style="83" customWidth="1"/>
    <col min="7" max="7" width="14.81640625" style="83" customWidth="1"/>
    <col min="8" max="9" width="16.54296875" style="83" customWidth="1"/>
    <col min="10" max="10" width="20" style="83" bestFit="1" customWidth="1"/>
    <col min="11" max="12" width="24.81640625" style="83" customWidth="1"/>
    <col min="13" max="13" width="24.81640625" style="88" customWidth="1"/>
    <col min="14" max="14" width="24.81640625" style="83" customWidth="1"/>
    <col min="15" max="18" width="8.7265625" style="83" customWidth="1"/>
    <col min="19" max="16384" width="9.1796875" style="83"/>
  </cols>
  <sheetData>
    <row r="2" spans="2:18" s="162" customFormat="1" ht="43.5" customHeight="1" x14ac:dyDescent="0.65">
      <c r="B2" s="331" t="s">
        <v>428</v>
      </c>
      <c r="C2" s="480"/>
      <c r="D2" s="480"/>
      <c r="E2" s="332"/>
      <c r="F2" s="332"/>
      <c r="G2" s="339"/>
      <c r="H2" s="339">
        <f>COUNTA(B13:B68)</f>
        <v>56</v>
      </c>
      <c r="I2" s="339"/>
      <c r="J2" s="339"/>
      <c r="K2" s="333"/>
      <c r="L2" s="334"/>
      <c r="M2" s="333"/>
    </row>
    <row r="3" spans="2:18" ht="12.5" thickBot="1" x14ac:dyDescent="0.35"/>
    <row r="4" spans="2:18" s="136" customFormat="1" ht="13.5" thickBot="1" x14ac:dyDescent="0.35">
      <c r="B4" s="258" t="s">
        <v>227</v>
      </c>
      <c r="C4" s="481"/>
      <c r="D4" s="481"/>
      <c r="E4" s="272">
        <f>D!D2</f>
        <v>45138</v>
      </c>
      <c r="M4" s="147"/>
    </row>
    <row r="7" spans="2:18" ht="13" x14ac:dyDescent="0.3">
      <c r="J7" s="321"/>
      <c r="K7" s="127" t="s">
        <v>2</v>
      </c>
      <c r="L7" s="127" t="s">
        <v>60</v>
      </c>
      <c r="M7" s="127" t="s">
        <v>42</v>
      </c>
      <c r="N7" s="127" t="s">
        <v>215</v>
      </c>
      <c r="O7" s="127" t="s">
        <v>32</v>
      </c>
      <c r="P7" s="127" t="s">
        <v>43</v>
      </c>
      <c r="Q7" s="127" t="s">
        <v>228</v>
      </c>
      <c r="R7" s="127" t="s">
        <v>140</v>
      </c>
    </row>
    <row r="8" spans="2:18" ht="13" x14ac:dyDescent="0.3">
      <c r="J8" s="249"/>
      <c r="K8" s="136"/>
      <c r="L8" s="136"/>
      <c r="M8" s="147"/>
      <c r="N8" s="136"/>
      <c r="O8" s="253"/>
      <c r="P8" s="136"/>
      <c r="Q8" s="136"/>
      <c r="R8" s="136"/>
    </row>
    <row r="9" spans="2:18" ht="14.5" x14ac:dyDescent="0.35">
      <c r="K9" s="99">
        <f>-SUM(F12:F68)</f>
        <v>1256.2696675044704</v>
      </c>
      <c r="L9" s="482"/>
      <c r="M9" s="99">
        <f>SUM(G12:G68)</f>
        <v>4.4275637014082001</v>
      </c>
      <c r="N9" s="99">
        <f>SUM(H12:H68)</f>
        <v>1255.1666497711522</v>
      </c>
      <c r="O9" s="318">
        <f>XIRR(I13:I68,E13:E68)</f>
        <v>2.1642416715621955E-3</v>
      </c>
      <c r="P9" s="319">
        <f>(M9+N9)/K9</f>
        <v>1.002646363319982</v>
      </c>
      <c r="Q9" s="319">
        <f>N9/K9</f>
        <v>0.99912198967956511</v>
      </c>
      <c r="R9" s="319">
        <f>M9/K9</f>
        <v>3.5243736404170123E-3</v>
      </c>
    </row>
    <row r="10" spans="2:18" ht="14.5" x14ac:dyDescent="0.35">
      <c r="B10" s="479" t="s">
        <v>138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18"/>
      <c r="P10" s="319"/>
      <c r="Q10" s="319"/>
      <c r="R10" s="319"/>
    </row>
    <row r="11" spans="2:18" x14ac:dyDescent="0.3">
      <c r="B11" s="476" t="s">
        <v>6</v>
      </c>
      <c r="C11" s="478" t="s">
        <v>213</v>
      </c>
      <c r="D11" s="478" t="s">
        <v>168</v>
      </c>
      <c r="E11" s="477" t="s">
        <v>7</v>
      </c>
      <c r="F11" s="477" t="s">
        <v>139</v>
      </c>
      <c r="G11" s="477" t="s">
        <v>42</v>
      </c>
      <c r="H11" s="478" t="s">
        <v>137</v>
      </c>
      <c r="I11" s="478" t="s">
        <v>217</v>
      </c>
      <c r="M11" s="684" t="s">
        <v>484</v>
      </c>
    </row>
    <row r="12" spans="2:18" ht="13" x14ac:dyDescent="0.3">
      <c r="B12" s="86"/>
      <c r="C12" s="90"/>
      <c r="D12" s="90"/>
      <c r="E12" s="87"/>
      <c r="F12" s="94"/>
      <c r="G12" s="94"/>
      <c r="H12" s="94"/>
      <c r="I12" s="94"/>
      <c r="K12" s="83" t="s">
        <v>2</v>
      </c>
      <c r="L12" s="485">
        <f>-SUM(F12:F68)</f>
        <v>1256.2696675044704</v>
      </c>
      <c r="M12" s="147" t="b">
        <f ca="1">K9='S | 02'!L40</f>
        <v>1</v>
      </c>
    </row>
    <row r="13" spans="2:18" ht="13" x14ac:dyDescent="0.3">
      <c r="B13" s="84" t="str">
        <f>'CF (Equity, Debt)'!C26</f>
        <v>DriveNets</v>
      </c>
      <c r="C13" s="89" t="str">
        <f>VLOOKUP(B13,'S | 02'!$C$6:$J$39,2,0)</f>
        <v>Direct Investment</v>
      </c>
      <c r="D13" s="89" t="str">
        <f>VLOOKUP(B13,'S | 02'!$C$6:$J$39,5,0)</f>
        <v>G42</v>
      </c>
      <c r="E13" s="85">
        <f>'CF (Equity, Debt)'!D26</f>
        <v>44643</v>
      </c>
      <c r="F13" s="93">
        <f>'CF (Equity, Debt)'!E26</f>
        <v>-200</v>
      </c>
      <c r="G13" s="93"/>
      <c r="H13" s="93"/>
      <c r="I13" s="93">
        <f>SUM(F13:H13)</f>
        <v>-200</v>
      </c>
      <c r="K13" s="83" t="s">
        <v>402</v>
      </c>
      <c r="L13" s="485">
        <f>SUM(H12:H68)</f>
        <v>1255.1666497711522</v>
      </c>
      <c r="M13" s="147" t="b">
        <f ca="1">M9='S | 02'!M40</f>
        <v>1</v>
      </c>
    </row>
    <row r="14" spans="2:18" ht="13" x14ac:dyDescent="0.3">
      <c r="B14" s="84" t="str">
        <f>'CF (Equity, Debt)'!C27</f>
        <v>DriveNets</v>
      </c>
      <c r="C14" s="89" t="str">
        <f>VLOOKUP(B14,'S | 02'!$C$6:$J$39,2,0)</f>
        <v>Direct Investment</v>
      </c>
      <c r="D14" s="89" t="str">
        <f>VLOOKUP(B14,'S | 02'!$C$6:$J$39,5,0)</f>
        <v>G42</v>
      </c>
      <c r="E14" s="85">
        <f>'CF (Equity, Debt)'!D27</f>
        <v>44680</v>
      </c>
      <c r="F14" s="93">
        <f>'CF (Equity, Debt)'!E27</f>
        <v>-100</v>
      </c>
      <c r="G14" s="93"/>
      <c r="H14" s="93"/>
      <c r="I14" s="93">
        <f>SUM(F14:H14)</f>
        <v>-100</v>
      </c>
      <c r="K14" s="83" t="s">
        <v>42</v>
      </c>
      <c r="L14" s="485">
        <f>SUM(G12:G68)</f>
        <v>4.4275637014082001</v>
      </c>
      <c r="M14" s="147" t="b">
        <f>ROUND(N9,3)=ROUND('S | 02'!N40,3)</f>
        <v>1</v>
      </c>
    </row>
    <row r="15" spans="2:18" x14ac:dyDescent="0.3">
      <c r="B15" s="86" t="str">
        <f>'CF (Equity, Debt)'!C29</f>
        <v>vTv Therapeutics Inc.</v>
      </c>
      <c r="C15" s="90" t="str">
        <f>VLOOKUP(B15,'S | 02'!$C$6:$J$39,2,0)</f>
        <v>Direct Investment</v>
      </c>
      <c r="D15" s="90" t="str">
        <f>VLOOKUP(B15,'S | 02'!$C$6:$J$39,5,0)</f>
        <v>G42</v>
      </c>
      <c r="E15" s="87">
        <f>'CF (Equity, Debt)'!D29</f>
        <v>44712</v>
      </c>
      <c r="F15" s="94">
        <f>'CF (Equity, Debt)'!E29</f>
        <v>-12.5</v>
      </c>
      <c r="G15" s="94"/>
      <c r="H15" s="94"/>
      <c r="I15" s="94">
        <f>SUM(F15:H15)</f>
        <v>-12.5</v>
      </c>
      <c r="K15" s="83" t="s">
        <v>403</v>
      </c>
      <c r="L15" s="485">
        <f>L14+L13-L12</f>
        <v>3.3245459680899785</v>
      </c>
    </row>
    <row r="16" spans="2:18" x14ac:dyDescent="0.3">
      <c r="B16" s="86" t="str">
        <f>'CF (Equity, Debt)'!C34</f>
        <v>vTv Therapeutics Inc.</v>
      </c>
      <c r="C16" s="90" t="str">
        <f>VLOOKUP(B16,'S | 02'!$C$6:$J$39,2,0)</f>
        <v>Direct Investment</v>
      </c>
      <c r="D16" s="90" t="str">
        <f>VLOOKUP(B16,'S | 02'!$C$6:$J$39,5,0)</f>
        <v>G42</v>
      </c>
      <c r="E16" s="87">
        <f>'CF (Equity, Debt)'!D34</f>
        <v>44985</v>
      </c>
      <c r="F16" s="94">
        <f>'CF (Equity, Debt)'!E34</f>
        <v>-12.03125</v>
      </c>
      <c r="G16" s="94"/>
      <c r="H16" s="94"/>
      <c r="I16" s="94">
        <f>SUM(F16:H16)</f>
        <v>-12.03125</v>
      </c>
      <c r="K16" s="83" t="s">
        <v>32</v>
      </c>
      <c r="L16" s="484">
        <f>O9</f>
        <v>2.1642416715621955E-3</v>
      </c>
    </row>
    <row r="17" spans="2:12" x14ac:dyDescent="0.3">
      <c r="B17" s="292" t="str">
        <f>'CF (Equity, Debt)'!C30</f>
        <v>Honor Device Co Ltd</v>
      </c>
      <c r="C17" s="293" t="str">
        <f>VLOOKUP(B17,'S | 02'!$C$6:$J$39,2,0)</f>
        <v>Direct Investment</v>
      </c>
      <c r="D17" s="293" t="str">
        <f>VLOOKUP(B17,'S | 02'!$C$6:$J$39,5,0)</f>
        <v>G42 3</v>
      </c>
      <c r="E17" s="464">
        <f>'CF (Equity, Debt)'!D30</f>
        <v>44769</v>
      </c>
      <c r="F17" s="295">
        <f>'CF (Equity, Debt)'!E30</f>
        <v>-600</v>
      </c>
      <c r="G17" s="295"/>
      <c r="H17" s="295"/>
      <c r="I17" s="295">
        <f>SUM(F17:H17)</f>
        <v>-600</v>
      </c>
    </row>
    <row r="18" spans="2:12" x14ac:dyDescent="0.3">
      <c r="B18" s="292" t="str">
        <f>'CF (Equity, Debt)'!C31</f>
        <v>Honor Device Co Ltd</v>
      </c>
      <c r="C18" s="293" t="str">
        <f>VLOOKUP(B18,'S | 02'!$C$6:$J$39,2,0)</f>
        <v>Direct Investment</v>
      </c>
      <c r="D18" s="293" t="str">
        <f>VLOOKUP(B18,'S | 02'!$C$6:$J$39,5,0)</f>
        <v>G42 3</v>
      </c>
      <c r="E18" s="464">
        <f>'CF (Equity, Debt)'!D31</f>
        <v>44849</v>
      </c>
      <c r="F18" s="295">
        <f>'CF (Equity, Debt)'!E31</f>
        <v>-200</v>
      </c>
      <c r="G18" s="295"/>
      <c r="H18" s="295"/>
      <c r="I18" s="295">
        <f t="shared" ref="I18" si="0">SUM(F18:H18)</f>
        <v>-200</v>
      </c>
    </row>
    <row r="19" spans="2:12" x14ac:dyDescent="0.3">
      <c r="B19" s="288" t="str">
        <f>'CF (Funds)'!B3</f>
        <v>Sinovation Disrupt Fund, L.P.</v>
      </c>
      <c r="C19" s="289" t="str">
        <f>VLOOKUP(B19,'S | 02'!$C$6:$J$39,2,0)</f>
        <v>Fund Investment</v>
      </c>
      <c r="D19" s="289" t="str">
        <f>VLOOKUP(B19,'S | 02'!$C$6:$J$39,5,0)</f>
        <v>G42</v>
      </c>
      <c r="E19" s="85">
        <f>'CF (Funds)'!C3</f>
        <v>44153</v>
      </c>
      <c r="F19" s="291">
        <f>'CF (Funds)'!D3</f>
        <v>-10.5</v>
      </c>
      <c r="G19" s="291">
        <f>'CF (Funds)'!E3</f>
        <v>0</v>
      </c>
      <c r="H19" s="291"/>
      <c r="I19" s="291">
        <f t="shared" ref="I19:I58" si="1">SUM(F19:H19)</f>
        <v>-10.5</v>
      </c>
      <c r="L19" s="572">
        <f>L15/L12</f>
        <v>2.6463633199821312E-3</v>
      </c>
    </row>
    <row r="20" spans="2:12" x14ac:dyDescent="0.3">
      <c r="B20" s="288" t="str">
        <f>'CF (Funds)'!B4</f>
        <v>Sinovation Disrupt Fund, L.P.</v>
      </c>
      <c r="C20" s="289" t="str">
        <f>VLOOKUP(B20,'S | 02'!$C$6:$J$39,2,0)</f>
        <v>Fund Investment</v>
      </c>
      <c r="D20" s="289" t="str">
        <f>VLOOKUP(B20,'S | 02'!$C$6:$J$39,5,0)</f>
        <v>G42</v>
      </c>
      <c r="E20" s="85">
        <f>'CF (Funds)'!C4</f>
        <v>44238</v>
      </c>
      <c r="F20" s="291">
        <f>'CF (Funds)'!D4</f>
        <v>4.2140269999999997</v>
      </c>
      <c r="G20" s="291">
        <f>'CF (Funds)'!E4</f>
        <v>0</v>
      </c>
      <c r="H20" s="291"/>
      <c r="I20" s="291">
        <f t="shared" si="1"/>
        <v>4.2140269999999997</v>
      </c>
    </row>
    <row r="21" spans="2:12" x14ac:dyDescent="0.3">
      <c r="B21" s="288" t="str">
        <f>'CF (Funds)'!B5</f>
        <v>Sinovation Disrupt Fund, L.P.</v>
      </c>
      <c r="C21" s="289" t="str">
        <f>VLOOKUP(B21,'S | 02'!$C$6:$J$39,2,0)</f>
        <v>Fund Investment</v>
      </c>
      <c r="D21" s="289" t="str">
        <f>VLOOKUP(B21,'S | 02'!$C$6:$J$39,5,0)</f>
        <v>G42</v>
      </c>
      <c r="E21" s="85">
        <f>'CF (Funds)'!C5</f>
        <v>44238</v>
      </c>
      <c r="F21" s="291">
        <f>'CF (Funds)'!D5</f>
        <v>0</v>
      </c>
      <c r="G21" s="291">
        <f>'CF (Funds)'!E5</f>
        <v>5.0448349999999996E-2</v>
      </c>
      <c r="H21" s="291"/>
      <c r="I21" s="291">
        <f t="shared" si="1"/>
        <v>5.0448349999999996E-2</v>
      </c>
    </row>
    <row r="22" spans="2:12" x14ac:dyDescent="0.3">
      <c r="B22" s="288" t="str">
        <f>'CF (Funds)'!B6</f>
        <v>Sinovation Disrupt Fund, L.P.</v>
      </c>
      <c r="C22" s="289" t="str">
        <f>VLOOKUP(B22,'S | 02'!$C$6:$J$39,2,0)</f>
        <v>Fund Investment</v>
      </c>
      <c r="D22" s="289" t="str">
        <f>VLOOKUP(B22,'S | 02'!$C$6:$J$39,5,0)</f>
        <v>G42</v>
      </c>
      <c r="E22" s="85">
        <f>'CF (Funds)'!C6</f>
        <v>44285</v>
      </c>
      <c r="F22" s="291">
        <f>'CF (Funds)'!D6</f>
        <v>-6.4337459999999993</v>
      </c>
      <c r="G22" s="291">
        <f>'CF (Funds)'!E6</f>
        <v>0</v>
      </c>
      <c r="H22" s="291"/>
      <c r="I22" s="291">
        <f t="shared" si="1"/>
        <v>-6.4337459999999993</v>
      </c>
    </row>
    <row r="23" spans="2:12" x14ac:dyDescent="0.3">
      <c r="B23" s="288" t="str">
        <f>'CF (Funds)'!B7</f>
        <v>Sinovation Disrupt Fund, L.P.</v>
      </c>
      <c r="C23" s="289" t="str">
        <f>VLOOKUP(B23,'S | 02'!$C$6:$J$39,2,0)</f>
        <v>Fund Investment</v>
      </c>
      <c r="D23" s="289" t="str">
        <f>VLOOKUP(B23,'S | 02'!$C$6:$J$39,5,0)</f>
        <v>G42</v>
      </c>
      <c r="E23" s="85">
        <f>'CF (Funds)'!C7</f>
        <v>44269</v>
      </c>
      <c r="F23" s="291">
        <f>'CF (Funds)'!D7</f>
        <v>1.1352073899999999</v>
      </c>
      <c r="G23" s="291">
        <f>'CF (Funds)'!E7</f>
        <v>0</v>
      </c>
      <c r="H23" s="291"/>
      <c r="I23" s="291">
        <f t="shared" si="1"/>
        <v>1.1352073899999999</v>
      </c>
    </row>
    <row r="24" spans="2:12" x14ac:dyDescent="0.3">
      <c r="B24" s="288" t="str">
        <f>'CF (Funds)'!B8</f>
        <v>Sinovation Disrupt Fund, L.P.</v>
      </c>
      <c r="C24" s="289" t="str">
        <f>VLOOKUP(B24,'S | 02'!$C$6:$J$39,2,0)</f>
        <v>Fund Investment</v>
      </c>
      <c r="D24" s="289" t="str">
        <f>VLOOKUP(B24,'S | 02'!$C$6:$J$39,5,0)</f>
        <v>G42</v>
      </c>
      <c r="E24" s="85">
        <f>'CF (Funds)'!C8</f>
        <v>44269</v>
      </c>
      <c r="F24" s="291">
        <f>'CF (Funds)'!D8</f>
        <v>0</v>
      </c>
      <c r="G24" s="291">
        <f>'CF (Funds)'!E8</f>
        <v>2.5899999999999999E-2</v>
      </c>
      <c r="H24" s="291"/>
      <c r="I24" s="291">
        <f t="shared" si="1"/>
        <v>2.5899999999999999E-2</v>
      </c>
    </row>
    <row r="25" spans="2:12" x14ac:dyDescent="0.3">
      <c r="B25" s="288" t="str">
        <f>'CF (Funds)'!B9</f>
        <v>Sinovation Disrupt Fund, L.P.</v>
      </c>
      <c r="C25" s="289" t="str">
        <f>VLOOKUP(B25,'S | 02'!$C$6:$J$39,2,0)</f>
        <v>Fund Investment</v>
      </c>
      <c r="D25" s="289" t="str">
        <f>VLOOKUP(B25,'S | 02'!$C$6:$J$39,5,0)</f>
        <v>G42</v>
      </c>
      <c r="E25" s="85">
        <f>'CF (Funds)'!C9</f>
        <v>44483</v>
      </c>
      <c r="F25" s="291">
        <f>'CF (Funds)'!D9</f>
        <v>-7.5671379999999999</v>
      </c>
      <c r="G25" s="291">
        <f>'CF (Funds)'!E9</f>
        <v>0</v>
      </c>
      <c r="H25" s="291"/>
      <c r="I25" s="291">
        <f t="shared" si="1"/>
        <v>-7.5671379999999999</v>
      </c>
    </row>
    <row r="26" spans="2:12" x14ac:dyDescent="0.3">
      <c r="B26" s="288" t="str">
        <f>'CF (Funds)'!B10</f>
        <v>Sinovation Disrupt Fund, L.P.</v>
      </c>
      <c r="C26" s="289" t="str">
        <f>VLOOKUP(B26,'S | 02'!$C$6:$J$39,2,0)</f>
        <v>Fund Investment</v>
      </c>
      <c r="D26" s="289" t="str">
        <f>VLOOKUP(B26,'S | 02'!$C$6:$J$39,5,0)</f>
        <v>G42</v>
      </c>
      <c r="E26" s="85">
        <f>'CF (Funds)'!C10</f>
        <v>44554</v>
      </c>
      <c r="F26" s="291">
        <f>'CF (Funds)'!D10</f>
        <v>-7.3850159999999994</v>
      </c>
      <c r="G26" s="291">
        <f>'CF (Funds)'!E10</f>
        <v>0</v>
      </c>
      <c r="H26" s="291"/>
      <c r="I26" s="291">
        <f t="shared" si="1"/>
        <v>-7.3850159999999994</v>
      </c>
    </row>
    <row r="27" spans="2:12" x14ac:dyDescent="0.3">
      <c r="B27" s="288" t="str">
        <f>'CF (Funds)'!B11</f>
        <v>Sinovation Disrupt Fund, L.P.</v>
      </c>
      <c r="C27" s="289" t="str">
        <f>VLOOKUP(B27,'S | 02'!$C$6:$J$39,2,0)</f>
        <v>Fund Investment</v>
      </c>
      <c r="D27" s="289" t="str">
        <f>VLOOKUP(B27,'S | 02'!$C$6:$J$39,5,0)</f>
        <v>G42</v>
      </c>
      <c r="E27" s="85">
        <f>'CF (Funds)'!C11</f>
        <v>44554</v>
      </c>
      <c r="F27" s="291">
        <f>'CF (Funds)'!D11</f>
        <v>4.0733456099999996</v>
      </c>
      <c r="G27" s="291">
        <f>'CF (Funds)'!E11</f>
        <v>0</v>
      </c>
      <c r="H27" s="291"/>
      <c r="I27" s="291">
        <f t="shared" si="1"/>
        <v>4.0733456099999996</v>
      </c>
    </row>
    <row r="28" spans="2:12" x14ac:dyDescent="0.3">
      <c r="B28" s="288" t="str">
        <f>'CF (Funds)'!B12</f>
        <v>Sinovation Disrupt Fund, L.P.</v>
      </c>
      <c r="C28" s="289" t="str">
        <f>VLOOKUP(B28,'S | 02'!$C$6:$J$39,2,0)</f>
        <v>Fund Investment</v>
      </c>
      <c r="D28" s="289" t="str">
        <f>VLOOKUP(B28,'S | 02'!$C$6:$J$39,5,0)</f>
        <v>G42</v>
      </c>
      <c r="E28" s="85">
        <f>'CF (Funds)'!C12</f>
        <v>44554</v>
      </c>
      <c r="F28" s="291">
        <f>'CF (Funds)'!D12</f>
        <v>0</v>
      </c>
      <c r="G28" s="291">
        <f>'CF (Funds)'!E12</f>
        <v>0.13969399999999998</v>
      </c>
      <c r="H28" s="291"/>
      <c r="I28" s="291">
        <f t="shared" si="1"/>
        <v>0.13969399999999998</v>
      </c>
    </row>
    <row r="29" spans="2:12" x14ac:dyDescent="0.3">
      <c r="B29" s="288" t="str">
        <f>'CF (Funds)'!B13</f>
        <v>Sinovation Disrupt Fund, L.P.</v>
      </c>
      <c r="C29" s="289" t="str">
        <f>VLOOKUP(B29,'S | 02'!$C$6:$J$39,2,0)</f>
        <v>Fund Investment</v>
      </c>
      <c r="D29" s="289" t="str">
        <f>VLOOKUP(B29,'S | 02'!$C$6:$J$39,5,0)</f>
        <v>G42</v>
      </c>
      <c r="E29" s="85">
        <f>'CF (Funds)'!C13</f>
        <v>44703</v>
      </c>
      <c r="F29" s="291">
        <f>'CF (Funds)'!D13</f>
        <v>5.6730739999999997</v>
      </c>
      <c r="G29" s="291">
        <f>'CF (Funds)'!E13</f>
        <v>0</v>
      </c>
      <c r="H29" s="291"/>
      <c r="I29" s="291">
        <f t="shared" si="1"/>
        <v>5.6730739999999997</v>
      </c>
    </row>
    <row r="30" spans="2:12" x14ac:dyDescent="0.3">
      <c r="B30" s="288" t="str">
        <f>'CF (Funds)'!B14</f>
        <v>Sinovation Disrupt Fund, L.P.</v>
      </c>
      <c r="C30" s="289" t="str">
        <f>VLOOKUP(B30,'S | 02'!$C$6:$J$39,2,0)</f>
        <v>Fund Investment</v>
      </c>
      <c r="D30" s="289" t="str">
        <f>VLOOKUP(B30,'S | 02'!$C$6:$J$39,5,0)</f>
        <v>G42</v>
      </c>
      <c r="E30" s="85">
        <f>'CF (Funds)'!C14</f>
        <v>44703</v>
      </c>
      <c r="F30" s="291">
        <f>'CF (Funds)'!D14</f>
        <v>0</v>
      </c>
      <c r="G30" s="291">
        <f>'CF (Funds)'!E14</f>
        <v>0.22778599999999999</v>
      </c>
      <c r="H30" s="291"/>
      <c r="I30" s="291">
        <f t="shared" si="1"/>
        <v>0.22778599999999999</v>
      </c>
    </row>
    <row r="31" spans="2:12" x14ac:dyDescent="0.3">
      <c r="B31" s="288" t="str">
        <f>'CF (Funds)'!B15</f>
        <v>Sinovation Disrupt Fund, L.P.</v>
      </c>
      <c r="C31" s="289" t="str">
        <f>VLOOKUP(B31,'S | 02'!$C$6:$J$39,2,0)</f>
        <v>Fund Investment</v>
      </c>
      <c r="D31" s="289" t="str">
        <f>VLOOKUP(B31,'S | 02'!$C$6:$J$39,5,0)</f>
        <v>G42</v>
      </c>
      <c r="E31" s="85">
        <f>'CF (Funds)'!C15</f>
        <v>44776</v>
      </c>
      <c r="F31" s="291">
        <f>'CF (Funds)'!D15</f>
        <v>-3.235493</v>
      </c>
      <c r="G31" s="291">
        <f>'CF (Funds)'!E15</f>
        <v>0</v>
      </c>
      <c r="H31" s="291"/>
      <c r="I31" s="291">
        <f t="shared" ref="I31" si="2">SUM(F31:H31)</f>
        <v>-3.235493</v>
      </c>
    </row>
    <row r="32" spans="2:12" x14ac:dyDescent="0.3">
      <c r="B32" s="288" t="str">
        <f>'CF (Funds)'!B16</f>
        <v>Sinovation Disrupt Fund, L.P.</v>
      </c>
      <c r="C32" s="289" t="str">
        <f>VLOOKUP(B32,'S | 02'!$C$6:$J$39,2,0)</f>
        <v>Fund Investment</v>
      </c>
      <c r="D32" s="289" t="str">
        <f>VLOOKUP(B32,'S | 02'!$C$6:$J$39,5,0)</f>
        <v>G42</v>
      </c>
      <c r="E32" s="85">
        <f>'CF (Funds)'!C16</f>
        <v>44960</v>
      </c>
      <c r="F32" s="291">
        <f>'CF (Funds)'!D16</f>
        <v>-2.6315279999999999</v>
      </c>
      <c r="G32" s="291">
        <f>'CF (Funds)'!E16</f>
        <v>0</v>
      </c>
      <c r="H32" s="291"/>
      <c r="I32" s="291">
        <f t="shared" ref="I32" si="3">SUM(F32:H32)</f>
        <v>-2.6315279999999999</v>
      </c>
    </row>
    <row r="33" spans="2:9" x14ac:dyDescent="0.3">
      <c r="B33" s="288" t="str">
        <f>'CF (Funds)'!B17</f>
        <v>Sinovation Disrupt Fund, L.P.</v>
      </c>
      <c r="C33" s="289" t="str">
        <f>VLOOKUP(B33,'S | 02'!$C$6:$J$39,2,0)</f>
        <v>Fund Investment</v>
      </c>
      <c r="D33" s="289" t="str">
        <f>VLOOKUP(B33,'S | 02'!$C$6:$J$39,5,0)</f>
        <v>G42</v>
      </c>
      <c r="E33" s="85">
        <f>'CF (Funds)'!C17</f>
        <v>45085</v>
      </c>
      <c r="F33" s="291">
        <f>'CF (Funds)'!D17</f>
        <v>1.9125570000000001</v>
      </c>
      <c r="G33" s="291">
        <f>'CF (Funds)'!E17</f>
        <v>0</v>
      </c>
      <c r="H33" s="291"/>
      <c r="I33" s="291">
        <f t="shared" ref="I33" si="4">SUM(F33:H33)</f>
        <v>1.9125570000000001</v>
      </c>
    </row>
    <row r="34" spans="2:9" x14ac:dyDescent="0.3">
      <c r="B34" s="292" t="str">
        <f>'CF (Funds)'!B18</f>
        <v>North Summit Capital Fund</v>
      </c>
      <c r="C34" s="293" t="str">
        <f>VLOOKUP(B34,'S | 02'!$C$6:$J$39,2,0)</f>
        <v>Fund Investment</v>
      </c>
      <c r="D34" s="293" t="str">
        <f>VLOOKUP(B34,'S | 02'!$C$6:$J$39,5,0)</f>
        <v>G42</v>
      </c>
      <c r="E34" s="464">
        <f>'CF (Funds)'!C18</f>
        <v>43665</v>
      </c>
      <c r="F34" s="295">
        <f>'CF (Funds)'!D18</f>
        <v>-3</v>
      </c>
      <c r="G34" s="295">
        <f>'CF (Funds)'!E18</f>
        <v>0</v>
      </c>
      <c r="H34" s="295"/>
      <c r="I34" s="295">
        <f t="shared" si="1"/>
        <v>-3</v>
      </c>
    </row>
    <row r="35" spans="2:9" x14ac:dyDescent="0.3">
      <c r="B35" s="292" t="str">
        <f>'CF (Funds)'!B19</f>
        <v>North Summit Capital Fund</v>
      </c>
      <c r="C35" s="293" t="str">
        <f>VLOOKUP(B35,'S | 02'!$C$6:$J$39,2,0)</f>
        <v>Fund Investment</v>
      </c>
      <c r="D35" s="293" t="str">
        <f>VLOOKUP(B35,'S | 02'!$C$6:$J$39,5,0)</f>
        <v>G42</v>
      </c>
      <c r="E35" s="464">
        <f>'CF (Funds)'!C19</f>
        <v>43983</v>
      </c>
      <c r="F35" s="295">
        <f>'CF (Funds)'!D19</f>
        <v>-4.4849999999999994</v>
      </c>
      <c r="G35" s="295">
        <f>'CF (Funds)'!E19</f>
        <v>0</v>
      </c>
      <c r="H35" s="295"/>
      <c r="I35" s="295">
        <f t="shared" si="1"/>
        <v>-4.4849999999999994</v>
      </c>
    </row>
    <row r="36" spans="2:9" x14ac:dyDescent="0.3">
      <c r="B36" s="292" t="str">
        <f>'CF (Funds)'!B20</f>
        <v>North Summit Capital Fund</v>
      </c>
      <c r="C36" s="293" t="str">
        <f>VLOOKUP(B36,'S | 02'!$C$6:$J$39,2,0)</f>
        <v>Fund Investment</v>
      </c>
      <c r="D36" s="293" t="str">
        <f>VLOOKUP(B36,'S | 02'!$C$6:$J$39,5,0)</f>
        <v>G42</v>
      </c>
      <c r="E36" s="464">
        <f>'CF (Funds)'!C20</f>
        <v>43879</v>
      </c>
      <c r="F36" s="295">
        <f>'CF (Funds)'!D20</f>
        <v>-9.5097500000000004</v>
      </c>
      <c r="G36" s="295">
        <f>'CF (Funds)'!E20</f>
        <v>0</v>
      </c>
      <c r="H36" s="295"/>
      <c r="I36" s="295">
        <f t="shared" si="1"/>
        <v>-9.5097500000000004</v>
      </c>
    </row>
    <row r="37" spans="2:9" x14ac:dyDescent="0.3">
      <c r="B37" s="292" t="str">
        <f>'CF (Funds)'!B21</f>
        <v>North Summit Capital Fund</v>
      </c>
      <c r="C37" s="293" t="str">
        <f>VLOOKUP(B37,'S | 02'!$C$6:$J$39,2,0)</f>
        <v>Fund Investment</v>
      </c>
      <c r="D37" s="293" t="str">
        <f>VLOOKUP(B37,'S | 02'!$C$6:$J$39,5,0)</f>
        <v>G42</v>
      </c>
      <c r="E37" s="464">
        <f>'CF (Funds)'!C21</f>
        <v>43934</v>
      </c>
      <c r="F37" s="295">
        <f>'CF (Funds)'!D21</f>
        <v>-41.3</v>
      </c>
      <c r="G37" s="295">
        <f>'CF (Funds)'!E21</f>
        <v>0</v>
      </c>
      <c r="H37" s="295"/>
      <c r="I37" s="295">
        <f t="shared" si="1"/>
        <v>-41.3</v>
      </c>
    </row>
    <row r="38" spans="2:9" x14ac:dyDescent="0.3">
      <c r="B38" s="292" t="str">
        <f>'CF (Funds)'!B22</f>
        <v>North Summit Capital Fund</v>
      </c>
      <c r="C38" s="293" t="str">
        <f>VLOOKUP(B38,'S | 02'!$C$6:$J$39,2,0)</f>
        <v>Fund Investment</v>
      </c>
      <c r="D38" s="293" t="str">
        <f>VLOOKUP(B38,'S | 02'!$C$6:$J$39,5,0)</f>
        <v>G42</v>
      </c>
      <c r="E38" s="464">
        <f>'CF (Funds)'!C22</f>
        <v>44151</v>
      </c>
      <c r="F38" s="295">
        <f>'CF (Funds)'!D22</f>
        <v>9.9499999999999993</v>
      </c>
      <c r="G38" s="295">
        <f>'CF (Funds)'!E22</f>
        <v>0</v>
      </c>
      <c r="H38" s="295"/>
      <c r="I38" s="295">
        <f t="shared" si="1"/>
        <v>9.9499999999999993</v>
      </c>
    </row>
    <row r="39" spans="2:9" x14ac:dyDescent="0.3">
      <c r="B39" s="292" t="str">
        <f>'CF (Funds)'!B23</f>
        <v>North Summit Capital Fund</v>
      </c>
      <c r="C39" s="293" t="str">
        <f>VLOOKUP(B39,'S | 02'!$C$6:$J$39,2,0)</f>
        <v>Fund Investment</v>
      </c>
      <c r="D39" s="293" t="str">
        <f>VLOOKUP(B39,'S | 02'!$C$6:$J$39,5,0)</f>
        <v>G42</v>
      </c>
      <c r="E39" s="464">
        <f>'CF (Funds)'!C23</f>
        <v>44151</v>
      </c>
      <c r="F39" s="295">
        <f>'CF (Funds)'!D23</f>
        <v>-10.455</v>
      </c>
      <c r="G39" s="295">
        <f>'CF (Funds)'!E23</f>
        <v>0</v>
      </c>
      <c r="H39" s="295"/>
      <c r="I39" s="295">
        <f t="shared" si="1"/>
        <v>-10.455</v>
      </c>
    </row>
    <row r="40" spans="2:9" x14ac:dyDescent="0.3">
      <c r="B40" s="292" t="str">
        <f>'CF (Funds)'!B24</f>
        <v>North Summit Capital Fund</v>
      </c>
      <c r="C40" s="293" t="str">
        <f>VLOOKUP(B40,'S | 02'!$C$6:$J$39,2,0)</f>
        <v>Fund Investment</v>
      </c>
      <c r="D40" s="293" t="str">
        <f>VLOOKUP(B40,'S | 02'!$C$6:$J$39,5,0)</f>
        <v>G42</v>
      </c>
      <c r="E40" s="464">
        <f>'CF (Funds)'!C24</f>
        <v>44196</v>
      </c>
      <c r="F40" s="295">
        <f>'CF (Funds)'!D24</f>
        <v>4.9749999999999996</v>
      </c>
      <c r="G40" s="295">
        <f>'CF (Funds)'!E24</f>
        <v>0</v>
      </c>
      <c r="H40" s="295"/>
      <c r="I40" s="295">
        <f t="shared" si="1"/>
        <v>4.9749999999999996</v>
      </c>
    </row>
    <row r="41" spans="2:9" x14ac:dyDescent="0.3">
      <c r="B41" s="292" t="str">
        <f>'CF (Funds)'!B25</f>
        <v>North Summit Capital Fund</v>
      </c>
      <c r="C41" s="293" t="str">
        <f>VLOOKUP(B41,'S | 02'!$C$6:$J$39,2,0)</f>
        <v>Fund Investment</v>
      </c>
      <c r="D41" s="293" t="str">
        <f>VLOOKUP(B41,'S | 02'!$C$6:$J$39,5,0)</f>
        <v>G42</v>
      </c>
      <c r="E41" s="464">
        <f>'CF (Funds)'!C25</f>
        <v>44196</v>
      </c>
      <c r="F41" s="295">
        <f>'CF (Funds)'!D25</f>
        <v>-3.4522930000000001</v>
      </c>
      <c r="G41" s="295">
        <f>'CF (Funds)'!E25</f>
        <v>0</v>
      </c>
      <c r="H41" s="295"/>
      <c r="I41" s="295">
        <f t="shared" si="1"/>
        <v>-3.4522930000000001</v>
      </c>
    </row>
    <row r="42" spans="2:9" x14ac:dyDescent="0.3">
      <c r="B42" s="292" t="str">
        <f>'CF (Funds)'!B26</f>
        <v>North Summit Capital Fund</v>
      </c>
      <c r="C42" s="293" t="str">
        <f>VLOOKUP(B42,'S | 02'!$C$6:$J$39,2,0)</f>
        <v>Fund Investment</v>
      </c>
      <c r="D42" s="293" t="str">
        <f>VLOOKUP(B42,'S | 02'!$C$6:$J$39,5,0)</f>
        <v>G42</v>
      </c>
      <c r="E42" s="464">
        <f>'CF (Funds)'!C26</f>
        <v>44196</v>
      </c>
      <c r="F42" s="295">
        <f>'CF (Funds)'!D26</f>
        <v>0</v>
      </c>
      <c r="G42" s="295">
        <f>'CF (Funds)'!E26</f>
        <v>0.58290199999999992</v>
      </c>
      <c r="H42" s="295"/>
      <c r="I42" s="295">
        <f t="shared" si="1"/>
        <v>0.58290199999999992</v>
      </c>
    </row>
    <row r="43" spans="2:9" x14ac:dyDescent="0.3">
      <c r="B43" s="292" t="str">
        <f>'CF (Funds)'!B27</f>
        <v>North Summit Capital Fund</v>
      </c>
      <c r="C43" s="293" t="str">
        <f>VLOOKUP(B43,'S | 02'!$C$6:$J$39,2,0)</f>
        <v>Fund Investment</v>
      </c>
      <c r="D43" s="293" t="str">
        <f>VLOOKUP(B43,'S | 02'!$C$6:$J$39,5,0)</f>
        <v>G42</v>
      </c>
      <c r="E43" s="464">
        <f>'CF (Funds)'!C27</f>
        <v>44370</v>
      </c>
      <c r="F43" s="295">
        <f>'CF (Funds)'!D27</f>
        <v>-5.97</v>
      </c>
      <c r="G43" s="295">
        <f>'CF (Funds)'!E27</f>
        <v>0</v>
      </c>
      <c r="H43" s="295"/>
      <c r="I43" s="295">
        <f t="shared" si="1"/>
        <v>-5.97</v>
      </c>
    </row>
    <row r="44" spans="2:9" x14ac:dyDescent="0.3">
      <c r="B44" s="292" t="str">
        <f>'CF (Funds)'!B28</f>
        <v>North Summit Capital Fund</v>
      </c>
      <c r="C44" s="293" t="str">
        <f>VLOOKUP(B44,'S | 02'!$C$6:$J$39,2,0)</f>
        <v>Fund Investment</v>
      </c>
      <c r="D44" s="293" t="str">
        <f>VLOOKUP(B44,'S | 02'!$C$6:$J$39,5,0)</f>
        <v>G42</v>
      </c>
      <c r="E44" s="464">
        <f>'CF (Funds)'!C28</f>
        <v>44400</v>
      </c>
      <c r="F44" s="295">
        <f>'CF (Funds)'!D28</f>
        <v>-0.75</v>
      </c>
      <c r="G44" s="295">
        <f>'CF (Funds)'!E28</f>
        <v>0</v>
      </c>
      <c r="H44" s="295"/>
      <c r="I44" s="295">
        <f t="shared" si="1"/>
        <v>-0.75</v>
      </c>
    </row>
    <row r="45" spans="2:9" x14ac:dyDescent="0.3">
      <c r="B45" s="292" t="str">
        <f>'CF (Funds)'!B29</f>
        <v>North Summit Capital Fund</v>
      </c>
      <c r="C45" s="293" t="str">
        <f>VLOOKUP(B45,'S | 02'!$C$6:$J$39,2,0)</f>
        <v>Fund Investment</v>
      </c>
      <c r="D45" s="293" t="str">
        <f>VLOOKUP(B45,'S | 02'!$C$6:$J$39,5,0)</f>
        <v>G42</v>
      </c>
      <c r="E45" s="464">
        <f>'CF (Funds)'!C29</f>
        <v>44400</v>
      </c>
      <c r="F45" s="295">
        <f>'CF (Funds)'!D29</f>
        <v>0</v>
      </c>
      <c r="G45" s="295">
        <f>'CF (Funds)'!E29</f>
        <v>0.44505899999999998</v>
      </c>
      <c r="H45" s="295"/>
      <c r="I45" s="295">
        <f t="shared" si="1"/>
        <v>0.44505899999999998</v>
      </c>
    </row>
    <row r="46" spans="2:9" x14ac:dyDescent="0.3">
      <c r="B46" s="292" t="str">
        <f>'CF (Funds)'!B30</f>
        <v>North Summit Capital Fund</v>
      </c>
      <c r="C46" s="293" t="str">
        <f>VLOOKUP(B46,'S | 02'!$C$6:$J$39,2,0)</f>
        <v>Fund Investment</v>
      </c>
      <c r="D46" s="293" t="str">
        <f>VLOOKUP(B46,'S | 02'!$C$6:$J$39,5,0)</f>
        <v>G42</v>
      </c>
      <c r="E46" s="464">
        <f>'CF (Funds)'!C30</f>
        <v>44554</v>
      </c>
      <c r="F46" s="295">
        <f>'CF (Funds)'!D30</f>
        <v>1.7823899999999999</v>
      </c>
      <c r="G46" s="295">
        <f>'CF (Funds)'!E30</f>
        <v>0</v>
      </c>
      <c r="H46" s="295"/>
      <c r="I46" s="295">
        <f t="shared" si="1"/>
        <v>1.7823899999999999</v>
      </c>
    </row>
    <row r="47" spans="2:9" x14ac:dyDescent="0.3">
      <c r="B47" s="292" t="str">
        <f>'CF (Funds)'!B31</f>
        <v>North Summit Capital Fund</v>
      </c>
      <c r="C47" s="293" t="str">
        <f>VLOOKUP(B47,'S | 02'!$C$6:$J$39,2,0)</f>
        <v>Fund Investment</v>
      </c>
      <c r="D47" s="293" t="str">
        <f>VLOOKUP(B47,'S | 02'!$C$6:$J$39,5,0)</f>
        <v>G42</v>
      </c>
      <c r="E47" s="464">
        <f>'CF (Funds)'!C31</f>
        <v>44676</v>
      </c>
      <c r="F47" s="295">
        <f>'CF (Funds)'!D31</f>
        <v>-21</v>
      </c>
      <c r="G47" s="295">
        <f>'CF (Funds)'!E31</f>
        <v>0</v>
      </c>
      <c r="H47" s="295"/>
      <c r="I47" s="295">
        <f t="shared" si="1"/>
        <v>-21</v>
      </c>
    </row>
    <row r="48" spans="2:9" x14ac:dyDescent="0.3">
      <c r="B48" s="288" t="str">
        <f>'CF (Funds)'!B32</f>
        <v>New Space Capital Fund I</v>
      </c>
      <c r="C48" s="289" t="str">
        <f>VLOOKUP(B48,'S | 02'!$C$6:$J$39,2,0)</f>
        <v>Fund Investment</v>
      </c>
      <c r="D48" s="289" t="str">
        <f>VLOOKUP(B48,'S | 02'!$C$6:$J$39,5,0)</f>
        <v>G42</v>
      </c>
      <c r="E48" s="465">
        <f>'CF (Funds)'!C32</f>
        <v>44087</v>
      </c>
      <c r="F48" s="291">
        <f>'CF (Funds)'!D32</f>
        <v>-20.917552997000001</v>
      </c>
      <c r="G48" s="291">
        <f>'CF (Funds)'!E32</f>
        <v>0</v>
      </c>
      <c r="H48" s="291"/>
      <c r="I48" s="291">
        <f t="shared" si="1"/>
        <v>-20.917552997000001</v>
      </c>
    </row>
    <row r="49" spans="2:9" x14ac:dyDescent="0.3">
      <c r="B49" s="288" t="str">
        <f>'CF (Funds)'!B33</f>
        <v>New Space Capital Fund I</v>
      </c>
      <c r="C49" s="289" t="str">
        <f>VLOOKUP(B49,'S | 02'!$C$6:$J$39,2,0)</f>
        <v>Fund Investment</v>
      </c>
      <c r="D49" s="289" t="str">
        <f>VLOOKUP(B49,'S | 02'!$C$6:$J$39,5,0)</f>
        <v>G42</v>
      </c>
      <c r="E49" s="465">
        <f>'CF (Funds)'!C33</f>
        <v>44287</v>
      </c>
      <c r="F49" s="291">
        <f>'CF (Funds)'!D33</f>
        <v>-0.21103182000000001</v>
      </c>
      <c r="G49" s="291">
        <f>'CF (Funds)'!E33</f>
        <v>0</v>
      </c>
      <c r="H49" s="291"/>
      <c r="I49" s="291">
        <f t="shared" si="1"/>
        <v>-0.21103182000000001</v>
      </c>
    </row>
    <row r="50" spans="2:9" x14ac:dyDescent="0.3">
      <c r="B50" s="288" t="str">
        <f>'CF (Funds)'!B34</f>
        <v>New Space Capital Fund I</v>
      </c>
      <c r="C50" s="289" t="str">
        <f>VLOOKUP(B50,'S | 02'!$C$6:$J$39,2,0)</f>
        <v>Fund Investment</v>
      </c>
      <c r="D50" s="289" t="str">
        <f>VLOOKUP(B50,'S | 02'!$C$6:$J$39,5,0)</f>
        <v>G42</v>
      </c>
      <c r="E50" s="465">
        <f>'CF (Funds)'!C34</f>
        <v>44442</v>
      </c>
      <c r="F50" s="291">
        <f>'CF (Funds)'!D34</f>
        <v>-0.23965473139999999</v>
      </c>
      <c r="G50" s="291">
        <f>'CF (Funds)'!E34</f>
        <v>0</v>
      </c>
      <c r="H50" s="291"/>
      <c r="I50" s="291">
        <f t="shared" si="1"/>
        <v>-0.23965473139999999</v>
      </c>
    </row>
    <row r="51" spans="2:9" x14ac:dyDescent="0.3">
      <c r="B51" s="288" t="str">
        <f>'CF (Funds)'!B35</f>
        <v>New Space Capital Fund I</v>
      </c>
      <c r="C51" s="289" t="str">
        <f>VLOOKUP(B51,'S | 02'!$C$6:$J$39,2,0)</f>
        <v>Fund Investment</v>
      </c>
      <c r="D51" s="289" t="str">
        <f>VLOOKUP(B51,'S | 02'!$C$6:$J$39,5,0)</f>
        <v>G42</v>
      </c>
      <c r="E51" s="465">
        <f>'CF (Funds)'!C35</f>
        <v>44623</v>
      </c>
      <c r="F51" s="291">
        <f>'CF (Funds)'!D35</f>
        <v>-0.25893584940000003</v>
      </c>
      <c r="G51" s="291">
        <f>'CF (Funds)'!E35</f>
        <v>0</v>
      </c>
      <c r="H51" s="291"/>
      <c r="I51" s="291">
        <f t="shared" si="1"/>
        <v>-0.25893584940000003</v>
      </c>
    </row>
    <row r="52" spans="2:9" x14ac:dyDescent="0.3">
      <c r="B52" s="288" t="str">
        <f>'CF (Funds)'!B36</f>
        <v>New Space Capital Fund I</v>
      </c>
      <c r="C52" s="289" t="str">
        <f>VLOOKUP(B52,'S | 02'!$C$6:$J$39,2,0)</f>
        <v>Fund Investment</v>
      </c>
      <c r="D52" s="289" t="str">
        <f>VLOOKUP(B52,'S | 02'!$C$6:$J$39,5,0)</f>
        <v>G42</v>
      </c>
      <c r="E52" s="465">
        <f>'CF (Funds)'!C36</f>
        <v>44784</v>
      </c>
      <c r="F52" s="291">
        <f>'CF (Funds)'!D36</f>
        <v>1.5224656599999999E-2</v>
      </c>
      <c r="G52" s="291">
        <f>'CF (Funds)'!E36</f>
        <v>0</v>
      </c>
      <c r="H52" s="291"/>
      <c r="I52" s="291">
        <f t="shared" si="1"/>
        <v>1.5224656599999999E-2</v>
      </c>
    </row>
    <row r="53" spans="2:9" x14ac:dyDescent="0.3">
      <c r="B53" s="288" t="str">
        <f>'CF (Funds)'!B37</f>
        <v>New Space Capital Fund I</v>
      </c>
      <c r="C53" s="289" t="str">
        <f>VLOOKUP(B53,'S | 02'!$C$6:$J$39,2,0)</f>
        <v>Fund Investment</v>
      </c>
      <c r="D53" s="289" t="str">
        <f>VLOOKUP(B53,'S | 02'!$C$6:$J$39,5,0)</f>
        <v>G42</v>
      </c>
      <c r="E53" s="465">
        <f>'CF (Funds)'!C37</f>
        <v>44956</v>
      </c>
      <c r="F53" s="291">
        <f>'CF (Funds)'!D37</f>
        <v>10.553916089669999</v>
      </c>
      <c r="G53" s="291">
        <f>'CF (Funds)'!E37</f>
        <v>0</v>
      </c>
      <c r="H53" s="291"/>
      <c r="I53" s="291">
        <f t="shared" ref="I53:I54" si="5">SUM(F53:H53)</f>
        <v>10.553916089669999</v>
      </c>
    </row>
    <row r="54" spans="2:9" x14ac:dyDescent="0.3">
      <c r="B54" s="288" t="str">
        <f>'CF (Funds)'!B38</f>
        <v>New Space Capital Fund I</v>
      </c>
      <c r="C54" s="289" t="str">
        <f>VLOOKUP(B54,'S | 02'!$C$6:$J$39,2,0)</f>
        <v>Fund Investment</v>
      </c>
      <c r="D54" s="289" t="str">
        <f>VLOOKUP(B54,'S | 02'!$C$6:$J$39,5,0)</f>
        <v>G42</v>
      </c>
      <c r="E54" s="465">
        <f>'CF (Funds)'!C38</f>
        <v>44956</v>
      </c>
      <c r="F54" s="291">
        <f>'CF (Funds)'!D38</f>
        <v>0</v>
      </c>
      <c r="G54" s="291">
        <f>'CF (Funds)'!E38</f>
        <v>2.9557743514081998</v>
      </c>
      <c r="H54" s="291"/>
      <c r="I54" s="291">
        <f t="shared" si="5"/>
        <v>2.9557743514081998</v>
      </c>
    </row>
    <row r="55" spans="2:9" x14ac:dyDescent="0.3">
      <c r="B55" s="288" t="str">
        <f>'CF (Funds)'!B39</f>
        <v>New Space Capital GP Com SCSp</v>
      </c>
      <c r="C55" s="289" t="str">
        <f>VLOOKUP(B55,'S | 02'!$C$6:$J$39,2,0)</f>
        <v>Fund Investment</v>
      </c>
      <c r="D55" s="289" t="str">
        <f>VLOOKUP(B55,'S | 02'!$C$6:$J$39,5,0)</f>
        <v>G42</v>
      </c>
      <c r="E55" s="465">
        <f>'CF (Funds)'!C39</f>
        <v>44087</v>
      </c>
      <c r="F55" s="291">
        <f>'CF (Funds)'!D39</f>
        <v>-2.7058823529411762</v>
      </c>
      <c r="G55" s="291">
        <f>'CF (Funds)'!E39</f>
        <v>0</v>
      </c>
      <c r="H55" s="291"/>
      <c r="I55" s="291">
        <f t="shared" si="1"/>
        <v>-2.7058823529411762</v>
      </c>
    </row>
    <row r="56" spans="2:9" x14ac:dyDescent="0.3">
      <c r="B56" s="292" t="str">
        <f>'CF (Funds)'!B40</f>
        <v>Acies Investments Fund I, L.P.</v>
      </c>
      <c r="C56" s="293" t="str">
        <f>VLOOKUP(B56,'S | 02'!$C$6:$J$39,2,0)</f>
        <v>Fund Investment</v>
      </c>
      <c r="D56" s="293" t="str">
        <f>VLOOKUP(B56,'S | 02'!$C$6:$J$39,5,0)</f>
        <v>G42</v>
      </c>
      <c r="E56" s="464">
        <f>'CF (Funds)'!C40</f>
        <v>44540</v>
      </c>
      <c r="F56" s="295">
        <f>'CF (Funds)'!D40</f>
        <v>-2.8053124999999999</v>
      </c>
      <c r="G56" s="295">
        <f>'CF (Funds)'!E40</f>
        <v>0</v>
      </c>
      <c r="H56" s="295"/>
      <c r="I56" s="295">
        <f t="shared" si="1"/>
        <v>-2.8053124999999999</v>
      </c>
    </row>
    <row r="57" spans="2:9" x14ac:dyDescent="0.3">
      <c r="B57" s="292" t="str">
        <f>'CF (Funds)'!B41</f>
        <v>Acies Investments Fund I, L.P.</v>
      </c>
      <c r="C57" s="293" t="str">
        <f>VLOOKUP(B57,'S | 02'!$C$6:$J$39,2,0)</f>
        <v>Fund Investment</v>
      </c>
      <c r="D57" s="293" t="str">
        <f>VLOOKUP(B57,'S | 02'!$C$6:$J$39,5,0)</f>
        <v>G42</v>
      </c>
      <c r="E57" s="464">
        <f>'CF (Funds)'!C41</f>
        <v>44602</v>
      </c>
      <c r="F57" s="295">
        <f>'CF (Funds)'!D41</f>
        <v>-3.4074999999999998</v>
      </c>
      <c r="G57" s="295">
        <f>'CF (Funds)'!E41</f>
        <v>0</v>
      </c>
      <c r="H57" s="295"/>
      <c r="I57" s="295">
        <f t="shared" si="1"/>
        <v>-3.4074999999999998</v>
      </c>
    </row>
    <row r="58" spans="2:9" x14ac:dyDescent="0.3">
      <c r="B58" s="292" t="str">
        <f>'CF (Funds)'!B42</f>
        <v>Acies Investments Fund I, L.P.</v>
      </c>
      <c r="C58" s="293" t="str">
        <f>VLOOKUP(B58,'S | 02'!$C$6:$J$39,2,0)</f>
        <v>Fund Investment</v>
      </c>
      <c r="D58" s="293" t="str">
        <f>VLOOKUP(B58,'S | 02'!$C$6:$J$39,5,0)</f>
        <v>G42</v>
      </c>
      <c r="E58" s="464">
        <f>'CF (Funds)'!C42</f>
        <v>44683</v>
      </c>
      <c r="F58" s="295">
        <f>'CF (Funds)'!D42</f>
        <v>-1.0257749999999999</v>
      </c>
      <c r="G58" s="295">
        <f>'CF (Funds)'!E42</f>
        <v>0</v>
      </c>
      <c r="H58" s="295"/>
      <c r="I58" s="295">
        <f t="shared" si="1"/>
        <v>-1.0257749999999999</v>
      </c>
    </row>
    <row r="59" spans="2:9" x14ac:dyDescent="0.3">
      <c r="B59" s="292" t="str">
        <f>'CF (Funds)'!B43</f>
        <v>Acies Investments Fund I, L.P.</v>
      </c>
      <c r="C59" s="293" t="str">
        <f>VLOOKUP(B59,'S | 02'!$C$6:$J$39,2,0)</f>
        <v>Fund Investment</v>
      </c>
      <c r="D59" s="293" t="str">
        <f>VLOOKUP(B59,'S | 02'!$C$6:$J$39,5,0)</f>
        <v>G42</v>
      </c>
      <c r="E59" s="464">
        <f>'CF (Funds)'!C43</f>
        <v>44707</v>
      </c>
      <c r="F59" s="295">
        <f>'CF (Funds)'!D43</f>
        <v>-3.3882749999999997</v>
      </c>
      <c r="G59" s="295">
        <f>'CF (Funds)'!E43</f>
        <v>0</v>
      </c>
      <c r="H59" s="295"/>
      <c r="I59" s="295">
        <f t="shared" ref="I59:I68" si="6">SUM(F59:H59)</f>
        <v>-3.3882749999999997</v>
      </c>
    </row>
    <row r="60" spans="2:9" x14ac:dyDescent="0.3">
      <c r="B60" s="292" t="str">
        <f>'CF (Funds)'!B44</f>
        <v>Acies Investments Fund I, L.P.</v>
      </c>
      <c r="C60" s="293" t="str">
        <f>VLOOKUP(B60,'S | 02'!$C$6:$J$39,2,0)</f>
        <v>Fund Investment</v>
      </c>
      <c r="D60" s="293" t="str">
        <f>VLOOKUP(B60,'S | 02'!$C$6:$J$39,5,0)</f>
        <v>G42</v>
      </c>
      <c r="E60" s="464">
        <f>'CF (Funds)'!C44</f>
        <v>44875</v>
      </c>
      <c r="F60" s="295">
        <f>'CF (Funds)'!D44</f>
        <v>-3.3882749999999997</v>
      </c>
      <c r="G60" s="295">
        <f>'CF (Funds)'!E44</f>
        <v>0</v>
      </c>
      <c r="H60" s="295"/>
      <c r="I60" s="295">
        <f t="shared" si="6"/>
        <v>-3.3882749999999997</v>
      </c>
    </row>
    <row r="61" spans="2:9" x14ac:dyDescent="0.3">
      <c r="B61" s="288" t="s">
        <v>25</v>
      </c>
      <c r="C61" s="289" t="str">
        <f>VLOOKUP(B61,'S | 02'!$C$6:$J$39,2,0)</f>
        <v>Direct Investment</v>
      </c>
      <c r="D61" s="289" t="str">
        <f>VLOOKUP(B61,'S | 02'!$C$6:$J$39,5,0)</f>
        <v>G42</v>
      </c>
      <c r="E61" s="465">
        <f t="shared" ref="E61:E68" si="7">$E$4</f>
        <v>45138</v>
      </c>
      <c r="F61" s="291"/>
      <c r="G61" s="291"/>
      <c r="H61" s="291">
        <f>VLOOKUP(B61,NAV!$B$9:$E$43,4,0)</f>
        <v>300</v>
      </c>
      <c r="I61" s="291">
        <f t="shared" si="6"/>
        <v>300</v>
      </c>
    </row>
    <row r="62" spans="2:9" x14ac:dyDescent="0.3">
      <c r="B62" s="288" t="s">
        <v>132</v>
      </c>
      <c r="C62" s="289" t="str">
        <f>VLOOKUP(B62,'S | 02'!$C$6:$J$39,2,0)</f>
        <v>Direct Investment</v>
      </c>
      <c r="D62" s="289" t="str">
        <f>VLOOKUP(B62,'S | 02'!$C$6:$J$39,5,0)</f>
        <v>G42</v>
      </c>
      <c r="E62" s="465">
        <f t="shared" si="7"/>
        <v>45138</v>
      </c>
      <c r="F62" s="291"/>
      <c r="G62" s="291"/>
      <c r="H62" s="291">
        <f>VLOOKUP(B62,NAV!$B$9:$E$43,4,0)</f>
        <v>7.0626663199999999</v>
      </c>
      <c r="I62" s="291">
        <f t="shared" si="6"/>
        <v>7.0626663199999999</v>
      </c>
    </row>
    <row r="63" spans="2:9" x14ac:dyDescent="0.3">
      <c r="B63" s="288" t="s">
        <v>44</v>
      </c>
      <c r="C63" s="289" t="str">
        <f>VLOOKUP(B63,'S | 02'!$C$6:$J$39,2,0)</f>
        <v>Direct Investment</v>
      </c>
      <c r="D63" s="289" t="str">
        <f>VLOOKUP(B63,'S | 02'!$C$6:$J$39,5,0)</f>
        <v>G42 3</v>
      </c>
      <c r="E63" s="465">
        <f t="shared" si="7"/>
        <v>45138</v>
      </c>
      <c r="F63" s="291"/>
      <c r="G63" s="291"/>
      <c r="H63" s="291">
        <f>VLOOKUP(B63,NAV!$B$9:$E$43,4,0)</f>
        <v>817.18905035787873</v>
      </c>
      <c r="I63" s="291">
        <f t="shared" si="6"/>
        <v>817.18905035787873</v>
      </c>
    </row>
    <row r="64" spans="2:9" x14ac:dyDescent="0.3">
      <c r="B64" s="288" t="s">
        <v>171</v>
      </c>
      <c r="C64" s="289" t="str">
        <f>VLOOKUP(B64,'S | 02'!$C$6:$J$39,2,0)</f>
        <v>Fund Investment</v>
      </c>
      <c r="D64" s="289" t="str">
        <f>VLOOKUP(B64,'S | 02'!$C$6:$J$39,5,0)</f>
        <v>G42</v>
      </c>
      <c r="E64" s="465">
        <f t="shared" si="7"/>
        <v>45138</v>
      </c>
      <c r="F64" s="291"/>
      <c r="G64" s="291"/>
      <c r="H64" s="291">
        <f>VLOOKUP(B64,NAV!$B$9:$E$43,4,0)</f>
        <v>13.390399107670001</v>
      </c>
      <c r="I64" s="291">
        <f t="shared" si="6"/>
        <v>13.390399107670001</v>
      </c>
    </row>
    <row r="65" spans="2:9" x14ac:dyDescent="0.3">
      <c r="B65" s="288" t="s">
        <v>538</v>
      </c>
      <c r="C65" s="289" t="str">
        <f>VLOOKUP(B65,'S | 02'!$C$6:$J$39,2,0)</f>
        <v>Fund Investment</v>
      </c>
      <c r="D65" s="289" t="str">
        <f>VLOOKUP(B65,'S | 02'!$C$6:$J$39,5,0)</f>
        <v>G42</v>
      </c>
      <c r="E65" s="465">
        <f t="shared" si="7"/>
        <v>45138</v>
      </c>
      <c r="F65" s="291"/>
      <c r="G65" s="291"/>
      <c r="H65" s="291">
        <f>VLOOKUP(B65,NAV!$B$9:$E$43,4,0)</f>
        <v>3.2766079856035097</v>
      </c>
      <c r="I65" s="291">
        <f t="shared" si="6"/>
        <v>3.2766079856035097</v>
      </c>
    </row>
    <row r="66" spans="2:9" x14ac:dyDescent="0.3">
      <c r="B66" s="288" t="s">
        <v>1</v>
      </c>
      <c r="C66" s="289" t="str">
        <f>VLOOKUP(B66,'S | 02'!$C$6:$J$39,2,0)</f>
        <v>Fund Investment</v>
      </c>
      <c r="D66" s="289" t="str">
        <f>VLOOKUP(B66,'S | 02'!$C$6:$J$39,5,0)</f>
        <v>G42</v>
      </c>
      <c r="E66" s="465">
        <f t="shared" si="7"/>
        <v>45138</v>
      </c>
      <c r="F66" s="291"/>
      <c r="G66" s="291"/>
      <c r="H66" s="291">
        <f>VLOOKUP(B66,NAV!$B$9:$E$43,4,0)</f>
        <v>81.695785999999998</v>
      </c>
      <c r="I66" s="291">
        <f t="shared" si="6"/>
        <v>81.695785999999998</v>
      </c>
    </row>
    <row r="67" spans="2:9" x14ac:dyDescent="0.3">
      <c r="B67" s="288" t="s">
        <v>15</v>
      </c>
      <c r="C67" s="289" t="str">
        <f>VLOOKUP(B67,'S | 02'!$C$6:$J$39,2,0)</f>
        <v>Fund Investment</v>
      </c>
      <c r="D67" s="289" t="str">
        <f>VLOOKUP(B67,'S | 02'!$C$6:$J$39,5,0)</f>
        <v>G42</v>
      </c>
      <c r="E67" s="465">
        <f t="shared" si="7"/>
        <v>45138</v>
      </c>
      <c r="F67" s="291"/>
      <c r="G67" s="291"/>
      <c r="H67" s="291">
        <f>VLOOKUP(B67,NAV!$B$9:$E$43,4,0)</f>
        <v>19.244515</v>
      </c>
      <c r="I67" s="291">
        <f t="shared" si="6"/>
        <v>19.244515</v>
      </c>
    </row>
    <row r="68" spans="2:9" x14ac:dyDescent="0.3">
      <c r="B68" s="288" t="s">
        <v>229</v>
      </c>
      <c r="C68" s="289" t="str">
        <f>VLOOKUP(B68,'S | 02'!$C$6:$J$39,2,0)</f>
        <v>Fund Investment</v>
      </c>
      <c r="D68" s="289" t="str">
        <f>VLOOKUP(B68,'S | 02'!$C$6:$J$39,5,0)</f>
        <v>G42</v>
      </c>
      <c r="E68" s="465">
        <f t="shared" si="7"/>
        <v>45138</v>
      </c>
      <c r="F68" s="291"/>
      <c r="G68" s="291"/>
      <c r="H68" s="291">
        <f>VLOOKUP(B68,NAV!$B$9:$E$43,4,0)</f>
        <v>13.307625</v>
      </c>
      <c r="I68" s="291">
        <f t="shared" si="6"/>
        <v>13.307625</v>
      </c>
    </row>
    <row r="70" spans="2:9" x14ac:dyDescent="0.3">
      <c r="E70" s="466"/>
    </row>
    <row r="71" spans="2:9" x14ac:dyDescent="0.3">
      <c r="E71" s="466"/>
    </row>
    <row r="72" spans="2:9" x14ac:dyDescent="0.3">
      <c r="E72" s="466"/>
    </row>
    <row r="73" spans="2:9" x14ac:dyDescent="0.3">
      <c r="E73" s="466"/>
    </row>
    <row r="74" spans="2:9" x14ac:dyDescent="0.3">
      <c r="E74" s="466"/>
    </row>
    <row r="75" spans="2:9" x14ac:dyDescent="0.3">
      <c r="E75" s="466"/>
    </row>
    <row r="76" spans="2:9" x14ac:dyDescent="0.3">
      <c r="E76" s="466"/>
    </row>
    <row r="77" spans="2:9" x14ac:dyDescent="0.3">
      <c r="E77" s="466"/>
    </row>
    <row r="78" spans="2:9" x14ac:dyDescent="0.3">
      <c r="E78" s="466"/>
    </row>
    <row r="79" spans="2:9" x14ac:dyDescent="0.3">
      <c r="E79" s="466"/>
    </row>
    <row r="80" spans="2:9" x14ac:dyDescent="0.3">
      <c r="E80" s="466"/>
    </row>
    <row r="81" spans="3:5" x14ac:dyDescent="0.3">
      <c r="E81" s="466"/>
    </row>
    <row r="82" spans="3:5" x14ac:dyDescent="0.3">
      <c r="E82" s="466"/>
    </row>
    <row r="83" spans="3:5" x14ac:dyDescent="0.3">
      <c r="E83" s="466"/>
    </row>
    <row r="84" spans="3:5" x14ac:dyDescent="0.3">
      <c r="C84" s="83"/>
      <c r="D84" s="83"/>
      <c r="E84" s="466"/>
    </row>
    <row r="85" spans="3:5" x14ac:dyDescent="0.3">
      <c r="C85" s="83"/>
      <c r="D85" s="83"/>
      <c r="E85" s="466"/>
    </row>
    <row r="86" spans="3:5" x14ac:dyDescent="0.3">
      <c r="C86" s="83"/>
      <c r="D86" s="83"/>
      <c r="E86" s="466"/>
    </row>
    <row r="87" spans="3:5" x14ac:dyDescent="0.3">
      <c r="C87" s="83"/>
      <c r="D87" s="83"/>
      <c r="E87" s="466"/>
    </row>
    <row r="88" spans="3:5" x14ac:dyDescent="0.3">
      <c r="C88" s="83"/>
      <c r="D88" s="83"/>
      <c r="E88" s="466"/>
    </row>
    <row r="89" spans="3:5" x14ac:dyDescent="0.3">
      <c r="C89" s="83"/>
      <c r="D89" s="83"/>
      <c r="E89" s="466"/>
    </row>
    <row r="90" spans="3:5" x14ac:dyDescent="0.3">
      <c r="C90" s="83"/>
      <c r="D90" s="83"/>
      <c r="E90" s="466"/>
    </row>
    <row r="91" spans="3:5" x14ac:dyDescent="0.3">
      <c r="C91" s="83"/>
      <c r="D91" s="83"/>
      <c r="E91" s="466"/>
    </row>
    <row r="92" spans="3:5" x14ac:dyDescent="0.3">
      <c r="C92" s="83"/>
      <c r="D92" s="83"/>
      <c r="E92" s="466"/>
    </row>
    <row r="93" spans="3:5" x14ac:dyDescent="0.3">
      <c r="C93" s="83"/>
      <c r="D93" s="83"/>
      <c r="E93" s="466"/>
    </row>
    <row r="94" spans="3:5" x14ac:dyDescent="0.3">
      <c r="C94" s="83"/>
      <c r="D94" s="83"/>
      <c r="E94" s="466"/>
    </row>
    <row r="95" spans="3:5" x14ac:dyDescent="0.3">
      <c r="C95" s="83"/>
      <c r="D95" s="83"/>
      <c r="E95" s="466"/>
    </row>
    <row r="96" spans="3:5" x14ac:dyDescent="0.3">
      <c r="C96" s="83"/>
      <c r="D96" s="83"/>
      <c r="E96" s="466"/>
    </row>
    <row r="97" spans="3:5" x14ac:dyDescent="0.3">
      <c r="C97" s="83"/>
      <c r="D97" s="83"/>
      <c r="E97" s="466"/>
    </row>
    <row r="98" spans="3:5" x14ac:dyDescent="0.3">
      <c r="C98" s="83"/>
      <c r="D98" s="83"/>
      <c r="E98" s="466"/>
    </row>
    <row r="99" spans="3:5" x14ac:dyDescent="0.3">
      <c r="C99" s="83"/>
      <c r="D99" s="83"/>
      <c r="E99" s="466"/>
    </row>
    <row r="100" spans="3:5" x14ac:dyDescent="0.3">
      <c r="C100" s="83"/>
      <c r="D100" s="83"/>
      <c r="E100" s="466"/>
    </row>
    <row r="101" spans="3:5" x14ac:dyDescent="0.3">
      <c r="C101" s="83"/>
      <c r="D101" s="83"/>
      <c r="E101" s="466"/>
    </row>
    <row r="102" spans="3:5" x14ac:dyDescent="0.3">
      <c r="C102" s="83"/>
      <c r="D102" s="83"/>
      <c r="E102" s="466"/>
    </row>
    <row r="103" spans="3:5" x14ac:dyDescent="0.3">
      <c r="C103" s="83"/>
      <c r="D103" s="83"/>
      <c r="E103" s="466"/>
    </row>
    <row r="104" spans="3:5" x14ac:dyDescent="0.3">
      <c r="C104" s="83"/>
      <c r="D104" s="83"/>
      <c r="E104" s="466"/>
    </row>
    <row r="105" spans="3:5" x14ac:dyDescent="0.3">
      <c r="C105" s="83"/>
      <c r="D105" s="83"/>
      <c r="E105" s="466"/>
    </row>
    <row r="106" spans="3:5" x14ac:dyDescent="0.3">
      <c r="C106" s="83"/>
      <c r="D106" s="83"/>
      <c r="E106" s="466"/>
    </row>
    <row r="107" spans="3:5" x14ac:dyDescent="0.3">
      <c r="C107" s="83"/>
      <c r="D107" s="83"/>
      <c r="E107" s="466"/>
    </row>
    <row r="108" spans="3:5" x14ac:dyDescent="0.3">
      <c r="C108" s="83"/>
      <c r="D108" s="83"/>
      <c r="E108" s="466"/>
    </row>
    <row r="109" spans="3:5" x14ac:dyDescent="0.3">
      <c r="C109" s="83"/>
      <c r="D109" s="83"/>
      <c r="E109" s="466"/>
    </row>
    <row r="110" spans="3:5" x14ac:dyDescent="0.3">
      <c r="C110" s="83"/>
      <c r="D110" s="83"/>
      <c r="E110" s="466"/>
    </row>
    <row r="111" spans="3:5" x14ac:dyDescent="0.3">
      <c r="C111" s="83"/>
      <c r="D111" s="83"/>
      <c r="E111" s="466"/>
    </row>
    <row r="112" spans="3:5" x14ac:dyDescent="0.3">
      <c r="C112" s="83"/>
      <c r="D112" s="83"/>
      <c r="E112" s="466"/>
    </row>
    <row r="113" spans="3:5" x14ac:dyDescent="0.3">
      <c r="C113" s="83"/>
      <c r="D113" s="83"/>
      <c r="E113" s="466"/>
    </row>
    <row r="114" spans="3:5" x14ac:dyDescent="0.3">
      <c r="C114" s="83"/>
      <c r="D114" s="83"/>
      <c r="E114" s="466"/>
    </row>
    <row r="115" spans="3:5" x14ac:dyDescent="0.3">
      <c r="C115" s="83"/>
      <c r="D115" s="83"/>
      <c r="E115" s="466"/>
    </row>
    <row r="116" spans="3:5" x14ac:dyDescent="0.3">
      <c r="C116" s="83"/>
      <c r="D116" s="83"/>
      <c r="E116" s="466"/>
    </row>
    <row r="117" spans="3:5" x14ac:dyDescent="0.3">
      <c r="C117" s="83"/>
      <c r="D117" s="83"/>
      <c r="E117" s="466"/>
    </row>
    <row r="118" spans="3:5" x14ac:dyDescent="0.3">
      <c r="C118" s="83"/>
      <c r="D118" s="83"/>
      <c r="E118" s="466"/>
    </row>
    <row r="119" spans="3:5" x14ac:dyDescent="0.3">
      <c r="C119" s="83"/>
      <c r="D119" s="83"/>
      <c r="E119" s="466"/>
    </row>
    <row r="120" spans="3:5" x14ac:dyDescent="0.3">
      <c r="C120" s="83"/>
      <c r="D120" s="83"/>
      <c r="E120" s="466"/>
    </row>
    <row r="121" spans="3:5" x14ac:dyDescent="0.3">
      <c r="C121" s="83"/>
      <c r="D121" s="83"/>
      <c r="E121" s="466"/>
    </row>
    <row r="122" spans="3:5" x14ac:dyDescent="0.3">
      <c r="C122" s="83"/>
      <c r="D122" s="83"/>
      <c r="E122" s="466"/>
    </row>
    <row r="123" spans="3:5" x14ac:dyDescent="0.3">
      <c r="C123" s="83"/>
      <c r="D123" s="83"/>
      <c r="E123" s="466"/>
    </row>
    <row r="124" spans="3:5" x14ac:dyDescent="0.3">
      <c r="C124" s="83"/>
      <c r="D124" s="83"/>
      <c r="E124" s="466"/>
    </row>
    <row r="125" spans="3:5" x14ac:dyDescent="0.3">
      <c r="C125" s="83"/>
      <c r="D125" s="83"/>
      <c r="E125" s="466"/>
    </row>
    <row r="126" spans="3:5" x14ac:dyDescent="0.3">
      <c r="C126" s="83"/>
      <c r="D126" s="83"/>
      <c r="E126" s="466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A821-1F81-492C-95B8-3FF280FE01C0}">
  <sheetPr>
    <tabColor theme="4" tint="0.39997558519241921"/>
  </sheetPr>
  <dimension ref="B2:T141"/>
  <sheetViews>
    <sheetView zoomScale="90" zoomScaleNormal="90" workbookViewId="0">
      <selection activeCell="O75" sqref="O75:O76"/>
    </sheetView>
  </sheetViews>
  <sheetFormatPr defaultColWidth="9.1796875" defaultRowHeight="12" x14ac:dyDescent="0.3"/>
  <cols>
    <col min="1" max="1" width="3.81640625" style="83" customWidth="1"/>
    <col min="2" max="2" width="9.1796875" style="83"/>
    <col min="3" max="3" width="29.453125" style="83" customWidth="1"/>
    <col min="4" max="4" width="12.54296875" style="88" customWidth="1"/>
    <col min="5" max="8" width="12.54296875" style="83" customWidth="1"/>
    <col min="9" max="9" width="9.1796875" style="83"/>
    <col min="10" max="10" width="12" style="83" customWidth="1"/>
    <col min="11" max="11" width="12.7265625" style="83" customWidth="1"/>
    <col min="12" max="12" width="11.26953125" style="83" customWidth="1"/>
    <col min="13" max="13" width="12.26953125" style="83" bestFit="1" customWidth="1"/>
    <col min="14" max="15" width="11.7265625" style="83" customWidth="1"/>
    <col min="16" max="19" width="12.1796875" style="83" customWidth="1"/>
    <col min="20" max="16384" width="9.1796875" style="83"/>
  </cols>
  <sheetData>
    <row r="2" spans="2:20" s="162" customFormat="1" ht="43.5" customHeight="1" x14ac:dyDescent="0.65">
      <c r="C2" s="331" t="s">
        <v>277</v>
      </c>
      <c r="D2" s="332"/>
      <c r="E2" s="332"/>
      <c r="F2" s="332"/>
      <c r="G2" s="339"/>
      <c r="H2" s="339"/>
      <c r="I2" s="339"/>
      <c r="J2" s="339"/>
      <c r="K2" s="333"/>
      <c r="L2" s="334"/>
      <c r="M2" s="333"/>
    </row>
    <row r="5" spans="2:20" x14ac:dyDescent="0.3">
      <c r="C5" s="95" t="s">
        <v>6</v>
      </c>
      <c r="D5" s="97" t="s">
        <v>213</v>
      </c>
      <c r="E5" s="96" t="s">
        <v>7</v>
      </c>
      <c r="F5" s="96" t="s">
        <v>243</v>
      </c>
      <c r="G5" s="96" t="s">
        <v>139</v>
      </c>
      <c r="H5" s="96" t="s">
        <v>226</v>
      </c>
      <c r="J5" s="297" t="s">
        <v>139</v>
      </c>
      <c r="K5" s="298" t="s">
        <v>212</v>
      </c>
      <c r="L5" s="298" t="s">
        <v>53</v>
      </c>
      <c r="M5" s="298" t="s">
        <v>63</v>
      </c>
      <c r="N5" s="298" t="s">
        <v>76</v>
      </c>
      <c r="P5" s="297" t="s">
        <v>226</v>
      </c>
      <c r="Q5" s="298" t="s">
        <v>212</v>
      </c>
      <c r="R5" s="298" t="s">
        <v>53</v>
      </c>
      <c r="S5" s="298" t="s">
        <v>63</v>
      </c>
      <c r="T5" s="298" t="s">
        <v>76</v>
      </c>
    </row>
    <row r="6" spans="2:20" x14ac:dyDescent="0.3">
      <c r="B6" s="568" t="s">
        <v>212</v>
      </c>
      <c r="C6" s="497" t="str">
        <f>'CF (Equity, Debt)'!C4</f>
        <v>Jollychic Holding Limited</v>
      </c>
      <c r="D6" s="89" t="s">
        <v>212</v>
      </c>
      <c r="E6" s="85">
        <f>'CF (Equity, Debt)'!D4</f>
        <v>43470</v>
      </c>
      <c r="F6" s="85" t="str">
        <f>"Q"&amp;ROUNDUP(MONTH(E6)/3,0)&amp;" "&amp;YEAR(E6)</f>
        <v>Q1 2019</v>
      </c>
      <c r="G6" s="93">
        <f>'CF (Equity, Debt)'!E4</f>
        <v>-30</v>
      </c>
      <c r="H6" s="93">
        <f>'CF (Equity, Debt)'!F4</f>
        <v>0</v>
      </c>
      <c r="K6" s="88"/>
      <c r="L6" s="88"/>
      <c r="M6" s="88"/>
      <c r="N6" s="88"/>
      <c r="Q6" s="88"/>
      <c r="R6" s="88"/>
      <c r="S6" s="88"/>
    </row>
    <row r="7" spans="2:20" x14ac:dyDescent="0.3">
      <c r="C7" s="497" t="str">
        <f>'CF (Equity, Debt)'!C5</f>
        <v>Jollychic Holding Limited</v>
      </c>
      <c r="D7" s="89" t="s">
        <v>212</v>
      </c>
      <c r="E7" s="85">
        <f>'CF (Equity, Debt)'!D5</f>
        <v>43724</v>
      </c>
      <c r="F7" s="85" t="str">
        <f t="shared" ref="F7:F34" si="0">"Q"&amp;ROUNDUP(MONTH(E7)/3,0)&amp;" "&amp;YEAR(E7)</f>
        <v>Q3 2019</v>
      </c>
      <c r="G7" s="93">
        <f>'CF (Equity, Debt)'!E5</f>
        <v>-20</v>
      </c>
      <c r="H7" s="93">
        <f>'CF (Equity, Debt)'!F5</f>
        <v>0</v>
      </c>
      <c r="J7" s="83" t="s">
        <v>242</v>
      </c>
      <c r="K7" s="291">
        <f t="shared" ref="K7:K21" si="1">-SUMIFS($G$5:$G$117,$D$5:$D$117,$K$5,$F$5:$F$117,J7)</f>
        <v>30</v>
      </c>
      <c r="L7" s="291">
        <f t="shared" ref="L7:L21" si="2">-SUMIFS($G$5:$G$117,$D$5:$D$117,$L$5,$F$5:$F$117,J7)</f>
        <v>0</v>
      </c>
      <c r="M7" s="291">
        <f t="shared" ref="M7:M21" si="3">-SUMIFS($G$5:$G$117,$D$5:$D$117,"Fund",$F$5:$F$117,J7)</f>
        <v>0</v>
      </c>
      <c r="N7" s="291">
        <f t="shared" ref="N7:N25" ca="1" si="4">-SUMIF($F$5:$H$117,$J7,$G$5:$G$117)</f>
        <v>30</v>
      </c>
      <c r="P7" s="83" t="s">
        <v>242</v>
      </c>
      <c r="Q7" s="291">
        <f t="shared" ref="Q7:Q21" si="5">SUMIFS($H$5:$H$117,$D$5:$D$117,$Q$5,$F$5:$F$117,J7)</f>
        <v>0</v>
      </c>
      <c r="R7" s="291">
        <f t="shared" ref="R7:R21" si="6">SUMIFS($H$5:$H$117,$D$5:$D$117,$R$5,$F$5:$F$117,J7)</f>
        <v>0</v>
      </c>
      <c r="S7" s="291">
        <f t="shared" ref="S7:S21" si="7">SUMIFS($H$5:$H$117,$D$5:$D$117,$S$5,$F$5:$F$117,J7)</f>
        <v>0</v>
      </c>
      <c r="T7" s="291">
        <f t="shared" ref="T7:T25" ca="1" si="8">SUMIF($F$5:$H$117,$J7,$H$5:$H$117)</f>
        <v>0</v>
      </c>
    </row>
    <row r="8" spans="2:20" x14ac:dyDescent="0.3">
      <c r="C8" s="497" t="str">
        <f>'CF (Equity, Debt)'!C6</f>
        <v>Jollychic Holding Limited</v>
      </c>
      <c r="D8" s="89" t="s">
        <v>212</v>
      </c>
      <c r="E8" s="85">
        <f>'CF (Equity, Debt)'!D6</f>
        <v>43724</v>
      </c>
      <c r="F8" s="85" t="str">
        <f t="shared" si="0"/>
        <v>Q3 2019</v>
      </c>
      <c r="G8" s="93">
        <f>'CF (Equity, Debt)'!E6</f>
        <v>-15</v>
      </c>
      <c r="H8" s="93">
        <f>'CF (Equity, Debt)'!F6</f>
        <v>0</v>
      </c>
      <c r="J8" s="83" t="s">
        <v>244</v>
      </c>
      <c r="K8" s="291">
        <f t="shared" si="1"/>
        <v>12.99999809</v>
      </c>
      <c r="L8" s="291">
        <f t="shared" si="2"/>
        <v>8</v>
      </c>
      <c r="M8" s="291">
        <f t="shared" si="3"/>
        <v>0</v>
      </c>
      <c r="N8" s="291">
        <f t="shared" ca="1" si="4"/>
        <v>20.999998089999998</v>
      </c>
      <c r="P8" s="83" t="s">
        <v>244</v>
      </c>
      <c r="Q8" s="291">
        <f t="shared" si="5"/>
        <v>0</v>
      </c>
      <c r="R8" s="291">
        <f t="shared" si="6"/>
        <v>0</v>
      </c>
      <c r="S8" s="291">
        <f t="shared" si="7"/>
        <v>0</v>
      </c>
      <c r="T8" s="291">
        <f t="shared" ca="1" si="8"/>
        <v>0</v>
      </c>
    </row>
    <row r="9" spans="2:20" x14ac:dyDescent="0.3">
      <c r="C9" s="498" t="str">
        <f>'CF (Equity, Debt)'!C7</f>
        <v>Mena Mobile Inc</v>
      </c>
      <c r="D9" s="90" t="s">
        <v>212</v>
      </c>
      <c r="E9" s="87">
        <f>'CF (Equity, Debt)'!D7</f>
        <v>43563</v>
      </c>
      <c r="F9" s="87" t="str">
        <f t="shared" si="0"/>
        <v>Q2 2019</v>
      </c>
      <c r="G9" s="94">
        <f>'CF (Equity, Debt)'!E7</f>
        <v>-8</v>
      </c>
      <c r="H9" s="94">
        <f>'CF (Equity, Debt)'!F7</f>
        <v>0</v>
      </c>
      <c r="J9" s="83" t="s">
        <v>245</v>
      </c>
      <c r="K9" s="291">
        <f t="shared" si="1"/>
        <v>35</v>
      </c>
      <c r="L9" s="291">
        <f t="shared" si="2"/>
        <v>0</v>
      </c>
      <c r="M9" s="291">
        <f t="shared" si="3"/>
        <v>3</v>
      </c>
      <c r="N9" s="291">
        <f t="shared" ca="1" si="4"/>
        <v>38</v>
      </c>
      <c r="P9" s="83" t="s">
        <v>245</v>
      </c>
      <c r="Q9" s="291">
        <f t="shared" si="5"/>
        <v>0</v>
      </c>
      <c r="R9" s="291">
        <f t="shared" si="6"/>
        <v>0</v>
      </c>
      <c r="S9" s="291">
        <f t="shared" si="7"/>
        <v>0</v>
      </c>
      <c r="T9" s="291">
        <f t="shared" ca="1" si="8"/>
        <v>0</v>
      </c>
    </row>
    <row r="10" spans="2:20" x14ac:dyDescent="0.3">
      <c r="C10" s="497" t="str">
        <f>'CF (Equity, Debt)'!C8</f>
        <v>Flyr Inc</v>
      </c>
      <c r="D10" s="89" t="s">
        <v>212</v>
      </c>
      <c r="E10" s="85">
        <f>'CF (Equity, Debt)'!D8</f>
        <v>43570</v>
      </c>
      <c r="F10" s="85" t="str">
        <f t="shared" si="0"/>
        <v>Q2 2019</v>
      </c>
      <c r="G10" s="93">
        <f>'CF (Equity, Debt)'!E8</f>
        <v>-4.9999980900000001</v>
      </c>
      <c r="H10" s="93">
        <f>'CF (Equity, Debt)'!F8</f>
        <v>0</v>
      </c>
      <c r="J10" s="83" t="s">
        <v>246</v>
      </c>
      <c r="K10" s="291">
        <f t="shared" si="1"/>
        <v>0</v>
      </c>
      <c r="L10" s="291">
        <f t="shared" si="2"/>
        <v>0</v>
      </c>
      <c r="M10" s="291">
        <f t="shared" si="3"/>
        <v>0</v>
      </c>
      <c r="N10" s="291">
        <f t="shared" ca="1" si="4"/>
        <v>0</v>
      </c>
      <c r="P10" s="83" t="s">
        <v>246</v>
      </c>
      <c r="Q10" s="291">
        <f t="shared" si="5"/>
        <v>0</v>
      </c>
      <c r="R10" s="291">
        <f t="shared" si="6"/>
        <v>0</v>
      </c>
      <c r="S10" s="291">
        <f t="shared" si="7"/>
        <v>0</v>
      </c>
      <c r="T10" s="291">
        <f t="shared" ca="1" si="8"/>
        <v>0</v>
      </c>
    </row>
    <row r="11" spans="2:20" x14ac:dyDescent="0.3">
      <c r="C11" s="497" t="str">
        <f>'CF (Equity, Debt)'!C9</f>
        <v>Flyr Inc</v>
      </c>
      <c r="D11" s="89" t="s">
        <v>212</v>
      </c>
      <c r="E11" s="85">
        <f>'CF (Equity, Debt)'!D9</f>
        <v>43915</v>
      </c>
      <c r="F11" s="85" t="str">
        <f t="shared" si="0"/>
        <v>Q1 2020</v>
      </c>
      <c r="G11" s="93">
        <f>'CF (Equity, Debt)'!E9</f>
        <v>-5.0000019099999999</v>
      </c>
      <c r="H11" s="93">
        <f>'CF (Equity, Debt)'!F9</f>
        <v>0</v>
      </c>
      <c r="J11" s="83" t="s">
        <v>247</v>
      </c>
      <c r="K11" s="291">
        <f t="shared" si="1"/>
        <v>75.609443209619357</v>
      </c>
      <c r="L11" s="291">
        <f t="shared" si="2"/>
        <v>0</v>
      </c>
      <c r="M11" s="291">
        <f t="shared" si="3"/>
        <v>9.5097500000000004</v>
      </c>
      <c r="N11" s="291">
        <f t="shared" ca="1" si="4"/>
        <v>85.119193209619354</v>
      </c>
      <c r="P11" s="83" t="s">
        <v>247</v>
      </c>
      <c r="Q11" s="291">
        <f t="shared" si="5"/>
        <v>0</v>
      </c>
      <c r="R11" s="291">
        <f t="shared" si="6"/>
        <v>0</v>
      </c>
      <c r="S11" s="291">
        <f t="shared" si="7"/>
        <v>0</v>
      </c>
      <c r="T11" s="291">
        <f t="shared" ca="1" si="8"/>
        <v>0</v>
      </c>
    </row>
    <row r="12" spans="2:20" x14ac:dyDescent="0.3">
      <c r="C12" s="498" t="str">
        <f>'CF (Equity, Debt)'!C10</f>
        <v xml:space="preserve">Esyasoft Holding </v>
      </c>
      <c r="D12" s="90" t="s">
        <v>212</v>
      </c>
      <c r="E12" s="87">
        <f>'CF (Equity, Debt)'!D10</f>
        <v>43870</v>
      </c>
      <c r="F12" s="87" t="str">
        <f t="shared" si="0"/>
        <v>Q1 2020</v>
      </c>
      <c r="G12" s="94">
        <f>'CF (Equity, Debt)'!E10</f>
        <v>-2.5</v>
      </c>
      <c r="H12" s="94">
        <f>'CF (Equity, Debt)'!F10</f>
        <v>0</v>
      </c>
      <c r="J12" s="83" t="s">
        <v>248</v>
      </c>
      <c r="K12" s="291">
        <f t="shared" si="1"/>
        <v>142.12003795060357</v>
      </c>
      <c r="L12" s="291">
        <f t="shared" si="2"/>
        <v>0</v>
      </c>
      <c r="M12" s="291">
        <f t="shared" si="3"/>
        <v>45.784999999999997</v>
      </c>
      <c r="N12" s="291">
        <f t="shared" ca="1" si="4"/>
        <v>187.90503795060357</v>
      </c>
      <c r="P12" s="83" t="s">
        <v>248</v>
      </c>
      <c r="Q12" s="291">
        <f t="shared" si="5"/>
        <v>0</v>
      </c>
      <c r="R12" s="291">
        <f t="shared" si="6"/>
        <v>0</v>
      </c>
      <c r="S12" s="291">
        <f t="shared" si="7"/>
        <v>0</v>
      </c>
      <c r="T12" s="291">
        <f t="shared" ca="1" si="8"/>
        <v>0</v>
      </c>
    </row>
    <row r="13" spans="2:20" x14ac:dyDescent="0.3">
      <c r="C13" s="497" t="str">
        <f>'CF (Equity, Debt)'!C11</f>
        <v>Beyond Limits</v>
      </c>
      <c r="D13" s="89" t="s">
        <v>212</v>
      </c>
      <c r="E13" s="85">
        <f>'CF (Equity, Debt)'!D11</f>
        <v>43879</v>
      </c>
      <c r="F13" s="85" t="str">
        <f t="shared" si="0"/>
        <v>Q1 2020</v>
      </c>
      <c r="G13" s="93">
        <f>'CF (Equity, Debt)'!E11</f>
        <v>-20</v>
      </c>
      <c r="H13" s="93">
        <f>'CF (Equity, Debt)'!F11</f>
        <v>0</v>
      </c>
      <c r="J13" s="83" t="s">
        <v>249</v>
      </c>
      <c r="K13" s="291">
        <f t="shared" si="1"/>
        <v>10</v>
      </c>
      <c r="L13" s="291">
        <f t="shared" si="2"/>
        <v>0</v>
      </c>
      <c r="M13" s="291">
        <f t="shared" si="3"/>
        <v>23.623435349941179</v>
      </c>
      <c r="N13" s="291">
        <f t="shared" ca="1" si="4"/>
        <v>33.623435349941175</v>
      </c>
      <c r="P13" s="83" t="s">
        <v>249</v>
      </c>
      <c r="Q13" s="291">
        <f t="shared" si="5"/>
        <v>0</v>
      </c>
      <c r="R13" s="291">
        <f t="shared" si="6"/>
        <v>0</v>
      </c>
      <c r="S13" s="291">
        <f t="shared" si="7"/>
        <v>0</v>
      </c>
      <c r="T13" s="291">
        <f t="shared" ca="1" si="8"/>
        <v>0</v>
      </c>
    </row>
    <row r="14" spans="2:20" x14ac:dyDescent="0.3">
      <c r="C14" s="497" t="str">
        <f>'CF (Equity, Debt)'!C12</f>
        <v>Beyond Limits</v>
      </c>
      <c r="D14" s="89" t="s">
        <v>212</v>
      </c>
      <c r="E14" s="85">
        <f>'CF (Equity, Debt)'!D12</f>
        <v>43921</v>
      </c>
      <c r="F14" s="85" t="str">
        <f t="shared" si="0"/>
        <v>Q1 2020</v>
      </c>
      <c r="G14" s="93">
        <f>'CF (Equity, Debt)'!E12</f>
        <v>-30</v>
      </c>
      <c r="H14" s="93">
        <f>'CF (Equity, Debt)'!F12</f>
        <v>0</v>
      </c>
      <c r="J14" s="83" t="s">
        <v>250</v>
      </c>
      <c r="K14" s="291">
        <f t="shared" si="1"/>
        <v>60</v>
      </c>
      <c r="L14" s="291">
        <f t="shared" si="2"/>
        <v>0</v>
      </c>
      <c r="M14" s="291">
        <f t="shared" si="3"/>
        <v>9.4822930000000021</v>
      </c>
      <c r="N14" s="291">
        <f t="shared" ca="1" si="4"/>
        <v>69.482292999999999</v>
      </c>
      <c r="P14" s="83" t="s">
        <v>250</v>
      </c>
      <c r="Q14" s="291">
        <f t="shared" si="5"/>
        <v>0</v>
      </c>
      <c r="R14" s="291">
        <f t="shared" si="6"/>
        <v>0</v>
      </c>
      <c r="S14" s="291">
        <f t="shared" si="7"/>
        <v>0.58290199999999992</v>
      </c>
      <c r="T14" s="291">
        <f t="shared" ca="1" si="8"/>
        <v>0.58290199999999992</v>
      </c>
    </row>
    <row r="15" spans="2:20" x14ac:dyDescent="0.3">
      <c r="C15" s="497" t="str">
        <f>'CF (Equity, Debt)'!C13</f>
        <v>Beyond Limits</v>
      </c>
      <c r="D15" s="89" t="s">
        <v>212</v>
      </c>
      <c r="E15" s="85">
        <f>'CF (Equity, Debt)'!D13</f>
        <v>43989</v>
      </c>
      <c r="F15" s="85" t="str">
        <f t="shared" si="0"/>
        <v>Q2 2020</v>
      </c>
      <c r="G15" s="93">
        <f>'CF (Equity, Debt)'!E13</f>
        <v>-30</v>
      </c>
      <c r="H15" s="93">
        <f>'CF (Equity, Debt)'!F13</f>
        <v>0</v>
      </c>
      <c r="J15" s="83" t="s">
        <v>251</v>
      </c>
      <c r="K15" s="291">
        <f t="shared" si="1"/>
        <v>0</v>
      </c>
      <c r="L15" s="291">
        <f t="shared" si="2"/>
        <v>0</v>
      </c>
      <c r="M15" s="291">
        <f t="shared" si="3"/>
        <v>1.0845116099999996</v>
      </c>
      <c r="N15" s="291">
        <f t="shared" ca="1" si="4"/>
        <v>1.0845116099999996</v>
      </c>
      <c r="P15" s="83" t="s">
        <v>251</v>
      </c>
      <c r="Q15" s="291">
        <f t="shared" si="5"/>
        <v>0</v>
      </c>
      <c r="R15" s="291">
        <f t="shared" si="6"/>
        <v>0</v>
      </c>
      <c r="S15" s="291">
        <f t="shared" si="7"/>
        <v>7.6348349999999995E-2</v>
      </c>
      <c r="T15" s="291">
        <f t="shared" ca="1" si="8"/>
        <v>7.6348349999999995E-2</v>
      </c>
    </row>
    <row r="16" spans="2:20" x14ac:dyDescent="0.3">
      <c r="C16" s="497" t="str">
        <f>'CF (Equity, Debt)'!C14</f>
        <v>Beyond Limits</v>
      </c>
      <c r="D16" s="89" t="s">
        <v>212</v>
      </c>
      <c r="E16" s="85">
        <f>'CF (Equity, Debt)'!D14</f>
        <v>44103</v>
      </c>
      <c r="F16" s="85" t="str">
        <f t="shared" si="0"/>
        <v>Q3 2020</v>
      </c>
      <c r="G16" s="93">
        <f>'CF (Equity, Debt)'!E14</f>
        <v>-10</v>
      </c>
      <c r="H16" s="93">
        <f>'CF (Equity, Debt)'!F14</f>
        <v>0</v>
      </c>
      <c r="J16" s="83" t="s">
        <v>252</v>
      </c>
      <c r="K16" s="291">
        <f t="shared" si="1"/>
        <v>31.240780424143558</v>
      </c>
      <c r="L16" s="291">
        <f t="shared" si="2"/>
        <v>2.3539819999999998</v>
      </c>
      <c r="M16" s="291">
        <f t="shared" si="3"/>
        <v>6.1810318199999994</v>
      </c>
      <c r="N16" s="291">
        <f t="shared" ca="1" si="4"/>
        <v>39.775794244143562</v>
      </c>
      <c r="P16" s="83" t="s">
        <v>252</v>
      </c>
      <c r="Q16" s="291">
        <f t="shared" si="5"/>
        <v>0</v>
      </c>
      <c r="R16" s="291">
        <f t="shared" si="6"/>
        <v>0</v>
      </c>
      <c r="S16" s="291">
        <f t="shared" si="7"/>
        <v>0</v>
      </c>
      <c r="T16" s="291">
        <f t="shared" ca="1" si="8"/>
        <v>0</v>
      </c>
    </row>
    <row r="17" spans="3:20" x14ac:dyDescent="0.3">
      <c r="C17" s="498" t="str">
        <f>'CF (Equity, Debt)'!C15</f>
        <v>ONT plc</v>
      </c>
      <c r="D17" s="90" t="s">
        <v>212</v>
      </c>
      <c r="E17" s="87">
        <f>'CF (Equity, Debt)'!D15</f>
        <v>43968</v>
      </c>
      <c r="F17" s="87" t="str">
        <f t="shared" si="0"/>
        <v>Q2 2020</v>
      </c>
      <c r="G17" s="94">
        <f>'CF (Equity, Debt)'!E15</f>
        <v>-50</v>
      </c>
      <c r="H17" s="94">
        <f>'CF (Equity, Debt)'!F15</f>
        <v>0</v>
      </c>
      <c r="J17" s="83" t="s">
        <v>253</v>
      </c>
      <c r="K17" s="291">
        <f t="shared" si="1"/>
        <v>0</v>
      </c>
      <c r="L17" s="291">
        <f t="shared" si="2"/>
        <v>0.41176499999999999</v>
      </c>
      <c r="M17" s="291">
        <f t="shared" si="3"/>
        <v>0.98965473139999993</v>
      </c>
      <c r="N17" s="291">
        <f t="shared" ca="1" si="4"/>
        <v>1.4014197313999999</v>
      </c>
      <c r="P17" s="83" t="s">
        <v>253</v>
      </c>
      <c r="Q17" s="291">
        <f t="shared" si="5"/>
        <v>0</v>
      </c>
      <c r="R17" s="291">
        <f t="shared" si="6"/>
        <v>0</v>
      </c>
      <c r="S17" s="291">
        <f t="shared" si="7"/>
        <v>0.44505899999999998</v>
      </c>
      <c r="T17" s="291">
        <f t="shared" ca="1" si="8"/>
        <v>0.44505899999999998</v>
      </c>
    </row>
    <row r="18" spans="3:20" x14ac:dyDescent="0.3">
      <c r="C18" s="498" t="str">
        <f>'CF (Equity, Debt)'!C16</f>
        <v>ONT plc</v>
      </c>
      <c r="D18" s="90" t="s">
        <v>212</v>
      </c>
      <c r="E18" s="87">
        <f>'CF (Equity, Debt)'!D16</f>
        <v>44006</v>
      </c>
      <c r="F18" s="87" t="str">
        <f t="shared" si="0"/>
        <v>Q2 2020</v>
      </c>
      <c r="G18" s="94">
        <f>'CF (Equity, Debt)'!E16</f>
        <v>-27.268350856443721</v>
      </c>
      <c r="H18" s="94">
        <f>'CF (Equity, Debt)'!F16</f>
        <v>0</v>
      </c>
      <c r="J18" s="83" t="s">
        <v>254</v>
      </c>
      <c r="K18" s="291">
        <f t="shared" si="1"/>
        <v>48.023703558477429</v>
      </c>
      <c r="L18" s="291">
        <f t="shared" si="2"/>
        <v>0</v>
      </c>
      <c r="M18" s="291">
        <f t="shared" si="3"/>
        <v>11.90173089</v>
      </c>
      <c r="N18" s="291">
        <f t="shared" ca="1" si="4"/>
        <v>59.925434448477432</v>
      </c>
      <c r="P18" s="83" t="s">
        <v>254</v>
      </c>
      <c r="Q18" s="291">
        <f t="shared" si="5"/>
        <v>0</v>
      </c>
      <c r="R18" s="291">
        <f t="shared" si="6"/>
        <v>0</v>
      </c>
      <c r="S18" s="291">
        <f t="shared" si="7"/>
        <v>0.13969399999999998</v>
      </c>
      <c r="T18" s="291">
        <f t="shared" ca="1" si="8"/>
        <v>0.13969399999999998</v>
      </c>
    </row>
    <row r="19" spans="3:20" x14ac:dyDescent="0.3">
      <c r="C19" s="498" t="str">
        <f>'CF (Equity, Debt)'!C17</f>
        <v>ONT plc</v>
      </c>
      <c r="D19" s="90" t="s">
        <v>212</v>
      </c>
      <c r="E19" s="87">
        <f>'CF (Equity, Debt)'!D17</f>
        <v>43837</v>
      </c>
      <c r="F19" s="87" t="str">
        <f t="shared" si="0"/>
        <v>Q1 2020</v>
      </c>
      <c r="G19" s="94">
        <f>'CF (Equity, Debt)'!E17</f>
        <v>-18.109441299619355</v>
      </c>
      <c r="H19" s="94">
        <f>'CF (Equity, Debt)'!F17</f>
        <v>0</v>
      </c>
      <c r="J19" s="83" t="s">
        <v>255</v>
      </c>
      <c r="K19" s="291">
        <f t="shared" si="1"/>
        <v>693.50095620000002</v>
      </c>
      <c r="L19" s="291">
        <f t="shared" si="2"/>
        <v>0</v>
      </c>
      <c r="M19" s="291">
        <f t="shared" si="3"/>
        <v>3.6664358494</v>
      </c>
      <c r="N19" s="291">
        <f t="shared" ca="1" si="4"/>
        <v>697.16739204940006</v>
      </c>
      <c r="P19" s="83" t="s">
        <v>255</v>
      </c>
      <c r="Q19" s="291">
        <f t="shared" si="5"/>
        <v>0</v>
      </c>
      <c r="R19" s="291">
        <f t="shared" si="6"/>
        <v>0</v>
      </c>
      <c r="S19" s="291">
        <f t="shared" si="7"/>
        <v>0</v>
      </c>
      <c r="T19" s="291">
        <f t="shared" ca="1" si="8"/>
        <v>0</v>
      </c>
    </row>
    <row r="20" spans="3:20" x14ac:dyDescent="0.3">
      <c r="C20" s="498" t="str">
        <f>'CF (Equity, Debt)'!C18</f>
        <v>ONT plc</v>
      </c>
      <c r="D20" s="90" t="s">
        <v>212</v>
      </c>
      <c r="E20" s="87">
        <f>'CF (Equity, Debt)'!D18</f>
        <v>43990</v>
      </c>
      <c r="F20" s="87" t="str">
        <f t="shared" si="0"/>
        <v>Q2 2020</v>
      </c>
      <c r="G20" s="94">
        <f>'CF (Equity, Debt)'!E18</f>
        <v>-34.851687094159864</v>
      </c>
      <c r="H20" s="94">
        <f>'CF (Equity, Debt)'!F18</f>
        <v>0</v>
      </c>
      <c r="J20" s="83" t="s">
        <v>256</v>
      </c>
      <c r="K20" s="291">
        <f t="shared" si="1"/>
        <v>112.5</v>
      </c>
      <c r="L20" s="291">
        <f t="shared" si="2"/>
        <v>0</v>
      </c>
      <c r="M20" s="291">
        <f t="shared" si="3"/>
        <v>19.740976</v>
      </c>
      <c r="N20" s="291">
        <f t="shared" ca="1" si="4"/>
        <v>132.24097599999999</v>
      </c>
      <c r="P20" s="83" t="s">
        <v>256</v>
      </c>
      <c r="Q20" s="291">
        <f t="shared" si="5"/>
        <v>5</v>
      </c>
      <c r="R20" s="291">
        <f t="shared" si="6"/>
        <v>0</v>
      </c>
      <c r="S20" s="291">
        <f t="shared" si="7"/>
        <v>0.22778599999999999</v>
      </c>
      <c r="T20" s="291">
        <f t="shared" ca="1" si="8"/>
        <v>5.227786</v>
      </c>
    </row>
    <row r="21" spans="3:20" x14ac:dyDescent="0.3">
      <c r="C21" s="498" t="str">
        <f>'CF (Equity, Debt)'!C19</f>
        <v>ONT plc</v>
      </c>
      <c r="D21" s="90" t="s">
        <v>212</v>
      </c>
      <c r="E21" s="87">
        <f>'CF (Equity, Debt)'!D19</f>
        <v>44315</v>
      </c>
      <c r="F21" s="87" t="str">
        <f t="shared" si="0"/>
        <v>Q2 2021</v>
      </c>
      <c r="G21" s="94">
        <f>'CF (Equity, Debt)'!E19</f>
        <v>-11.240780424143557</v>
      </c>
      <c r="H21" s="94">
        <f>'CF (Equity, Debt)'!F19</f>
        <v>0</v>
      </c>
      <c r="J21" s="83" t="s">
        <v>257</v>
      </c>
      <c r="K21" s="291">
        <f t="shared" si="1"/>
        <v>600</v>
      </c>
      <c r="L21" s="291">
        <f t="shared" si="2"/>
        <v>0</v>
      </c>
      <c r="M21" s="291">
        <f t="shared" si="3"/>
        <v>3.2202683433999999</v>
      </c>
      <c r="N21" s="291">
        <f t="shared" ca="1" si="4"/>
        <v>603.22026834339999</v>
      </c>
      <c r="P21" s="83" t="s">
        <v>257</v>
      </c>
      <c r="Q21" s="291">
        <f t="shared" si="5"/>
        <v>0</v>
      </c>
      <c r="R21" s="291">
        <f t="shared" si="6"/>
        <v>0</v>
      </c>
      <c r="S21" s="291">
        <f t="shared" si="7"/>
        <v>0</v>
      </c>
      <c r="T21" s="291">
        <f t="shared" ca="1" si="8"/>
        <v>0</v>
      </c>
    </row>
    <row r="22" spans="3:20" x14ac:dyDescent="0.3">
      <c r="C22" s="497" t="str">
        <f>'CF (Equity, Debt)'!C20</f>
        <v>Heygears</v>
      </c>
      <c r="D22" s="89" t="s">
        <v>212</v>
      </c>
      <c r="E22" s="85">
        <f>'CF (Equity, Debt)'!D20</f>
        <v>44166</v>
      </c>
      <c r="F22" s="85" t="str">
        <f t="shared" si="0"/>
        <v>Q4 2020</v>
      </c>
      <c r="G22" s="93">
        <f>'CF (Equity, Debt)'!E20</f>
        <v>-60</v>
      </c>
      <c r="H22" s="93">
        <f>'CF (Equity, Debt)'!F20</f>
        <v>0</v>
      </c>
      <c r="J22" s="83" t="s">
        <v>399</v>
      </c>
      <c r="K22" s="291">
        <f t="shared" ref="K22" si="9">-SUMIFS($G$5:$G$117,$D$5:$D$117,$K$5,$F$5:$F$117,J22)</f>
        <v>219.75</v>
      </c>
      <c r="L22" s="291">
        <f t="shared" ref="L22" si="10">-SUMIFS($G$5:$G$117,$D$5:$D$117,$L$5,$F$5:$F$117,J22)</f>
        <v>0</v>
      </c>
      <c r="M22" s="291">
        <f t="shared" ref="M22" si="11">-SUMIFS($G$5:$G$117,$D$5:$D$117,"Fund",$F$5:$F$117,J22)</f>
        <v>3.3882749999999997</v>
      </c>
      <c r="N22" s="291">
        <f t="shared" ca="1" si="4"/>
        <v>223.13827499999999</v>
      </c>
      <c r="P22" s="83" t="s">
        <v>399</v>
      </c>
      <c r="Q22" s="291">
        <f t="shared" ref="Q22" si="12">SUMIFS($H$5:$H$117,$D$5:$D$117,$Q$5,$F$5:$F$117,J22)</f>
        <v>0</v>
      </c>
      <c r="R22" s="291">
        <f t="shared" ref="R22" si="13">SUMIFS($H$5:$H$117,$D$5:$D$117,$R$5,$F$5:$F$117,J22)</f>
        <v>0.47078465000000003</v>
      </c>
      <c r="S22" s="291">
        <f t="shared" ref="S22" si="14">SUMIFS($H$5:$H$117,$D$5:$D$117,$S$5,$F$5:$F$117,J22)</f>
        <v>0</v>
      </c>
      <c r="T22" s="291">
        <f t="shared" ca="1" si="8"/>
        <v>0.47078465000000003</v>
      </c>
    </row>
    <row r="23" spans="3:20" x14ac:dyDescent="0.3">
      <c r="C23" s="498" t="str">
        <f>'CF (Equity, Debt)'!C21</f>
        <v>Jysan Technologies</v>
      </c>
      <c r="D23" s="90" t="s">
        <v>212</v>
      </c>
      <c r="E23" s="87">
        <f>'CF (Equity, Debt)'!D21</f>
        <v>44363</v>
      </c>
      <c r="F23" s="87" t="str">
        <f t="shared" si="0"/>
        <v>Q2 2021</v>
      </c>
      <c r="G23" s="94">
        <f>'CF (Equity, Debt)'!E21</f>
        <v>-20</v>
      </c>
      <c r="H23" s="94">
        <f>'CF (Equity, Debt)'!F21</f>
        <v>0</v>
      </c>
      <c r="J23" s="83" t="s">
        <v>503</v>
      </c>
      <c r="K23" s="291">
        <f t="shared" ref="K23" si="15">-SUMIFS($G$5:$G$117,$D$5:$D$117,$K$5,$F$5:$F$117,J23)</f>
        <v>12.03125</v>
      </c>
      <c r="L23" s="291">
        <f t="shared" ref="L23" si="16">-SUMIFS($G$5:$G$117,$D$5:$D$117,$L$5,$F$5:$F$117,J23)</f>
        <v>0</v>
      </c>
      <c r="M23" s="291">
        <f t="shared" ref="M23" si="17">-SUMIFS($G$5:$G$117,$D$5:$D$117,"Fund",$F$5:$F$117,J23)</f>
        <v>-7.9223880896699992</v>
      </c>
      <c r="N23" s="291">
        <f t="shared" ca="1" si="4"/>
        <v>4.1088619103300008</v>
      </c>
      <c r="P23" s="83" t="s">
        <v>503</v>
      </c>
      <c r="Q23" s="291">
        <f t="shared" ref="Q23" si="18">SUMIFS($H$5:$H$117,$D$5:$D$117,$Q$5,$F$5:$F$117,J23)</f>
        <v>0</v>
      </c>
      <c r="R23" s="291">
        <f t="shared" ref="R23" si="19">SUMIFS($H$5:$H$117,$D$5:$D$117,$R$5,$F$5:$F$117,J23)</f>
        <v>0</v>
      </c>
      <c r="S23" s="291">
        <f t="shared" ref="S23" si="20">SUMIFS($H$5:$H$117,$D$5:$D$117,$S$5,$F$5:$F$117,J23)</f>
        <v>2.9557743514081998</v>
      </c>
      <c r="T23" s="291">
        <f t="shared" ca="1" si="8"/>
        <v>2.9557743514081998</v>
      </c>
    </row>
    <row r="24" spans="3:20" x14ac:dyDescent="0.3">
      <c r="C24" s="497" t="str">
        <f>'CF (Equity, Debt)'!C22</f>
        <v>Cerebras Systems Inc</v>
      </c>
      <c r="D24" s="89" t="s">
        <v>212</v>
      </c>
      <c r="E24" s="85">
        <f>'CF (Equity, Debt)'!D22</f>
        <v>44488</v>
      </c>
      <c r="F24" s="85" t="str">
        <f t="shared" si="0"/>
        <v>Q4 2021</v>
      </c>
      <c r="G24" s="93">
        <f>'CF (Equity, Debt)'!E22</f>
        <v>-39.999983359999995</v>
      </c>
      <c r="H24" s="93">
        <f>'CF (Equity, Debt)'!F22</f>
        <v>0</v>
      </c>
      <c r="J24" s="83" t="s">
        <v>555</v>
      </c>
      <c r="K24" s="291">
        <f t="shared" ref="K24" si="21">-SUMIFS($G$5:$G$117,$D$5:$D$117,$K$5,$F$5:$F$117,J24)</f>
        <v>15.005873939999999</v>
      </c>
      <c r="L24" s="291">
        <f t="shared" ref="L24" si="22">-SUMIFS($G$5:$G$117,$D$5:$D$117,$L$5,$F$5:$F$117,J24)</f>
        <v>0</v>
      </c>
      <c r="M24" s="291">
        <f t="shared" ref="M24" si="23">-SUMIFS($G$5:$G$117,$D$5:$D$117,"Fund",$F$5:$F$117,J24)</f>
        <v>-1.9125570000000001</v>
      </c>
      <c r="N24" s="291">
        <f t="shared" ca="1" si="4"/>
        <v>13.093316939999999</v>
      </c>
      <c r="P24" s="83" t="s">
        <v>555</v>
      </c>
      <c r="Q24" s="291">
        <f t="shared" ref="Q24" si="24">SUMIFS($H$5:$H$117,$D$5:$D$117,$Q$5,$F$5:$F$117,J24)</f>
        <v>0</v>
      </c>
      <c r="R24" s="291">
        <f t="shared" ref="R24" si="25">SUMIFS($H$5:$H$117,$D$5:$D$117,$R$5,$F$5:$F$117,J24)</f>
        <v>0</v>
      </c>
      <c r="S24" s="291">
        <f t="shared" ref="S24" si="26">SUMIFS($H$5:$H$117,$D$5:$D$117,$S$5,$F$5:$F$117,J24)</f>
        <v>0</v>
      </c>
      <c r="T24" s="291">
        <f t="shared" ca="1" si="8"/>
        <v>0</v>
      </c>
    </row>
    <row r="25" spans="3:20" x14ac:dyDescent="0.3">
      <c r="C25" s="498" t="str">
        <f>'CF (Equity, Debt)'!C23</f>
        <v>Endless Studios LLC</v>
      </c>
      <c r="D25" s="90" t="s">
        <v>212</v>
      </c>
      <c r="E25" s="87">
        <f>'CF (Equity, Debt)'!D23</f>
        <v>44494</v>
      </c>
      <c r="F25" s="87" t="str">
        <f t="shared" si="0"/>
        <v>Q4 2021</v>
      </c>
      <c r="G25" s="94">
        <f>'CF (Equity, Debt)'!E23</f>
        <v>-3</v>
      </c>
      <c r="H25" s="94">
        <f>'CF (Equity, Debt)'!F23</f>
        <v>0</v>
      </c>
      <c r="J25" s="83" t="s">
        <v>634</v>
      </c>
      <c r="K25" s="291">
        <f t="shared" ref="K25" si="27">-SUMIFS($G$5:$G$117,$D$5:$D$117,$K$5,$F$5:$F$117,J25)</f>
        <v>2.7509999999999999</v>
      </c>
      <c r="L25" s="291">
        <f t="shared" ref="L25" si="28">-SUMIFS($G$5:$G$117,$D$5:$D$117,$L$5,$F$5:$F$117,J25)</f>
        <v>0</v>
      </c>
      <c r="M25" s="291">
        <f t="shared" ref="M25" si="29">-SUMIFS($G$5:$G$117,$D$5:$D$117,"Fund",$F$5:$F$117,J25)</f>
        <v>0</v>
      </c>
      <c r="N25" s="291">
        <f t="shared" ca="1" si="4"/>
        <v>2.7509999999999999</v>
      </c>
      <c r="P25" s="83" t="s">
        <v>555</v>
      </c>
      <c r="Q25" s="291">
        <f t="shared" ref="Q25" si="30">SUMIFS($H$5:$H$117,$D$5:$D$117,$Q$5,$F$5:$F$117,J25)</f>
        <v>7.8207760999999989</v>
      </c>
      <c r="R25" s="291">
        <f t="shared" ref="R25" si="31">SUMIFS($H$5:$H$117,$D$5:$D$117,$R$5,$F$5:$F$117,J25)</f>
        <v>0</v>
      </c>
      <c r="S25" s="291">
        <f t="shared" ref="S25" si="32">SUMIFS($H$5:$H$117,$D$5:$D$117,$S$5,$F$5:$F$117,J25)</f>
        <v>0</v>
      </c>
      <c r="T25" s="291">
        <f t="shared" ca="1" si="8"/>
        <v>7.8207760999999989</v>
      </c>
    </row>
    <row r="26" spans="3:20" x14ac:dyDescent="0.3">
      <c r="C26" s="497" t="str">
        <f>'CF (Equity, Debt)'!C24</f>
        <v>Instadeep Limited</v>
      </c>
      <c r="D26" s="89" t="s">
        <v>212</v>
      </c>
      <c r="E26" s="85">
        <f>'CF (Equity, Debt)'!D24</f>
        <v>44550</v>
      </c>
      <c r="F26" s="85" t="str">
        <f t="shared" si="0"/>
        <v>Q4 2021</v>
      </c>
      <c r="G26" s="93">
        <f>'CF (Equity, Debt)'!E24</f>
        <v>-5.0237201984774336</v>
      </c>
      <c r="H26" s="93">
        <f>'CF (Equity, Debt)'!F24</f>
        <v>0</v>
      </c>
    </row>
    <row r="27" spans="3:20" x14ac:dyDescent="0.3">
      <c r="C27" s="498" t="str">
        <f>'CF (Equity, Debt)'!C25</f>
        <v>X-fusion</v>
      </c>
      <c r="D27" s="90" t="s">
        <v>212</v>
      </c>
      <c r="E27" s="87">
        <f>'CF (Equity, Debt)'!D25</f>
        <v>44574</v>
      </c>
      <c r="F27" s="87" t="str">
        <f t="shared" si="0"/>
        <v>Q1 2022</v>
      </c>
      <c r="G27" s="94">
        <f>'CF (Equity, Debt)'!E25</f>
        <v>-493.50095619999996</v>
      </c>
      <c r="H27" s="94">
        <f>'CF (Equity, Debt)'!F25</f>
        <v>0</v>
      </c>
      <c r="J27" s="299" t="s">
        <v>76</v>
      </c>
      <c r="K27" s="300">
        <f>SUM(K7:K25)</f>
        <v>2100.5330433728441</v>
      </c>
      <c r="L27" s="300">
        <f>SUM(L7:L25)</f>
        <v>10.765747000000001</v>
      </c>
      <c r="M27" s="300">
        <f>SUM(M7:M25)</f>
        <v>131.73841750447116</v>
      </c>
      <c r="N27" s="300">
        <f ca="1">SUM(N7:N25)</f>
        <v>2243.0372078773153</v>
      </c>
      <c r="P27" s="299" t="s">
        <v>76</v>
      </c>
      <c r="Q27" s="300">
        <f>SUM(Q7:Q25)</f>
        <v>12.8207761</v>
      </c>
      <c r="R27" s="300">
        <f>SUM(R7:R25)</f>
        <v>0.47078465000000003</v>
      </c>
      <c r="S27" s="300">
        <f>SUM(S7:S25)</f>
        <v>4.4275637014082001</v>
      </c>
      <c r="T27" s="300">
        <f ca="1">SUM(T7:T25)</f>
        <v>17.719124451408199</v>
      </c>
    </row>
    <row r="28" spans="3:20" x14ac:dyDescent="0.3">
      <c r="C28" s="497" t="str">
        <f>'CF (Equity, Debt)'!C26</f>
        <v>DriveNets</v>
      </c>
      <c r="D28" s="89" t="s">
        <v>212</v>
      </c>
      <c r="E28" s="85">
        <f>'CF (Equity, Debt)'!D26</f>
        <v>44643</v>
      </c>
      <c r="F28" s="85" t="str">
        <f t="shared" si="0"/>
        <v>Q1 2022</v>
      </c>
      <c r="G28" s="93">
        <f>'CF (Equity, Debt)'!E26</f>
        <v>-200</v>
      </c>
      <c r="H28" s="93">
        <f>'CF (Equity, Debt)'!F26</f>
        <v>0</v>
      </c>
      <c r="J28" s="88"/>
      <c r="K28" s="88"/>
      <c r="L28" s="88"/>
      <c r="Q28" s="88"/>
      <c r="R28" s="88"/>
      <c r="S28" s="88"/>
    </row>
    <row r="29" spans="3:20" x14ac:dyDescent="0.3">
      <c r="C29" s="497" t="str">
        <f>'CF (Equity, Debt)'!C27</f>
        <v>DriveNets</v>
      </c>
      <c r="D29" s="89" t="s">
        <v>212</v>
      </c>
      <c r="E29" s="85">
        <f>'CF (Equity, Debt)'!D27</f>
        <v>44680</v>
      </c>
      <c r="F29" s="85" t="str">
        <f t="shared" si="0"/>
        <v>Q2 2022</v>
      </c>
      <c r="G29" s="93">
        <f>'CF (Equity, Debt)'!E27</f>
        <v>-100</v>
      </c>
      <c r="H29" s="93">
        <f>'CF (Equity, Debt)'!F27</f>
        <v>0</v>
      </c>
      <c r="Q29" s="83" t="b">
        <f>Q21=0</f>
        <v>1</v>
      </c>
      <c r="R29" s="83" t="b">
        <f>R21=0</f>
        <v>1</v>
      </c>
      <c r="S29" s="83" t="b">
        <f>S21=0</f>
        <v>1</v>
      </c>
      <c r="T29" s="83" t="b">
        <f ca="1">T21=0</f>
        <v>1</v>
      </c>
    </row>
    <row r="30" spans="3:20" x14ac:dyDescent="0.3">
      <c r="C30" s="498" t="str">
        <f>'CF (Equity, Debt)'!C28</f>
        <v xml:space="preserve">Esyasoft Holding </v>
      </c>
      <c r="D30" s="90" t="s">
        <v>212</v>
      </c>
      <c r="E30" s="87">
        <f>'CF (Equity, Debt)'!D28</f>
        <v>44691</v>
      </c>
      <c r="F30" s="87" t="str">
        <f t="shared" si="0"/>
        <v>Q2 2022</v>
      </c>
      <c r="G30" s="94">
        <f>'CF (Equity, Debt)'!E28</f>
        <v>0</v>
      </c>
      <c r="H30" s="94">
        <f>'CF (Equity, Debt)'!F28</f>
        <v>5</v>
      </c>
      <c r="K30" s="628"/>
    </row>
    <row r="31" spans="3:20" x14ac:dyDescent="0.3">
      <c r="C31" s="498" t="str">
        <f>'CF (Equity, Debt)'!C29</f>
        <v>vTv Therapeutics Inc.</v>
      </c>
      <c r="D31" s="90" t="s">
        <v>212</v>
      </c>
      <c r="E31" s="87">
        <f>'CF (Equity, Debt)'!D29</f>
        <v>44712</v>
      </c>
      <c r="F31" s="87" t="str">
        <f t="shared" si="0"/>
        <v>Q2 2022</v>
      </c>
      <c r="G31" s="94">
        <f>'CF (Equity, Debt)'!E29</f>
        <v>-12.5</v>
      </c>
      <c r="H31" s="94">
        <f>'CF (Equity, Debt)'!F29</f>
        <v>0</v>
      </c>
    </row>
    <row r="32" spans="3:20" x14ac:dyDescent="0.3">
      <c r="C32" s="497" t="str">
        <f>'CF (Equity, Debt)'!C30</f>
        <v>Honor Device Co Ltd</v>
      </c>
      <c r="D32" s="89" t="s">
        <v>212</v>
      </c>
      <c r="E32" s="85">
        <f>'CF (Equity, Debt)'!D30</f>
        <v>44769</v>
      </c>
      <c r="F32" s="85" t="str">
        <f t="shared" si="0"/>
        <v>Q3 2022</v>
      </c>
      <c r="G32" s="93">
        <f>'CF (Equity, Debt)'!E30</f>
        <v>-600</v>
      </c>
      <c r="H32" s="93">
        <f>'CF (Equity, Debt)'!F30</f>
        <v>0</v>
      </c>
    </row>
    <row r="33" spans="2:8" x14ac:dyDescent="0.3">
      <c r="C33" s="497" t="str">
        <f>'CF (Equity, Debt)'!C31</f>
        <v>Honor Device Co Ltd</v>
      </c>
      <c r="D33" s="89" t="s">
        <v>212</v>
      </c>
      <c r="E33" s="85">
        <f>'CF (Equity, Debt)'!D31</f>
        <v>44849</v>
      </c>
      <c r="F33" s="85" t="str">
        <f t="shared" ref="F33" si="33">"Q"&amp;ROUNDUP(MONTH(E33)/3,0)&amp;" "&amp;YEAR(E33)</f>
        <v>Q4 2022</v>
      </c>
      <c r="G33" s="93">
        <f>'CF (Equity, Debt)'!E31</f>
        <v>-200</v>
      </c>
      <c r="H33" s="93">
        <f>'CF (Equity, Debt)'!F31</f>
        <v>0</v>
      </c>
    </row>
    <row r="34" spans="2:8" x14ac:dyDescent="0.3">
      <c r="C34" s="498" t="str">
        <f>'CF (Equity, Debt)'!C32</f>
        <v>Applied AI Corporation Limited</v>
      </c>
      <c r="D34" s="90" t="s">
        <v>212</v>
      </c>
      <c r="E34" s="87">
        <f>'CF (Equity, Debt)'!D32</f>
        <v>44861</v>
      </c>
      <c r="F34" s="87" t="str">
        <f t="shared" si="0"/>
        <v>Q4 2022</v>
      </c>
      <c r="G34" s="94">
        <f>'CF (Equity, Debt)'!E32</f>
        <v>-4.75</v>
      </c>
      <c r="H34" s="94">
        <f>'CF (Equity, Debt)'!F32</f>
        <v>0</v>
      </c>
    </row>
    <row r="35" spans="2:8" x14ac:dyDescent="0.3">
      <c r="C35" s="497" t="str">
        <f>'CF (Equity, Debt)'!C33</f>
        <v xml:space="preserve">eSpace </v>
      </c>
      <c r="D35" s="89" t="s">
        <v>212</v>
      </c>
      <c r="E35" s="85">
        <f>'CF (Equity, Debt)'!D33</f>
        <v>44892</v>
      </c>
      <c r="F35" s="85" t="str">
        <f t="shared" ref="F35" si="34">"Q"&amp;ROUNDUP(MONTH(E35)/3,0)&amp;" "&amp;YEAR(E35)</f>
        <v>Q4 2022</v>
      </c>
      <c r="G35" s="93">
        <f>'CF (Equity, Debt)'!E33</f>
        <v>-15</v>
      </c>
      <c r="H35" s="93">
        <f>'CF (Equity, Debt)'!F33</f>
        <v>0</v>
      </c>
    </row>
    <row r="36" spans="2:8" x14ac:dyDescent="0.3">
      <c r="C36" s="497" t="str">
        <f>'CF (Equity, Debt)'!C34</f>
        <v>vTv Therapeutics Inc.</v>
      </c>
      <c r="D36" s="89" t="s">
        <v>212</v>
      </c>
      <c r="E36" s="85">
        <f>'CF (Equity, Debt)'!D34</f>
        <v>44985</v>
      </c>
      <c r="F36" s="85" t="str">
        <f t="shared" ref="F36" si="35">"Q"&amp;ROUNDUP(MONTH(E36)/3,0)&amp;" "&amp;YEAR(E36)</f>
        <v>Q1 2023</v>
      </c>
      <c r="G36" s="93">
        <f>'CF (Equity, Debt)'!E34</f>
        <v>-12.03125</v>
      </c>
      <c r="H36" s="93">
        <f>'CF (Equity, Debt)'!F34</f>
        <v>0</v>
      </c>
    </row>
    <row r="37" spans="2:8" x14ac:dyDescent="0.3">
      <c r="C37" s="497" t="str">
        <f>'CF (Equity, Debt)'!C35</f>
        <v>Tools for Humanity Corporation</v>
      </c>
      <c r="D37" s="89" t="s">
        <v>212</v>
      </c>
      <c r="E37" s="85">
        <f>'CF (Equity, Debt)'!D35</f>
        <v>45075</v>
      </c>
      <c r="F37" s="85" t="str">
        <f t="shared" ref="F37" si="36">"Q"&amp;ROUNDUP(MONTH(E37)/3,0)&amp;" "&amp;YEAR(E37)</f>
        <v>Q2 2023</v>
      </c>
      <c r="G37" s="93">
        <f>'CF (Equity, Debt)'!E35</f>
        <v>-14.999998939999999</v>
      </c>
      <c r="H37" s="93">
        <f>'CF (Equity, Debt)'!F35</f>
        <v>0</v>
      </c>
    </row>
    <row r="38" spans="2:8" x14ac:dyDescent="0.3">
      <c r="C38" s="497" t="str">
        <f>'CF (Equity, Debt)'!C36</f>
        <v>WLD Tokens</v>
      </c>
      <c r="D38" s="89" t="s">
        <v>212</v>
      </c>
      <c r="E38" s="85">
        <f>'CF (Equity, Debt)'!D36</f>
        <v>45075</v>
      </c>
      <c r="F38" s="85" t="str">
        <f t="shared" ref="F38:F41" si="37">"Q"&amp;ROUNDUP(MONTH(E38)/3,0)&amp;" "&amp;YEAR(E38)</f>
        <v>Q2 2023</v>
      </c>
      <c r="G38" s="93">
        <f>'CF (Equity, Debt)'!E36</f>
        <v>-5.875E-3</v>
      </c>
      <c r="H38" s="93">
        <f>'CF (Equity, Debt)'!F36</f>
        <v>0</v>
      </c>
    </row>
    <row r="39" spans="2:8" x14ac:dyDescent="0.3">
      <c r="C39" s="497" t="str">
        <f>'CF (Equity, Debt)'!C37</f>
        <v>WLD Tokens</v>
      </c>
      <c r="D39" s="89" t="s">
        <v>212</v>
      </c>
      <c r="E39" s="85">
        <f>'CF (Equity, Debt)'!D37</f>
        <v>45114</v>
      </c>
      <c r="F39" s="85" t="str">
        <f t="shared" si="37"/>
        <v>Q3 2023</v>
      </c>
      <c r="G39" s="93">
        <f>'CF (Equity, Debt)'!E37</f>
        <v>-1E-3</v>
      </c>
      <c r="H39" s="93">
        <f>'CF (Equity, Debt)'!F37</f>
        <v>0</v>
      </c>
    </row>
    <row r="40" spans="2:8" x14ac:dyDescent="0.3">
      <c r="C40" s="497" t="str">
        <f>'CF (Equity, Debt)'!C38</f>
        <v>Applied AI Corporation Limited</v>
      </c>
      <c r="D40" s="89" t="s">
        <v>212</v>
      </c>
      <c r="E40" s="85">
        <f>'CF (Equity, Debt)'!D38</f>
        <v>45121</v>
      </c>
      <c r="F40" s="85" t="str">
        <f t="shared" si="37"/>
        <v>Q3 2023</v>
      </c>
      <c r="G40" s="93">
        <f>'CF (Equity, Debt)'!E38</f>
        <v>-2.75</v>
      </c>
      <c r="H40" s="93">
        <f>'CF (Equity, Debt)'!F38</f>
        <v>0</v>
      </c>
    </row>
    <row r="41" spans="2:8" x14ac:dyDescent="0.3">
      <c r="C41" s="497" t="str">
        <f>'CF (Equity, Debt)'!C39</f>
        <v>Instadeep Limited</v>
      </c>
      <c r="D41" s="89" t="s">
        <v>212</v>
      </c>
      <c r="E41" s="85">
        <f>'CF (Equity, Debt)'!D39</f>
        <v>45138</v>
      </c>
      <c r="F41" s="85" t="str">
        <f t="shared" si="37"/>
        <v>Q3 2023</v>
      </c>
      <c r="G41" s="93">
        <f>'CF (Equity, Debt)'!E39</f>
        <v>0</v>
      </c>
      <c r="H41" s="93">
        <f>'CF (Equity, Debt)'!F39</f>
        <v>7.8207760999999989</v>
      </c>
    </row>
    <row r="42" spans="2:8" x14ac:dyDescent="0.3">
      <c r="B42" s="567" t="s">
        <v>53</v>
      </c>
      <c r="C42" s="563"/>
      <c r="D42" s="564"/>
      <c r="E42" s="565"/>
      <c r="F42" s="565"/>
      <c r="G42" s="566"/>
      <c r="H42" s="566"/>
    </row>
    <row r="43" spans="2:8" x14ac:dyDescent="0.3">
      <c r="C43" s="499" t="str">
        <f>'CF (Equity, Debt)'!C42</f>
        <v xml:space="preserve">Glass Earth Holdings LLC </v>
      </c>
      <c r="D43" s="289" t="s">
        <v>53</v>
      </c>
      <c r="E43" s="465">
        <f>'CF (Equity, Debt)'!D42</f>
        <v>43635</v>
      </c>
      <c r="F43" s="290" t="str">
        <f t="shared" ref="F43:F59" si="38">"Q"&amp;ROUNDUP(MONTH(E43)/3,0)&amp;" "&amp;YEAR(E43)</f>
        <v>Q2 2019</v>
      </c>
      <c r="G43" s="291">
        <f>'CF (Equity, Debt)'!E42</f>
        <v>-8</v>
      </c>
      <c r="H43" s="291">
        <f>'CF (Equity, Debt)'!F42</f>
        <v>0</v>
      </c>
    </row>
    <row r="44" spans="2:8" x14ac:dyDescent="0.3">
      <c r="C44" s="499" t="str">
        <f>'CF (Equity, Debt)'!C43</f>
        <v>Mena Mobile Inc (Debt)</v>
      </c>
      <c r="D44" s="289" t="s">
        <v>53</v>
      </c>
      <c r="E44" s="465">
        <f>'CF (Equity, Debt)'!D43</f>
        <v>44293</v>
      </c>
      <c r="F44" s="290" t="str">
        <f t="shared" si="38"/>
        <v>Q2 2021</v>
      </c>
      <c r="G44" s="291">
        <f>'CF (Equity, Debt)'!E43</f>
        <v>-2.3539819999999998</v>
      </c>
      <c r="H44" s="291">
        <f>'CF (Equity, Debt)'!F43</f>
        <v>0</v>
      </c>
    </row>
    <row r="45" spans="2:8" x14ac:dyDescent="0.3">
      <c r="C45" s="499" t="str">
        <f>'CF (Equity, Debt)'!C44</f>
        <v>Esyasoft Holding (Debt)</v>
      </c>
      <c r="D45" s="289" t="s">
        <v>53</v>
      </c>
      <c r="E45" s="465">
        <f>'CF (Equity, Debt)'!D44</f>
        <v>44384</v>
      </c>
      <c r="F45" s="290" t="str">
        <f t="shared" si="38"/>
        <v>Q3 2021</v>
      </c>
      <c r="G45" s="291">
        <f>'CF (Equity, Debt)'!E44</f>
        <v>-0.41176499999999999</v>
      </c>
      <c r="H45" s="291">
        <f>'CF (Equity, Debt)'!F44</f>
        <v>0</v>
      </c>
    </row>
    <row r="46" spans="2:8" x14ac:dyDescent="0.3">
      <c r="C46" s="499" t="str">
        <f>'CF (Equity, Debt)'!C45</f>
        <v>Esyasoft Holding (Debt)</v>
      </c>
      <c r="D46" s="289" t="s">
        <v>53</v>
      </c>
      <c r="E46" s="465">
        <f>'CF (Equity, Debt)'!D45</f>
        <v>44902</v>
      </c>
      <c r="F46" s="290" t="str">
        <f t="shared" ref="F46" si="39">"Q"&amp;ROUNDUP(MONTH(E46)/3,0)&amp;" "&amp;YEAR(E46)</f>
        <v>Q4 2022</v>
      </c>
      <c r="G46" s="291">
        <f>'CF (Equity, Debt)'!E45</f>
        <v>0</v>
      </c>
      <c r="H46" s="291">
        <f>'CF (Equity, Debt)'!F45</f>
        <v>0.47078465000000003</v>
      </c>
    </row>
    <row r="47" spans="2:8" x14ac:dyDescent="0.3">
      <c r="B47" s="567" t="s">
        <v>427</v>
      </c>
      <c r="C47" s="563"/>
      <c r="D47" s="564"/>
      <c r="E47" s="565"/>
      <c r="F47" s="565"/>
      <c r="G47" s="566"/>
      <c r="H47" s="566"/>
    </row>
    <row r="48" spans="2:8" x14ac:dyDescent="0.3">
      <c r="C48" s="499" t="str">
        <f>'CF (Funds)'!B3</f>
        <v>Sinovation Disrupt Fund, L.P.</v>
      </c>
      <c r="D48" s="289" t="s">
        <v>63</v>
      </c>
      <c r="E48" s="465">
        <f>'CF (Funds)'!C3</f>
        <v>44153</v>
      </c>
      <c r="F48" s="289" t="str">
        <f t="shared" si="38"/>
        <v>Q4 2020</v>
      </c>
      <c r="G48" s="291">
        <f>'CF (Funds)'!D3</f>
        <v>-10.5</v>
      </c>
      <c r="H48" s="291">
        <f>'CF (Funds)'!E3</f>
        <v>0</v>
      </c>
    </row>
    <row r="49" spans="3:8" x14ac:dyDescent="0.3">
      <c r="C49" s="499" t="str">
        <f>'CF (Funds)'!B4</f>
        <v>Sinovation Disrupt Fund, L.P.</v>
      </c>
      <c r="D49" s="289" t="s">
        <v>63</v>
      </c>
      <c r="E49" s="465">
        <f>'CF (Funds)'!C4</f>
        <v>44238</v>
      </c>
      <c r="F49" s="290" t="str">
        <f t="shared" si="38"/>
        <v>Q1 2021</v>
      </c>
      <c r="G49" s="291">
        <f>'CF (Funds)'!D4</f>
        <v>4.2140269999999997</v>
      </c>
      <c r="H49" s="291">
        <f>'CF (Funds)'!E4</f>
        <v>0</v>
      </c>
    </row>
    <row r="50" spans="3:8" x14ac:dyDescent="0.3">
      <c r="C50" s="499" t="str">
        <f>'CF (Funds)'!B5</f>
        <v>Sinovation Disrupt Fund, L.P.</v>
      </c>
      <c r="D50" s="289" t="s">
        <v>63</v>
      </c>
      <c r="E50" s="465">
        <f>'CF (Funds)'!C5</f>
        <v>44238</v>
      </c>
      <c r="F50" s="290" t="str">
        <f t="shared" si="38"/>
        <v>Q1 2021</v>
      </c>
      <c r="G50" s="291">
        <f>'CF (Funds)'!D5</f>
        <v>0</v>
      </c>
      <c r="H50" s="291">
        <f>'CF (Funds)'!E5</f>
        <v>5.0448349999999996E-2</v>
      </c>
    </row>
    <row r="51" spans="3:8" x14ac:dyDescent="0.3">
      <c r="C51" s="499" t="str">
        <f>'CF (Funds)'!B6</f>
        <v>Sinovation Disrupt Fund, L.P.</v>
      </c>
      <c r="D51" s="289" t="s">
        <v>63</v>
      </c>
      <c r="E51" s="465">
        <f>'CF (Funds)'!C6</f>
        <v>44285</v>
      </c>
      <c r="F51" s="290" t="str">
        <f t="shared" si="38"/>
        <v>Q1 2021</v>
      </c>
      <c r="G51" s="291">
        <f>'CF (Funds)'!D6</f>
        <v>-6.4337459999999993</v>
      </c>
      <c r="H51" s="291">
        <f>'CF (Funds)'!E6</f>
        <v>0</v>
      </c>
    </row>
    <row r="52" spans="3:8" x14ac:dyDescent="0.3">
      <c r="C52" s="499" t="str">
        <f>'CF (Funds)'!B7</f>
        <v>Sinovation Disrupt Fund, L.P.</v>
      </c>
      <c r="D52" s="289" t="s">
        <v>63</v>
      </c>
      <c r="E52" s="465">
        <f>'CF (Funds)'!C7</f>
        <v>44269</v>
      </c>
      <c r="F52" s="290" t="str">
        <f t="shared" si="38"/>
        <v>Q1 2021</v>
      </c>
      <c r="G52" s="291">
        <f>'CF (Funds)'!D7</f>
        <v>1.1352073899999999</v>
      </c>
      <c r="H52" s="291">
        <f>'CF (Funds)'!E7</f>
        <v>0</v>
      </c>
    </row>
    <row r="53" spans="3:8" x14ac:dyDescent="0.3">
      <c r="C53" s="499" t="str">
        <f>'CF (Funds)'!B8</f>
        <v>Sinovation Disrupt Fund, L.P.</v>
      </c>
      <c r="D53" s="289" t="s">
        <v>63</v>
      </c>
      <c r="E53" s="465">
        <f>'CF (Funds)'!C8</f>
        <v>44269</v>
      </c>
      <c r="F53" s="290" t="str">
        <f t="shared" si="38"/>
        <v>Q1 2021</v>
      </c>
      <c r="G53" s="291">
        <f>'CF (Funds)'!D8</f>
        <v>0</v>
      </c>
      <c r="H53" s="291">
        <f>'CF (Funds)'!E8</f>
        <v>2.5899999999999999E-2</v>
      </c>
    </row>
    <row r="54" spans="3:8" x14ac:dyDescent="0.3">
      <c r="C54" s="499" t="str">
        <f>'CF (Funds)'!B9</f>
        <v>Sinovation Disrupt Fund, L.P.</v>
      </c>
      <c r="D54" s="289" t="s">
        <v>63</v>
      </c>
      <c r="E54" s="465">
        <f>'CF (Funds)'!C9</f>
        <v>44483</v>
      </c>
      <c r="F54" s="290" t="str">
        <f t="shared" si="38"/>
        <v>Q4 2021</v>
      </c>
      <c r="G54" s="291">
        <f>'CF (Funds)'!D9</f>
        <v>-7.5671379999999999</v>
      </c>
      <c r="H54" s="291">
        <f>'CF (Funds)'!E9</f>
        <v>0</v>
      </c>
    </row>
    <row r="55" spans="3:8" x14ac:dyDescent="0.3">
      <c r="C55" s="499" t="str">
        <f>'CF (Funds)'!B10</f>
        <v>Sinovation Disrupt Fund, L.P.</v>
      </c>
      <c r="D55" s="289" t="s">
        <v>63</v>
      </c>
      <c r="E55" s="465">
        <f>'CF (Funds)'!C10</f>
        <v>44554</v>
      </c>
      <c r="F55" s="290" t="str">
        <f t="shared" si="38"/>
        <v>Q4 2021</v>
      </c>
      <c r="G55" s="291">
        <f>'CF (Funds)'!D10</f>
        <v>-7.3850159999999994</v>
      </c>
      <c r="H55" s="291">
        <f>'CF (Funds)'!E10</f>
        <v>0</v>
      </c>
    </row>
    <row r="56" spans="3:8" x14ac:dyDescent="0.3">
      <c r="C56" s="499" t="str">
        <f>'CF (Funds)'!B11</f>
        <v>Sinovation Disrupt Fund, L.P.</v>
      </c>
      <c r="D56" s="289" t="s">
        <v>63</v>
      </c>
      <c r="E56" s="465">
        <f>'CF (Funds)'!C11</f>
        <v>44554</v>
      </c>
      <c r="F56" s="290" t="str">
        <f t="shared" si="38"/>
        <v>Q4 2021</v>
      </c>
      <c r="G56" s="291">
        <f>'CF (Funds)'!D11</f>
        <v>4.0733456099999996</v>
      </c>
      <c r="H56" s="291">
        <f>'CF (Funds)'!E11</f>
        <v>0</v>
      </c>
    </row>
    <row r="57" spans="3:8" x14ac:dyDescent="0.3">
      <c r="C57" s="499" t="str">
        <f>'CF (Funds)'!B12</f>
        <v>Sinovation Disrupt Fund, L.P.</v>
      </c>
      <c r="D57" s="289" t="s">
        <v>63</v>
      </c>
      <c r="E57" s="465">
        <f>'CF (Funds)'!C12</f>
        <v>44554</v>
      </c>
      <c r="F57" s="290" t="str">
        <f t="shared" si="38"/>
        <v>Q4 2021</v>
      </c>
      <c r="G57" s="291">
        <f>'CF (Funds)'!D12</f>
        <v>0</v>
      </c>
      <c r="H57" s="291">
        <f>'CF (Funds)'!E12</f>
        <v>0.13969399999999998</v>
      </c>
    </row>
    <row r="58" spans="3:8" x14ac:dyDescent="0.3">
      <c r="C58" s="499" t="str">
        <f>'CF (Funds)'!B13</f>
        <v>Sinovation Disrupt Fund, L.P.</v>
      </c>
      <c r="D58" s="289" t="s">
        <v>63</v>
      </c>
      <c r="E58" s="465">
        <f>'CF (Funds)'!C13</f>
        <v>44703</v>
      </c>
      <c r="F58" s="290" t="str">
        <f t="shared" si="38"/>
        <v>Q2 2022</v>
      </c>
      <c r="G58" s="291">
        <f>'CF (Funds)'!D13</f>
        <v>5.6730739999999997</v>
      </c>
      <c r="H58" s="291">
        <f>'CF (Funds)'!E13</f>
        <v>0</v>
      </c>
    </row>
    <row r="59" spans="3:8" x14ac:dyDescent="0.3">
      <c r="C59" s="499" t="str">
        <f>'CF (Funds)'!B14</f>
        <v>Sinovation Disrupt Fund, L.P.</v>
      </c>
      <c r="D59" s="289" t="s">
        <v>63</v>
      </c>
      <c r="E59" s="465">
        <f>'CF (Funds)'!C14</f>
        <v>44703</v>
      </c>
      <c r="F59" s="290" t="str">
        <f t="shared" si="38"/>
        <v>Q2 2022</v>
      </c>
      <c r="G59" s="291">
        <f>'CF (Funds)'!D14</f>
        <v>0</v>
      </c>
      <c r="H59" s="291">
        <f>'CF (Funds)'!E14</f>
        <v>0.22778599999999999</v>
      </c>
    </row>
    <row r="60" spans="3:8" x14ac:dyDescent="0.3">
      <c r="C60" s="499" t="str">
        <f>'CF (Funds)'!B15</f>
        <v>Sinovation Disrupt Fund, L.P.</v>
      </c>
      <c r="D60" s="289" t="s">
        <v>63</v>
      </c>
      <c r="E60" s="465">
        <f>'CF (Funds)'!C15</f>
        <v>44776</v>
      </c>
      <c r="F60" s="290" t="str">
        <f t="shared" ref="F60" si="40">"Q"&amp;ROUNDUP(MONTH(E60)/3,0)&amp;" "&amp;YEAR(E60)</f>
        <v>Q3 2022</v>
      </c>
      <c r="G60" s="291">
        <f>'CF (Funds)'!D15</f>
        <v>-3.235493</v>
      </c>
      <c r="H60" s="291">
        <f>'CF (Funds)'!E15</f>
        <v>0</v>
      </c>
    </row>
    <row r="61" spans="3:8" x14ac:dyDescent="0.3">
      <c r="C61" s="499" t="str">
        <f>'CF (Funds)'!B16</f>
        <v>Sinovation Disrupt Fund, L.P.</v>
      </c>
      <c r="D61" s="289" t="s">
        <v>63</v>
      </c>
      <c r="E61" s="465">
        <f>'CF (Funds)'!C16</f>
        <v>44960</v>
      </c>
      <c r="F61" s="290" t="str">
        <f t="shared" ref="F61" si="41">"Q"&amp;ROUNDUP(MONTH(E61)/3,0)&amp;" "&amp;YEAR(E61)</f>
        <v>Q1 2023</v>
      </c>
      <c r="G61" s="291">
        <f>'CF (Funds)'!D16</f>
        <v>-2.6315279999999999</v>
      </c>
      <c r="H61" s="291">
        <f>'CF (Funds)'!E16</f>
        <v>0</v>
      </c>
    </row>
    <row r="62" spans="3:8" x14ac:dyDescent="0.3">
      <c r="C62" s="499" t="str">
        <f>'CF (Funds)'!B17</f>
        <v>Sinovation Disrupt Fund, L.P.</v>
      </c>
      <c r="D62" s="289" t="s">
        <v>63</v>
      </c>
      <c r="E62" s="465">
        <f>'CF (Funds)'!C17</f>
        <v>45085</v>
      </c>
      <c r="F62" s="290" t="str">
        <f t="shared" ref="F62" si="42">"Q"&amp;ROUNDUP(MONTH(E62)/3,0)&amp;" "&amp;YEAR(E62)</f>
        <v>Q2 2023</v>
      </c>
      <c r="G62" s="291">
        <f>'CF (Funds)'!D17</f>
        <v>1.9125570000000001</v>
      </c>
      <c r="H62" s="291">
        <f>'CF (Funds)'!E17</f>
        <v>0</v>
      </c>
    </row>
    <row r="63" spans="3:8" x14ac:dyDescent="0.3">
      <c r="C63" s="292" t="str">
        <f>'CF (Funds)'!B18</f>
        <v>North Summit Capital Fund</v>
      </c>
      <c r="D63" s="293" t="s">
        <v>63</v>
      </c>
      <c r="E63" s="464">
        <f>'CF (Funds)'!C18</f>
        <v>43665</v>
      </c>
      <c r="F63" s="294" t="str">
        <f t="shared" ref="F63:F81" si="43">"Q"&amp;ROUNDUP(MONTH(E63)/3,0)&amp;" "&amp;YEAR(E63)</f>
        <v>Q3 2019</v>
      </c>
      <c r="G63" s="295">
        <f>'CF (Funds)'!D18</f>
        <v>-3</v>
      </c>
      <c r="H63" s="295">
        <f>'CF (Funds)'!E18</f>
        <v>0</v>
      </c>
    </row>
    <row r="64" spans="3:8" x14ac:dyDescent="0.3">
      <c r="C64" s="292" t="str">
        <f>'CF (Funds)'!B19</f>
        <v>North Summit Capital Fund</v>
      </c>
      <c r="D64" s="293" t="s">
        <v>63</v>
      </c>
      <c r="E64" s="464">
        <f>'CF (Funds)'!C19</f>
        <v>43983</v>
      </c>
      <c r="F64" s="294" t="str">
        <f t="shared" si="43"/>
        <v>Q2 2020</v>
      </c>
      <c r="G64" s="295">
        <f>'CF (Funds)'!D19</f>
        <v>-4.4849999999999994</v>
      </c>
      <c r="H64" s="295">
        <f>'CF (Funds)'!E19</f>
        <v>0</v>
      </c>
    </row>
    <row r="65" spans="3:8" x14ac:dyDescent="0.3">
      <c r="C65" s="292" t="str">
        <f>'CF (Funds)'!B20</f>
        <v>North Summit Capital Fund</v>
      </c>
      <c r="D65" s="293" t="s">
        <v>63</v>
      </c>
      <c r="E65" s="464">
        <f>'CF (Funds)'!C20</f>
        <v>43879</v>
      </c>
      <c r="F65" s="294" t="str">
        <f t="shared" si="43"/>
        <v>Q1 2020</v>
      </c>
      <c r="G65" s="295">
        <f>'CF (Funds)'!D20</f>
        <v>-9.5097500000000004</v>
      </c>
      <c r="H65" s="295">
        <f>'CF (Funds)'!E20</f>
        <v>0</v>
      </c>
    </row>
    <row r="66" spans="3:8" x14ac:dyDescent="0.3">
      <c r="C66" s="292" t="str">
        <f>'CF (Funds)'!B21</f>
        <v>North Summit Capital Fund</v>
      </c>
      <c r="D66" s="293" t="s">
        <v>63</v>
      </c>
      <c r="E66" s="464">
        <f>'CF (Funds)'!C21</f>
        <v>43934</v>
      </c>
      <c r="F66" s="294" t="str">
        <f t="shared" si="43"/>
        <v>Q2 2020</v>
      </c>
      <c r="G66" s="295">
        <f>'CF (Funds)'!D21</f>
        <v>-41.3</v>
      </c>
      <c r="H66" s="295">
        <f>'CF (Funds)'!E21</f>
        <v>0</v>
      </c>
    </row>
    <row r="67" spans="3:8" x14ac:dyDescent="0.3">
      <c r="C67" s="292" t="str">
        <f>'CF (Funds)'!B22</f>
        <v>North Summit Capital Fund</v>
      </c>
      <c r="D67" s="293" t="s">
        <v>63</v>
      </c>
      <c r="E67" s="464">
        <f>'CF (Funds)'!C22</f>
        <v>44151</v>
      </c>
      <c r="F67" s="294" t="str">
        <f t="shared" si="43"/>
        <v>Q4 2020</v>
      </c>
      <c r="G67" s="295">
        <f>'CF (Funds)'!D22</f>
        <v>9.9499999999999993</v>
      </c>
      <c r="H67" s="295">
        <f>'CF (Funds)'!E22</f>
        <v>0</v>
      </c>
    </row>
    <row r="68" spans="3:8" x14ac:dyDescent="0.3">
      <c r="C68" s="292" t="str">
        <f>'CF (Funds)'!B23</f>
        <v>North Summit Capital Fund</v>
      </c>
      <c r="D68" s="293" t="s">
        <v>63</v>
      </c>
      <c r="E68" s="464">
        <f>'CF (Funds)'!C23</f>
        <v>44151</v>
      </c>
      <c r="F68" s="294" t="str">
        <f t="shared" si="43"/>
        <v>Q4 2020</v>
      </c>
      <c r="G68" s="295">
        <f>'CF (Funds)'!D23</f>
        <v>-10.455</v>
      </c>
      <c r="H68" s="295">
        <f>'CF (Funds)'!E23</f>
        <v>0</v>
      </c>
    </row>
    <row r="69" spans="3:8" x14ac:dyDescent="0.3">
      <c r="C69" s="292" t="str">
        <f>'CF (Funds)'!B24</f>
        <v>North Summit Capital Fund</v>
      </c>
      <c r="D69" s="293" t="s">
        <v>63</v>
      </c>
      <c r="E69" s="464">
        <f>'CF (Funds)'!C24</f>
        <v>44196</v>
      </c>
      <c r="F69" s="294" t="str">
        <f t="shared" si="43"/>
        <v>Q4 2020</v>
      </c>
      <c r="G69" s="295">
        <f>'CF (Funds)'!D24</f>
        <v>4.9749999999999996</v>
      </c>
      <c r="H69" s="295">
        <f>'CF (Funds)'!E24</f>
        <v>0</v>
      </c>
    </row>
    <row r="70" spans="3:8" x14ac:dyDescent="0.3">
      <c r="C70" s="292" t="str">
        <f>'CF (Funds)'!B25</f>
        <v>North Summit Capital Fund</v>
      </c>
      <c r="D70" s="293" t="s">
        <v>63</v>
      </c>
      <c r="E70" s="464">
        <f>'CF (Funds)'!C25</f>
        <v>44196</v>
      </c>
      <c r="F70" s="294" t="str">
        <f t="shared" si="43"/>
        <v>Q4 2020</v>
      </c>
      <c r="G70" s="295">
        <f>'CF (Funds)'!D25</f>
        <v>-3.4522930000000001</v>
      </c>
      <c r="H70" s="295">
        <f>'CF (Funds)'!E25</f>
        <v>0</v>
      </c>
    </row>
    <row r="71" spans="3:8" x14ac:dyDescent="0.3">
      <c r="C71" s="292" t="str">
        <f>'CF (Funds)'!B26</f>
        <v>North Summit Capital Fund</v>
      </c>
      <c r="D71" s="293" t="s">
        <v>63</v>
      </c>
      <c r="E71" s="464">
        <f>'CF (Funds)'!C26</f>
        <v>44196</v>
      </c>
      <c r="F71" s="294" t="str">
        <f t="shared" si="43"/>
        <v>Q4 2020</v>
      </c>
      <c r="G71" s="295">
        <f>'CF (Funds)'!D26</f>
        <v>0</v>
      </c>
      <c r="H71" s="295">
        <f>'CF (Funds)'!E26</f>
        <v>0.58290199999999992</v>
      </c>
    </row>
    <row r="72" spans="3:8" x14ac:dyDescent="0.3">
      <c r="C72" s="292" t="str">
        <f>'CF (Funds)'!B27</f>
        <v>North Summit Capital Fund</v>
      </c>
      <c r="D72" s="293" t="s">
        <v>63</v>
      </c>
      <c r="E72" s="464">
        <f>'CF (Funds)'!C27</f>
        <v>44370</v>
      </c>
      <c r="F72" s="294" t="str">
        <f t="shared" si="43"/>
        <v>Q2 2021</v>
      </c>
      <c r="G72" s="295">
        <f>'CF (Funds)'!D27</f>
        <v>-5.97</v>
      </c>
      <c r="H72" s="295">
        <f>'CF (Funds)'!E27</f>
        <v>0</v>
      </c>
    </row>
    <row r="73" spans="3:8" x14ac:dyDescent="0.3">
      <c r="C73" s="292" t="str">
        <f>'CF (Funds)'!B28</f>
        <v>North Summit Capital Fund</v>
      </c>
      <c r="D73" s="293" t="s">
        <v>63</v>
      </c>
      <c r="E73" s="464">
        <f>'CF (Funds)'!C28</f>
        <v>44400</v>
      </c>
      <c r="F73" s="294" t="str">
        <f t="shared" si="43"/>
        <v>Q3 2021</v>
      </c>
      <c r="G73" s="295">
        <f>'CF (Funds)'!D28</f>
        <v>-0.75</v>
      </c>
      <c r="H73" s="295">
        <f>'CF (Funds)'!E28</f>
        <v>0</v>
      </c>
    </row>
    <row r="74" spans="3:8" x14ac:dyDescent="0.3">
      <c r="C74" s="292" t="str">
        <f>'CF (Funds)'!B29</f>
        <v>North Summit Capital Fund</v>
      </c>
      <c r="D74" s="293" t="s">
        <v>63</v>
      </c>
      <c r="E74" s="464">
        <f>'CF (Funds)'!C29</f>
        <v>44400</v>
      </c>
      <c r="F74" s="294" t="str">
        <f t="shared" si="43"/>
        <v>Q3 2021</v>
      </c>
      <c r="G74" s="295">
        <f>'CF (Funds)'!D29</f>
        <v>0</v>
      </c>
      <c r="H74" s="295">
        <f>'CF (Funds)'!E29</f>
        <v>0.44505899999999998</v>
      </c>
    </row>
    <row r="75" spans="3:8" x14ac:dyDescent="0.3">
      <c r="C75" s="292" t="str">
        <f>'CF (Funds)'!B30</f>
        <v>North Summit Capital Fund</v>
      </c>
      <c r="D75" s="293" t="s">
        <v>63</v>
      </c>
      <c r="E75" s="464">
        <f>'CF (Funds)'!C30</f>
        <v>44554</v>
      </c>
      <c r="F75" s="294" t="str">
        <f t="shared" si="43"/>
        <v>Q4 2021</v>
      </c>
      <c r="G75" s="295">
        <f>'CF (Funds)'!D30</f>
        <v>1.7823899999999999</v>
      </c>
      <c r="H75" s="295">
        <f>'CF (Funds)'!E30</f>
        <v>0</v>
      </c>
    </row>
    <row r="76" spans="3:8" x14ac:dyDescent="0.3">
      <c r="C76" s="292" t="str">
        <f>'CF (Funds)'!B31</f>
        <v>North Summit Capital Fund</v>
      </c>
      <c r="D76" s="293" t="s">
        <v>63</v>
      </c>
      <c r="E76" s="464">
        <f>'CF (Funds)'!C31</f>
        <v>44676</v>
      </c>
      <c r="F76" s="294" t="str">
        <f t="shared" si="43"/>
        <v>Q2 2022</v>
      </c>
      <c r="G76" s="295">
        <f>'CF (Funds)'!D31</f>
        <v>-21</v>
      </c>
      <c r="H76" s="295">
        <f>'CF (Funds)'!E31</f>
        <v>0</v>
      </c>
    </row>
    <row r="77" spans="3:8" x14ac:dyDescent="0.3">
      <c r="C77" s="288" t="str">
        <f>'CF (Funds)'!B32</f>
        <v>New Space Capital Fund I</v>
      </c>
      <c r="D77" s="289" t="s">
        <v>63</v>
      </c>
      <c r="E77" s="465">
        <f>'CF (Funds)'!C32</f>
        <v>44087</v>
      </c>
      <c r="F77" s="290" t="str">
        <f t="shared" si="43"/>
        <v>Q3 2020</v>
      </c>
      <c r="G77" s="291">
        <f>'CF (Funds)'!D32</f>
        <v>-20.917552997000001</v>
      </c>
      <c r="H77" s="291">
        <f>'CF (Funds)'!E32</f>
        <v>0</v>
      </c>
    </row>
    <row r="78" spans="3:8" x14ac:dyDescent="0.3">
      <c r="C78" s="288" t="str">
        <f>'CF (Funds)'!B33</f>
        <v>New Space Capital Fund I</v>
      </c>
      <c r="D78" s="289" t="s">
        <v>63</v>
      </c>
      <c r="E78" s="465">
        <f>'CF (Funds)'!C33</f>
        <v>44287</v>
      </c>
      <c r="F78" s="290" t="str">
        <f t="shared" si="43"/>
        <v>Q2 2021</v>
      </c>
      <c r="G78" s="291">
        <f>'CF (Funds)'!D33</f>
        <v>-0.21103182000000001</v>
      </c>
      <c r="H78" s="291">
        <f>'CF (Funds)'!E33</f>
        <v>0</v>
      </c>
    </row>
    <row r="79" spans="3:8" x14ac:dyDescent="0.3">
      <c r="C79" s="288" t="str">
        <f>'CF (Funds)'!B34</f>
        <v>New Space Capital Fund I</v>
      </c>
      <c r="D79" s="289" t="s">
        <v>63</v>
      </c>
      <c r="E79" s="465">
        <f>'CF (Funds)'!C34</f>
        <v>44442</v>
      </c>
      <c r="F79" s="290" t="str">
        <f t="shared" si="43"/>
        <v>Q3 2021</v>
      </c>
      <c r="G79" s="291">
        <f>'CF (Funds)'!D34</f>
        <v>-0.23965473139999999</v>
      </c>
      <c r="H79" s="291">
        <f>'CF (Funds)'!E34</f>
        <v>0</v>
      </c>
    </row>
    <row r="80" spans="3:8" x14ac:dyDescent="0.3">
      <c r="C80" s="288" t="str">
        <f>'CF (Funds)'!B35</f>
        <v>New Space Capital Fund I</v>
      </c>
      <c r="D80" s="289" t="s">
        <v>63</v>
      </c>
      <c r="E80" s="465">
        <f>'CF (Funds)'!C35</f>
        <v>44623</v>
      </c>
      <c r="F80" s="290" t="str">
        <f t="shared" si="43"/>
        <v>Q1 2022</v>
      </c>
      <c r="G80" s="291">
        <f>'CF (Funds)'!D35</f>
        <v>-0.25893584940000003</v>
      </c>
      <c r="H80" s="291">
        <f>'CF (Funds)'!E35</f>
        <v>0</v>
      </c>
    </row>
    <row r="81" spans="3:8" x14ac:dyDescent="0.3">
      <c r="C81" s="288" t="str">
        <f>'CF (Funds)'!B36</f>
        <v>New Space Capital Fund I</v>
      </c>
      <c r="D81" s="289" t="s">
        <v>63</v>
      </c>
      <c r="E81" s="465">
        <f>'CF (Funds)'!C36</f>
        <v>44784</v>
      </c>
      <c r="F81" s="290" t="str">
        <f t="shared" si="43"/>
        <v>Q3 2022</v>
      </c>
      <c r="G81" s="291">
        <f>'CF (Funds)'!D36</f>
        <v>1.5224656599999999E-2</v>
      </c>
      <c r="H81" s="291">
        <f>'CF (Funds)'!E36</f>
        <v>0</v>
      </c>
    </row>
    <row r="82" spans="3:8" x14ac:dyDescent="0.3">
      <c r="C82" s="288" t="str">
        <f>'CF (Funds)'!B37</f>
        <v>New Space Capital Fund I</v>
      </c>
      <c r="D82" s="289" t="s">
        <v>63</v>
      </c>
      <c r="E82" s="465">
        <f>'CF (Funds)'!C37</f>
        <v>44956</v>
      </c>
      <c r="F82" s="290" t="str">
        <f t="shared" ref="F82" si="44">"Q"&amp;ROUNDUP(MONTH(E82)/3,0)&amp;" "&amp;YEAR(E82)</f>
        <v>Q1 2023</v>
      </c>
      <c r="G82" s="291">
        <f>'CF (Funds)'!D37</f>
        <v>10.553916089669999</v>
      </c>
      <c r="H82" s="291">
        <f>'CF (Funds)'!E37</f>
        <v>0</v>
      </c>
    </row>
    <row r="83" spans="3:8" x14ac:dyDescent="0.3">
      <c r="C83" s="288" t="str">
        <f>'CF (Funds)'!B38</f>
        <v>New Space Capital Fund I</v>
      </c>
      <c r="D83" s="289" t="s">
        <v>63</v>
      </c>
      <c r="E83" s="465">
        <f>'CF (Funds)'!C38</f>
        <v>44956</v>
      </c>
      <c r="F83" s="290" t="str">
        <f t="shared" ref="F83" si="45">"Q"&amp;ROUNDUP(MONTH(E83)/3,0)&amp;" "&amp;YEAR(E83)</f>
        <v>Q1 2023</v>
      </c>
      <c r="G83" s="291">
        <f>'CF (Funds)'!D38</f>
        <v>0</v>
      </c>
      <c r="H83" s="291">
        <f>'CF (Funds)'!E38</f>
        <v>2.9557743514081998</v>
      </c>
    </row>
    <row r="84" spans="3:8" x14ac:dyDescent="0.3">
      <c r="C84" s="288" t="str">
        <f>'CF (Funds)'!B39</f>
        <v>New Space Capital GP Com SCSp</v>
      </c>
      <c r="D84" s="289" t="s">
        <v>63</v>
      </c>
      <c r="E84" s="465">
        <f>'CF (Funds)'!C39</f>
        <v>44087</v>
      </c>
      <c r="F84" s="290" t="str">
        <f>"Q"&amp;ROUNDUP(MONTH(E84)/3,0)&amp;" "&amp;YEAR(E84)</f>
        <v>Q3 2020</v>
      </c>
      <c r="G84" s="291">
        <f>'CF (Funds)'!D39</f>
        <v>-2.7058823529411762</v>
      </c>
      <c r="H84" s="291">
        <f>'CF (Funds)'!E39</f>
        <v>0</v>
      </c>
    </row>
    <row r="85" spans="3:8" x14ac:dyDescent="0.3">
      <c r="C85" s="292" t="str">
        <f>'CF (Funds)'!B40</f>
        <v>Acies Investments Fund I, L.P.</v>
      </c>
      <c r="D85" s="293" t="s">
        <v>63</v>
      </c>
      <c r="E85" s="464">
        <f>'CF (Funds)'!C40</f>
        <v>44540</v>
      </c>
      <c r="F85" s="294" t="str">
        <f>"Q"&amp;ROUNDUP(MONTH(E85)/3,0)&amp;" "&amp;YEAR(E85)</f>
        <v>Q4 2021</v>
      </c>
      <c r="G85" s="295">
        <f>'CF (Funds)'!D40</f>
        <v>-2.8053124999999999</v>
      </c>
      <c r="H85" s="295">
        <f>'CF (Funds)'!E40</f>
        <v>0</v>
      </c>
    </row>
    <row r="86" spans="3:8" x14ac:dyDescent="0.3">
      <c r="C86" s="292" t="str">
        <f>'CF (Funds)'!B41</f>
        <v>Acies Investments Fund I, L.P.</v>
      </c>
      <c r="D86" s="293" t="s">
        <v>63</v>
      </c>
      <c r="E86" s="464">
        <f>'CF (Funds)'!C41</f>
        <v>44602</v>
      </c>
      <c r="F86" s="294" t="str">
        <f>"Q"&amp;ROUNDUP(MONTH(E86)/3,0)&amp;" "&amp;YEAR(E86)</f>
        <v>Q1 2022</v>
      </c>
      <c r="G86" s="295">
        <f>'CF (Funds)'!D41</f>
        <v>-3.4074999999999998</v>
      </c>
      <c r="H86" s="295">
        <f>'CF (Funds)'!E41</f>
        <v>0</v>
      </c>
    </row>
    <row r="87" spans="3:8" x14ac:dyDescent="0.3">
      <c r="C87" s="292" t="str">
        <f>'CF (Funds)'!B42</f>
        <v>Acies Investments Fund I, L.P.</v>
      </c>
      <c r="D87" s="293" t="s">
        <v>63</v>
      </c>
      <c r="E87" s="464">
        <f>'CF (Funds)'!C42</f>
        <v>44683</v>
      </c>
      <c r="F87" s="294" t="str">
        <f>"Q"&amp;ROUNDUP(MONTH(E87)/3,0)&amp;" "&amp;YEAR(E87)</f>
        <v>Q2 2022</v>
      </c>
      <c r="G87" s="295">
        <f>'CF (Funds)'!D42</f>
        <v>-1.0257749999999999</v>
      </c>
      <c r="H87" s="295">
        <f>'CF (Funds)'!E42</f>
        <v>0</v>
      </c>
    </row>
    <row r="88" spans="3:8" x14ac:dyDescent="0.3">
      <c r="C88" s="292" t="str">
        <f>'CF (Funds)'!B43</f>
        <v>Acies Investments Fund I, L.P.</v>
      </c>
      <c r="D88" s="293" t="s">
        <v>63</v>
      </c>
      <c r="E88" s="464">
        <f>'CF (Funds)'!C43</f>
        <v>44707</v>
      </c>
      <c r="F88" s="294" t="str">
        <f t="shared" ref="F88" si="46">"Q"&amp;ROUNDUP(MONTH(E88)/3,0)&amp;" "&amp;YEAR(E88)</f>
        <v>Q2 2022</v>
      </c>
      <c r="G88" s="295">
        <f>'CF (Funds)'!D43</f>
        <v>-3.3882749999999997</v>
      </c>
      <c r="H88" s="295">
        <f>'CF (Funds)'!E43</f>
        <v>0</v>
      </c>
    </row>
    <row r="89" spans="3:8" x14ac:dyDescent="0.3">
      <c r="C89" s="292" t="str">
        <f>'CF (Funds)'!B44</f>
        <v>Acies Investments Fund I, L.P.</v>
      </c>
      <c r="D89" s="293" t="s">
        <v>63</v>
      </c>
      <c r="E89" s="464">
        <f>'CF (Funds)'!C44</f>
        <v>44875</v>
      </c>
      <c r="F89" s="294" t="str">
        <f t="shared" ref="F89" si="47">"Q"&amp;ROUNDUP(MONTH(E89)/3,0)&amp;" "&amp;YEAR(E89)</f>
        <v>Q4 2022</v>
      </c>
      <c r="G89" s="295">
        <f>'CF (Funds)'!D44</f>
        <v>-3.3882749999999997</v>
      </c>
      <c r="H89" s="295">
        <f>'CF (Funds)'!E44</f>
        <v>0</v>
      </c>
    </row>
    <row r="90" spans="3:8" x14ac:dyDescent="0.3">
      <c r="E90" s="466"/>
    </row>
    <row r="91" spans="3:8" x14ac:dyDescent="0.3">
      <c r="E91" s="466"/>
    </row>
    <row r="92" spans="3:8" x14ac:dyDescent="0.3">
      <c r="E92" s="466"/>
    </row>
    <row r="93" spans="3:8" x14ac:dyDescent="0.3">
      <c r="E93" s="466"/>
    </row>
    <row r="94" spans="3:8" x14ac:dyDescent="0.3">
      <c r="E94" s="466"/>
    </row>
    <row r="95" spans="3:8" x14ac:dyDescent="0.3">
      <c r="E95" s="466"/>
    </row>
    <row r="96" spans="3:8" x14ac:dyDescent="0.3">
      <c r="E96" s="466"/>
    </row>
    <row r="97" spans="5:5" x14ac:dyDescent="0.3">
      <c r="E97" s="466"/>
    </row>
    <row r="98" spans="5:5" x14ac:dyDescent="0.3">
      <c r="E98" s="466"/>
    </row>
    <row r="99" spans="5:5" x14ac:dyDescent="0.3">
      <c r="E99" s="466"/>
    </row>
    <row r="100" spans="5:5" x14ac:dyDescent="0.3">
      <c r="E100" s="466"/>
    </row>
    <row r="101" spans="5:5" x14ac:dyDescent="0.3">
      <c r="E101" s="466"/>
    </row>
    <row r="102" spans="5:5" x14ac:dyDescent="0.3">
      <c r="E102" s="466"/>
    </row>
    <row r="103" spans="5:5" x14ac:dyDescent="0.3">
      <c r="E103" s="466"/>
    </row>
    <row r="104" spans="5:5" x14ac:dyDescent="0.3">
      <c r="E104" s="466"/>
    </row>
    <row r="105" spans="5:5" x14ac:dyDescent="0.3">
      <c r="E105" s="466"/>
    </row>
    <row r="106" spans="5:5" x14ac:dyDescent="0.3">
      <c r="E106" s="466"/>
    </row>
    <row r="107" spans="5:5" x14ac:dyDescent="0.3">
      <c r="E107" s="466"/>
    </row>
    <row r="108" spans="5:5" x14ac:dyDescent="0.3">
      <c r="E108" s="466"/>
    </row>
    <row r="109" spans="5:5" x14ac:dyDescent="0.3">
      <c r="E109" s="466"/>
    </row>
    <row r="110" spans="5:5" x14ac:dyDescent="0.3">
      <c r="E110" s="466"/>
    </row>
    <row r="111" spans="5:5" x14ac:dyDescent="0.3">
      <c r="E111" s="466"/>
    </row>
    <row r="112" spans="5:5" x14ac:dyDescent="0.3">
      <c r="E112" s="466"/>
    </row>
    <row r="113" spans="5:5" x14ac:dyDescent="0.3">
      <c r="E113" s="466"/>
    </row>
    <row r="114" spans="5:5" x14ac:dyDescent="0.3">
      <c r="E114" s="466"/>
    </row>
    <row r="115" spans="5:5" x14ac:dyDescent="0.3">
      <c r="E115" s="466"/>
    </row>
    <row r="116" spans="5:5" x14ac:dyDescent="0.3">
      <c r="E116" s="466"/>
    </row>
    <row r="117" spans="5:5" x14ac:dyDescent="0.3">
      <c r="E117" s="466"/>
    </row>
    <row r="118" spans="5:5" x14ac:dyDescent="0.3">
      <c r="E118" s="466"/>
    </row>
    <row r="119" spans="5:5" x14ac:dyDescent="0.3">
      <c r="E119" s="466"/>
    </row>
    <row r="120" spans="5:5" x14ac:dyDescent="0.3">
      <c r="E120" s="466"/>
    </row>
    <row r="121" spans="5:5" x14ac:dyDescent="0.3">
      <c r="E121" s="466"/>
    </row>
    <row r="122" spans="5:5" x14ac:dyDescent="0.3">
      <c r="E122" s="466"/>
    </row>
    <row r="123" spans="5:5" x14ac:dyDescent="0.3">
      <c r="E123" s="466"/>
    </row>
    <row r="124" spans="5:5" x14ac:dyDescent="0.3">
      <c r="E124" s="466"/>
    </row>
    <row r="125" spans="5:5" x14ac:dyDescent="0.3">
      <c r="E125" s="466"/>
    </row>
    <row r="126" spans="5:5" x14ac:dyDescent="0.3">
      <c r="E126" s="466"/>
    </row>
    <row r="127" spans="5:5" x14ac:dyDescent="0.3">
      <c r="E127" s="466"/>
    </row>
    <row r="128" spans="5:5" x14ac:dyDescent="0.3">
      <c r="E128" s="466"/>
    </row>
    <row r="129" spans="5:5" x14ac:dyDescent="0.3">
      <c r="E129" s="466"/>
    </row>
    <row r="130" spans="5:5" x14ac:dyDescent="0.3">
      <c r="E130" s="466"/>
    </row>
    <row r="131" spans="5:5" x14ac:dyDescent="0.3">
      <c r="E131" s="466"/>
    </row>
    <row r="132" spans="5:5" x14ac:dyDescent="0.3">
      <c r="E132" s="466"/>
    </row>
    <row r="133" spans="5:5" x14ac:dyDescent="0.3">
      <c r="E133" s="466"/>
    </row>
    <row r="134" spans="5:5" x14ac:dyDescent="0.3">
      <c r="E134" s="466"/>
    </row>
    <row r="135" spans="5:5" x14ac:dyDescent="0.3">
      <c r="E135" s="466"/>
    </row>
    <row r="136" spans="5:5" x14ac:dyDescent="0.3">
      <c r="E136" s="466"/>
    </row>
    <row r="137" spans="5:5" x14ac:dyDescent="0.3">
      <c r="E137" s="466"/>
    </row>
    <row r="138" spans="5:5" x14ac:dyDescent="0.3">
      <c r="E138" s="466"/>
    </row>
    <row r="139" spans="5:5" x14ac:dyDescent="0.3">
      <c r="E139" s="466"/>
    </row>
    <row r="140" spans="5:5" x14ac:dyDescent="0.3">
      <c r="E140" s="466"/>
    </row>
    <row r="141" spans="5:5" x14ac:dyDescent="0.3">
      <c r="E141" s="466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2EA2-201D-42D4-A28C-5AE143AC0DDB}">
  <sheetPr>
    <tabColor theme="3" tint="0.39997558519241921"/>
  </sheetPr>
  <dimension ref="A1:R48"/>
  <sheetViews>
    <sheetView showGridLines="0" zoomScale="90" zoomScaleNormal="90" workbookViewId="0">
      <selection activeCell="F27" sqref="F27"/>
    </sheetView>
  </sheetViews>
  <sheetFormatPr defaultColWidth="9.1796875" defaultRowHeight="14.5" x14ac:dyDescent="0.35"/>
  <cols>
    <col min="1" max="2" width="9.1796875" style="80"/>
    <col min="3" max="3" width="32" style="80" customWidth="1"/>
    <col min="4" max="5" width="27.453125" style="81" customWidth="1"/>
    <col min="6" max="6" width="10.453125" style="80" customWidth="1"/>
    <col min="7" max="7" width="35" style="242" customWidth="1"/>
    <col min="8" max="9" width="27.81640625" style="242" customWidth="1"/>
    <col min="10" max="11" width="9.1796875" style="80"/>
    <col min="12" max="12" width="12.26953125" style="80" bestFit="1" customWidth="1"/>
    <col min="13" max="13" width="11.26953125" style="80" bestFit="1" customWidth="1"/>
    <col min="14" max="15" width="9.1796875" style="80"/>
    <col min="16" max="17" width="12" style="80" bestFit="1" customWidth="1"/>
    <col min="18" max="16384" width="9.1796875" style="80"/>
  </cols>
  <sheetData>
    <row r="1" spans="1:17" x14ac:dyDescent="0.35">
      <c r="C1" s="150"/>
      <c r="D1" s="231"/>
      <c r="E1" s="231"/>
      <c r="F1" s="150"/>
    </row>
    <row r="2" spans="1:17" s="162" customFormat="1" ht="43.5" customHeight="1" thickBot="1" x14ac:dyDescent="0.7">
      <c r="C2" s="331" t="s">
        <v>293</v>
      </c>
      <c r="D2" s="332"/>
      <c r="F2" s="333"/>
      <c r="G2" s="333"/>
      <c r="H2" s="333"/>
      <c r="I2" s="333"/>
      <c r="J2" s="333"/>
      <c r="K2" s="333"/>
      <c r="L2" s="333"/>
      <c r="M2" s="334"/>
      <c r="N2" s="333"/>
    </row>
    <row r="3" spans="1:17" s="136" customFormat="1" ht="15" thickBot="1" x14ac:dyDescent="0.4">
      <c r="C3" s="258" t="s">
        <v>241</v>
      </c>
      <c r="D3" s="272">
        <f>'S | 01 '!D2</f>
        <v>45138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4" spans="1:17" ht="15" thickBot="1" x14ac:dyDescent="0.4">
      <c r="C4" s="150"/>
      <c r="D4" s="231"/>
      <c r="E4" s="231"/>
      <c r="F4" s="150"/>
    </row>
    <row r="5" spans="1:17" x14ac:dyDescent="0.35">
      <c r="B5" s="152"/>
      <c r="C5" s="153"/>
      <c r="D5" s="232"/>
      <c r="E5" s="232"/>
      <c r="F5" s="153"/>
      <c r="G5" s="243"/>
      <c r="H5" s="243"/>
      <c r="I5" s="243"/>
      <c r="J5" s="156"/>
    </row>
    <row r="6" spans="1:17" ht="39" customHeight="1" x14ac:dyDescent="0.35">
      <c r="A6" s="159"/>
      <c r="B6" s="157"/>
      <c r="C6" s="1" t="s">
        <v>62</v>
      </c>
      <c r="D6" s="1" t="s">
        <v>207</v>
      </c>
      <c r="E6" s="1" t="s">
        <v>76</v>
      </c>
      <c r="F6" s="1" t="s">
        <v>550</v>
      </c>
      <c r="G6" s="611" t="s">
        <v>592</v>
      </c>
      <c r="H6" s="611" t="s">
        <v>593</v>
      </c>
      <c r="I6" s="613" t="s">
        <v>586</v>
      </c>
      <c r="J6" s="158"/>
      <c r="K6" s="159"/>
    </row>
    <row r="7" spans="1:17" x14ac:dyDescent="0.35">
      <c r="A7" s="162"/>
      <c r="B7" s="160"/>
      <c r="C7" s="195"/>
      <c r="D7" s="233"/>
      <c r="E7" s="233"/>
      <c r="F7" s="195"/>
      <c r="G7" s="195"/>
      <c r="H7" s="627"/>
      <c r="I7" s="627"/>
      <c r="J7" s="161"/>
      <c r="K7" s="162"/>
    </row>
    <row r="8" spans="1:17" x14ac:dyDescent="0.35">
      <c r="B8" s="163"/>
      <c r="C8" s="631" t="s">
        <v>37</v>
      </c>
      <c r="D8" s="632"/>
      <c r="E8" s="632"/>
      <c r="F8" s="631"/>
      <c r="G8" s="633"/>
      <c r="H8" s="634"/>
      <c r="I8" s="634"/>
      <c r="J8" s="164"/>
    </row>
    <row r="9" spans="1:17" x14ac:dyDescent="0.35">
      <c r="B9" s="163"/>
      <c r="C9" s="58" t="str">
        <f>'S | 01 '!C10</f>
        <v>Jollychic Holding Limited</v>
      </c>
      <c r="D9" s="235">
        <v>13458655</v>
      </c>
      <c r="E9" s="235">
        <v>236116762</v>
      </c>
      <c r="F9" s="149">
        <f>D9/E9</f>
        <v>5.6999998161926343E-2</v>
      </c>
      <c r="G9" s="244" t="s">
        <v>208</v>
      </c>
      <c r="H9" s="244" t="s">
        <v>582</v>
      </c>
      <c r="I9" s="244" t="s">
        <v>582</v>
      </c>
      <c r="J9" s="164"/>
    </row>
    <row r="10" spans="1:17" x14ac:dyDescent="0.35">
      <c r="B10" s="163"/>
      <c r="C10" s="58" t="str">
        <f>'S | 01 '!C11</f>
        <v>Mena Mobile Inc</v>
      </c>
      <c r="D10" s="235">
        <v>21419829</v>
      </c>
      <c r="E10" s="235">
        <v>152998776</v>
      </c>
      <c r="F10" s="149">
        <f>D10/E10</f>
        <v>0.14000000235296001</v>
      </c>
      <c r="G10" s="244" t="s">
        <v>208</v>
      </c>
      <c r="H10" s="244" t="s">
        <v>582</v>
      </c>
      <c r="I10" s="244" t="s">
        <v>582</v>
      </c>
      <c r="J10" s="164"/>
    </row>
    <row r="11" spans="1:17" x14ac:dyDescent="0.35">
      <c r="B11" s="163"/>
      <c r="C11" s="58" t="str">
        <f>'S | 01 '!C12</f>
        <v>Flyr Inc</v>
      </c>
      <c r="D11" s="235">
        <v>5205482</v>
      </c>
      <c r="E11" s="235">
        <v>61222609</v>
      </c>
      <c r="F11" s="149">
        <f>D11/E11</f>
        <v>8.5025484621212399E-2</v>
      </c>
      <c r="G11" s="244" t="s">
        <v>552</v>
      </c>
      <c r="H11" s="244" t="s">
        <v>583</v>
      </c>
      <c r="I11" s="244" t="s">
        <v>299</v>
      </c>
      <c r="J11" s="164"/>
    </row>
    <row r="12" spans="1:17" x14ac:dyDescent="0.35">
      <c r="B12" s="163"/>
      <c r="C12" s="58" t="str">
        <f>'S | 01 '!C13</f>
        <v xml:space="preserve">Esyasoft Holding </v>
      </c>
      <c r="D12" s="235" t="s">
        <v>177</v>
      </c>
      <c r="E12" s="235" t="s">
        <v>177</v>
      </c>
      <c r="F12" s="235" t="s">
        <v>177</v>
      </c>
      <c r="G12" s="244" t="s">
        <v>567</v>
      </c>
      <c r="H12" s="244" t="s">
        <v>585</v>
      </c>
      <c r="I12" s="244" t="s">
        <v>584</v>
      </c>
      <c r="J12" s="164"/>
    </row>
    <row r="13" spans="1:17" x14ac:dyDescent="0.35">
      <c r="B13" s="163"/>
      <c r="C13" s="58" t="str">
        <f>'S | 01 '!C14</f>
        <v>Beyond Limits</v>
      </c>
      <c r="D13" s="235">
        <v>17670202</v>
      </c>
      <c r="E13" s="235">
        <v>180372405</v>
      </c>
      <c r="F13" s="149">
        <f>D13/E13</f>
        <v>9.7965107245756355E-2</v>
      </c>
      <c r="G13" s="244" t="s">
        <v>210</v>
      </c>
      <c r="H13" s="244" t="s">
        <v>583</v>
      </c>
      <c r="I13" s="244" t="s">
        <v>299</v>
      </c>
      <c r="J13" s="164"/>
    </row>
    <row r="14" spans="1:17" x14ac:dyDescent="0.35">
      <c r="B14" s="163"/>
      <c r="C14" s="58" t="str">
        <f>'S | 01 '!C15</f>
        <v>ONT plc</v>
      </c>
      <c r="D14" s="235">
        <v>44328120</v>
      </c>
      <c r="E14" s="235">
        <v>827265174</v>
      </c>
      <c r="F14" s="149">
        <f>D14/E14</f>
        <v>5.3583930997196792E-2</v>
      </c>
      <c r="G14" s="244" t="s">
        <v>211</v>
      </c>
      <c r="H14" s="244" t="s">
        <v>547</v>
      </c>
      <c r="I14" s="244" t="s">
        <v>547</v>
      </c>
      <c r="J14" s="164"/>
    </row>
    <row r="15" spans="1:17" x14ac:dyDescent="0.35">
      <c r="B15" s="163"/>
      <c r="C15" s="58" t="str">
        <f>'S | 01 '!C16</f>
        <v>Heygears</v>
      </c>
      <c r="D15" s="235">
        <v>3565017.22</v>
      </c>
      <c r="E15" s="235">
        <f>D15/F15</f>
        <v>24791496.662030596</v>
      </c>
      <c r="F15" s="149">
        <v>0.14380000000000001</v>
      </c>
      <c r="G15" s="244" t="s">
        <v>208</v>
      </c>
      <c r="H15" s="244" t="s">
        <v>546</v>
      </c>
      <c r="I15" s="244" t="s">
        <v>587</v>
      </c>
      <c r="J15" s="164"/>
    </row>
    <row r="16" spans="1:17" x14ac:dyDescent="0.35">
      <c r="B16" s="163"/>
      <c r="C16" s="58" t="str">
        <f>'S | 01 '!C17</f>
        <v>Jysan Technologies</v>
      </c>
      <c r="D16" s="235">
        <v>7959497</v>
      </c>
      <c r="E16" s="235">
        <v>265316566.66666669</v>
      </c>
      <c r="F16" s="149">
        <v>0.03</v>
      </c>
      <c r="G16" s="244" t="s">
        <v>209</v>
      </c>
      <c r="H16" s="244" t="s">
        <v>547</v>
      </c>
      <c r="I16" s="244" t="s">
        <v>547</v>
      </c>
      <c r="J16" s="164"/>
    </row>
    <row r="17" spans="1:17" x14ac:dyDescent="0.35">
      <c r="B17" s="163"/>
      <c r="C17" s="58" t="str">
        <f>'S | 01 '!C18</f>
        <v>Cerebras Systems Inc</v>
      </c>
      <c r="D17" s="235">
        <v>1441711</v>
      </c>
      <c r="E17" s="235">
        <v>152130778</v>
      </c>
      <c r="F17" s="608">
        <f>D17/E17</f>
        <v>9.4767871363939261E-3</v>
      </c>
      <c r="G17" s="244" t="s">
        <v>551</v>
      </c>
      <c r="H17" s="244" t="s">
        <v>583</v>
      </c>
      <c r="I17" s="244" t="s">
        <v>299</v>
      </c>
      <c r="J17" s="164"/>
    </row>
    <row r="18" spans="1:17" x14ac:dyDescent="0.35">
      <c r="B18" s="163"/>
      <c r="C18" s="58" t="str">
        <f>'S | 01 '!C19</f>
        <v>Endless Studios LLC</v>
      </c>
      <c r="D18" s="235">
        <v>3000000</v>
      </c>
      <c r="E18" s="235">
        <v>38750000</v>
      </c>
      <c r="F18" s="608">
        <f>D18/E18</f>
        <v>7.7419354838709681E-2</v>
      </c>
      <c r="G18" s="244" t="s">
        <v>551</v>
      </c>
      <c r="H18" s="244" t="s">
        <v>583</v>
      </c>
      <c r="I18" s="244" t="s">
        <v>299</v>
      </c>
      <c r="J18" s="164"/>
    </row>
    <row r="19" spans="1:17" x14ac:dyDescent="0.35">
      <c r="B19" s="163"/>
      <c r="C19" s="58" t="str">
        <f>'S | 01 '!C20</f>
        <v>Instadeep Limited</v>
      </c>
      <c r="D19" s="235">
        <v>33267</v>
      </c>
      <c r="E19" s="235">
        <v>2895450</v>
      </c>
      <c r="F19" s="149">
        <f>D19/E19</f>
        <v>1.1489405791845828E-2</v>
      </c>
      <c r="G19" s="244" t="s">
        <v>568</v>
      </c>
      <c r="H19" s="244" t="s">
        <v>547</v>
      </c>
      <c r="I19" s="244" t="s">
        <v>547</v>
      </c>
      <c r="J19" s="164"/>
    </row>
    <row r="20" spans="1:17" x14ac:dyDescent="0.35">
      <c r="B20" s="163"/>
      <c r="C20" s="58" t="str">
        <f>'S | 01 '!C21</f>
        <v>X-fusion</v>
      </c>
      <c r="D20" s="239"/>
      <c r="E20" s="239"/>
      <c r="F20" s="149">
        <f>10% * 51%</f>
        <v>5.1000000000000004E-2</v>
      </c>
      <c r="G20" s="244" t="s">
        <v>208</v>
      </c>
      <c r="H20" s="244" t="s">
        <v>546</v>
      </c>
      <c r="I20" s="244" t="s">
        <v>587</v>
      </c>
      <c r="J20" s="164"/>
    </row>
    <row r="21" spans="1:17" x14ac:dyDescent="0.35">
      <c r="B21" s="163"/>
      <c r="C21" s="58" t="str">
        <f>'S | 01 '!C22</f>
        <v>DriveNets</v>
      </c>
      <c r="D21" s="235">
        <v>86882669</v>
      </c>
      <c r="E21" s="235">
        <v>779782293</v>
      </c>
      <c r="F21" s="608">
        <f>D21/E21</f>
        <v>0.11141913554582343</v>
      </c>
      <c r="G21" s="244" t="s">
        <v>553</v>
      </c>
      <c r="H21" s="648" t="s">
        <v>589</v>
      </c>
      <c r="I21" s="648" t="s">
        <v>588</v>
      </c>
      <c r="J21" s="164"/>
    </row>
    <row r="22" spans="1:17" x14ac:dyDescent="0.35">
      <c r="B22" s="163"/>
      <c r="C22" s="58" t="str">
        <f>'S | 01 '!C23</f>
        <v>vTv Therapeutics Inc.</v>
      </c>
      <c r="D22" s="235">
        <v>10386274</v>
      </c>
      <c r="E22" s="235">
        <f>81483600+23093860</f>
        <v>104577460</v>
      </c>
      <c r="F22" s="149">
        <f>D22/E22</f>
        <v>9.9316564009108654E-2</v>
      </c>
      <c r="G22" s="244" t="s">
        <v>554</v>
      </c>
      <c r="H22" s="244" t="s">
        <v>583</v>
      </c>
      <c r="I22" s="244" t="s">
        <v>299</v>
      </c>
      <c r="J22" s="164"/>
      <c r="L22" s="238"/>
    </row>
    <row r="23" spans="1:17" x14ac:dyDescent="0.35">
      <c r="B23" s="163"/>
      <c r="C23" s="58" t="str">
        <f>'S | 01 '!C24</f>
        <v>Honor Device Co Ltd</v>
      </c>
      <c r="D23" s="239">
        <f>1517126944.34*0.8/2</f>
        <v>606850777.73599994</v>
      </c>
      <c r="E23" s="239">
        <v>32238947567.490002</v>
      </c>
      <c r="F23" s="149">
        <f>4.705882%* 0.8/2</f>
        <v>1.8823528000000003E-2</v>
      </c>
      <c r="G23" s="244" t="s">
        <v>208</v>
      </c>
      <c r="H23" s="244" t="s">
        <v>546</v>
      </c>
      <c r="I23" s="244" t="s">
        <v>587</v>
      </c>
      <c r="J23" s="164"/>
      <c r="L23" s="403"/>
      <c r="M23" s="237"/>
    </row>
    <row r="24" spans="1:17" x14ac:dyDescent="0.35">
      <c r="B24" s="163"/>
      <c r="C24" s="58" t="str">
        <f>'S | 01 '!C25</f>
        <v>Applied AI Corporation Limited</v>
      </c>
      <c r="D24" s="235" t="s">
        <v>177</v>
      </c>
      <c r="E24" s="235" t="s">
        <v>177</v>
      </c>
      <c r="F24" s="149" t="s">
        <v>177</v>
      </c>
      <c r="G24" s="244" t="s">
        <v>548</v>
      </c>
      <c r="H24" s="244" t="s">
        <v>590</v>
      </c>
      <c r="I24" s="244" t="s">
        <v>591</v>
      </c>
      <c r="J24" s="164"/>
      <c r="L24" s="403"/>
      <c r="M24" s="237"/>
    </row>
    <row r="25" spans="1:17" x14ac:dyDescent="0.35">
      <c r="B25" s="163"/>
      <c r="C25" s="58" t="str">
        <f>'S | 01 '!C26</f>
        <v xml:space="preserve">eSpace </v>
      </c>
      <c r="D25" s="235" t="s">
        <v>177</v>
      </c>
      <c r="E25" s="235" t="s">
        <v>177</v>
      </c>
      <c r="F25" s="149" t="s">
        <v>177</v>
      </c>
      <c r="G25" s="244" t="s">
        <v>549</v>
      </c>
      <c r="H25" s="244" t="s">
        <v>583</v>
      </c>
      <c r="I25" s="244" t="s">
        <v>299</v>
      </c>
      <c r="J25" s="164"/>
      <c r="L25" s="237"/>
      <c r="M25" s="237"/>
    </row>
    <row r="26" spans="1:17" x14ac:dyDescent="0.35">
      <c r="B26" s="163"/>
      <c r="C26" s="58" t="str">
        <f>'S | 01 '!C27</f>
        <v>Tools for Humanity Corporation</v>
      </c>
      <c r="D26" s="235">
        <v>65413</v>
      </c>
      <c r="E26" s="235">
        <v>10445692.929292928</v>
      </c>
      <c r="F26" s="608">
        <f>D26/E26</f>
        <v>6.2621982517370271E-3</v>
      </c>
      <c r="G26" s="244" t="s">
        <v>626</v>
      </c>
      <c r="H26" s="244" t="s">
        <v>583</v>
      </c>
      <c r="I26" s="244" t="s">
        <v>299</v>
      </c>
      <c r="J26" s="164"/>
      <c r="L26" s="237"/>
      <c r="M26" s="237"/>
    </row>
    <row r="27" spans="1:17" x14ac:dyDescent="0.35">
      <c r="B27" s="163"/>
      <c r="C27" s="59" t="s">
        <v>622</v>
      </c>
      <c r="D27" s="82">
        <v>62500000</v>
      </c>
      <c r="E27" s="82">
        <v>10000000000</v>
      </c>
      <c r="F27" s="716">
        <f>D27/E27</f>
        <v>6.2500000000000003E-3</v>
      </c>
      <c r="G27" s="244" t="s">
        <v>626</v>
      </c>
      <c r="H27" s="244" t="s">
        <v>627</v>
      </c>
      <c r="I27" s="717" t="s">
        <v>582</v>
      </c>
      <c r="J27" s="164"/>
      <c r="L27" s="237"/>
      <c r="M27" s="237"/>
    </row>
    <row r="28" spans="1:17" x14ac:dyDescent="0.35">
      <c r="A28" s="167"/>
      <c r="B28" s="165"/>
      <c r="C28" s="637"/>
      <c r="D28" s="638"/>
      <c r="E28" s="638"/>
      <c r="F28" s="639"/>
      <c r="G28" s="640"/>
      <c r="H28" s="640"/>
      <c r="I28" s="640"/>
      <c r="J28" s="166"/>
      <c r="K28" s="167"/>
      <c r="L28" s="237"/>
      <c r="M28" s="237"/>
    </row>
    <row r="29" spans="1:17" x14ac:dyDescent="0.35">
      <c r="A29" s="162"/>
      <c r="B29" s="160"/>
      <c r="C29" s="59"/>
      <c r="D29" s="82"/>
      <c r="E29" s="82"/>
      <c r="F29" s="236"/>
      <c r="G29" s="245"/>
      <c r="H29" s="245"/>
      <c r="I29" s="245"/>
      <c r="J29" s="161"/>
      <c r="K29" s="162"/>
    </row>
    <row r="30" spans="1:17" x14ac:dyDescent="0.35">
      <c r="B30" s="163"/>
      <c r="C30" s="631" t="s">
        <v>39</v>
      </c>
      <c r="D30" s="635" t="s">
        <v>595</v>
      </c>
      <c r="E30" s="635" t="s">
        <v>596</v>
      </c>
      <c r="F30" s="636"/>
      <c r="G30" s="634"/>
      <c r="H30" s="634"/>
      <c r="I30" s="634"/>
      <c r="J30" s="164"/>
    </row>
    <row r="31" spans="1:17" x14ac:dyDescent="0.35">
      <c r="B31" s="163"/>
      <c r="C31" s="58" t="s">
        <v>171</v>
      </c>
      <c r="D31" s="235">
        <v>23234462</v>
      </c>
      <c r="E31" s="235" t="s">
        <v>615</v>
      </c>
      <c r="F31" s="149">
        <f>NAV!L52</f>
        <v>0.22044081593927894</v>
      </c>
      <c r="G31" s="244" t="s">
        <v>616</v>
      </c>
      <c r="H31" s="244" t="s">
        <v>601</v>
      </c>
      <c r="I31" s="244" t="s">
        <v>601</v>
      </c>
      <c r="J31" s="164"/>
    </row>
    <row r="32" spans="1:17" x14ac:dyDescent="0.35">
      <c r="B32" s="163"/>
      <c r="C32" s="58" t="s">
        <v>538</v>
      </c>
      <c r="D32" s="235">
        <f>-'CF (Funds)'!G39*10^6</f>
        <v>2125000</v>
      </c>
      <c r="E32" s="235" t="s">
        <v>615</v>
      </c>
      <c r="F32" s="149">
        <f>NAV!L53</f>
        <v>2.0161290322580645E-2</v>
      </c>
      <c r="G32" s="244"/>
      <c r="H32" s="244" t="s">
        <v>601</v>
      </c>
      <c r="I32" s="244" t="s">
        <v>601</v>
      </c>
      <c r="J32" s="164"/>
      <c r="P32" s="552"/>
      <c r="Q32" s="552"/>
    </row>
    <row r="33" spans="2:18" x14ac:dyDescent="0.35">
      <c r="B33" s="163"/>
      <c r="C33" s="58" t="s">
        <v>1</v>
      </c>
      <c r="D33" s="235">
        <v>300000000</v>
      </c>
      <c r="E33" s="235">
        <v>301507538</v>
      </c>
      <c r="F33" s="149">
        <f>D33/E33</f>
        <v>0.99499999897183333</v>
      </c>
      <c r="G33" s="244" t="s">
        <v>599</v>
      </c>
      <c r="H33" s="244" t="s">
        <v>582</v>
      </c>
      <c r="I33" s="244" t="s">
        <v>582</v>
      </c>
      <c r="J33" s="164"/>
      <c r="P33" s="681"/>
      <c r="Q33" s="681"/>
    </row>
    <row r="34" spans="2:18" x14ac:dyDescent="0.35">
      <c r="B34" s="163"/>
      <c r="C34" s="58" t="s">
        <v>15</v>
      </c>
      <c r="D34" s="235">
        <v>50000000</v>
      </c>
      <c r="E34" s="235">
        <v>496717172</v>
      </c>
      <c r="F34" s="149">
        <f>D34/E34</f>
        <v>0.10066090487405174</v>
      </c>
      <c r="G34" s="244" t="s">
        <v>600</v>
      </c>
      <c r="H34" s="244" t="s">
        <v>582</v>
      </c>
      <c r="I34" s="244" t="s">
        <v>582</v>
      </c>
      <c r="J34" s="164"/>
      <c r="P34" s="552"/>
      <c r="Q34" s="552"/>
      <c r="R34" s="403"/>
    </row>
    <row r="35" spans="2:18" x14ac:dyDescent="0.35">
      <c r="B35" s="163"/>
      <c r="C35" s="58" t="s">
        <v>229</v>
      </c>
      <c r="D35" s="235">
        <v>17112500</v>
      </c>
      <c r="E35" s="235">
        <v>51337500</v>
      </c>
      <c r="F35" s="149">
        <f>D35/E35</f>
        <v>0.33333333333333331</v>
      </c>
      <c r="G35" s="244" t="s">
        <v>597</v>
      </c>
      <c r="H35" s="244" t="s">
        <v>598</v>
      </c>
      <c r="I35" s="244" t="s">
        <v>299</v>
      </c>
      <c r="J35" s="164"/>
    </row>
    <row r="36" spans="2:18" x14ac:dyDescent="0.35">
      <c r="B36" s="163"/>
      <c r="C36" s="59"/>
      <c r="D36" s="82"/>
      <c r="E36" s="82"/>
      <c r="F36" s="236"/>
      <c r="G36" s="245"/>
      <c r="H36" s="245"/>
      <c r="I36" s="245"/>
      <c r="J36" s="164"/>
    </row>
    <row r="37" spans="2:18" ht="15" thickBot="1" x14ac:dyDescent="0.4">
      <c r="B37" s="168"/>
      <c r="C37" s="169"/>
      <c r="D37" s="234"/>
      <c r="E37" s="234"/>
      <c r="F37" s="169"/>
      <c r="G37" s="246"/>
      <c r="H37" s="246"/>
      <c r="I37" s="246"/>
      <c r="J37" s="172"/>
    </row>
    <row r="38" spans="2:18" x14ac:dyDescent="0.35">
      <c r="C38" s="150"/>
      <c r="D38" s="231"/>
      <c r="E38" s="231"/>
      <c r="F38" s="150"/>
    </row>
    <row r="40" spans="2:18" x14ac:dyDescent="0.35">
      <c r="F40" s="81"/>
      <c r="G40" s="81"/>
      <c r="H40" s="81"/>
      <c r="I40" s="81"/>
      <c r="J40" s="81"/>
    </row>
    <row r="41" spans="2:18" x14ac:dyDescent="0.35">
      <c r="F41" s="81"/>
      <c r="G41" s="81"/>
      <c r="H41" s="81"/>
      <c r="I41" s="81"/>
      <c r="J41" s="81"/>
    </row>
    <row r="42" spans="2:18" x14ac:dyDescent="0.35">
      <c r="F42" s="81"/>
      <c r="G42" s="81"/>
      <c r="H42" s="81"/>
      <c r="I42" s="81"/>
      <c r="J42" s="81"/>
    </row>
    <row r="43" spans="2:18" x14ac:dyDescent="0.35">
      <c r="F43" s="81"/>
      <c r="G43" s="81"/>
      <c r="H43" s="81"/>
      <c r="I43" s="81"/>
      <c r="J43" s="81"/>
    </row>
    <row r="44" spans="2:18" x14ac:dyDescent="0.35">
      <c r="F44" s="81"/>
      <c r="G44" s="81"/>
      <c r="H44" s="81"/>
      <c r="I44" s="81"/>
      <c r="J44" s="81"/>
    </row>
    <row r="45" spans="2:18" x14ac:dyDescent="0.35">
      <c r="F45" s="81"/>
      <c r="G45" s="81"/>
      <c r="H45" s="81"/>
      <c r="I45" s="81"/>
      <c r="J45" s="81"/>
    </row>
    <row r="48" spans="2:18" x14ac:dyDescent="0.35">
      <c r="C48" s="313"/>
    </row>
  </sheetData>
  <pageMargins left="0.7" right="0.7" top="0.75" bottom="0.75" header="0.3" footer="0.3"/>
  <pageSetup paperSize="9" orientation="portrait" verticalDpi="0" r:id="rId1"/>
  <ignoredErrors>
    <ignoredError sqref="F20" 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791E-C831-4DED-8233-DC037D6B7D34}">
  <sheetPr>
    <tabColor theme="3" tint="0.79998168889431442"/>
  </sheetPr>
  <dimension ref="B1:I53"/>
  <sheetViews>
    <sheetView showGridLines="0" zoomScaleNormal="100" workbookViewId="0">
      <selection activeCell="C52" sqref="C52"/>
    </sheetView>
  </sheetViews>
  <sheetFormatPr defaultColWidth="9.1796875" defaultRowHeight="14.5" x14ac:dyDescent="0.35"/>
  <cols>
    <col min="1" max="1" width="5.453125" style="80" customWidth="1"/>
    <col min="2" max="2" width="2.453125" style="80" customWidth="1"/>
    <col min="3" max="3" width="35.453125" style="150" customWidth="1"/>
    <col min="4" max="4" width="35.26953125" style="81" customWidth="1"/>
    <col min="5" max="5" width="43.26953125" style="151" customWidth="1"/>
    <col min="6" max="7" width="8.81640625" style="81" customWidth="1"/>
    <col min="8" max="8" width="35.81640625" style="81" customWidth="1"/>
    <col min="9" max="9" width="2.26953125" style="80" customWidth="1"/>
    <col min="10" max="10" width="2.453125" style="80" customWidth="1"/>
    <col min="11" max="16384" width="9.1796875" style="80"/>
  </cols>
  <sheetData>
    <row r="1" spans="2:9" ht="15" thickBot="1" x14ac:dyDescent="0.4"/>
    <row r="2" spans="2:9" x14ac:dyDescent="0.35">
      <c r="B2" s="152"/>
      <c r="C2" s="153"/>
      <c r="D2" s="154"/>
      <c r="E2" s="155"/>
      <c r="F2" s="154"/>
      <c r="G2" s="154"/>
      <c r="H2" s="154"/>
      <c r="I2" s="156"/>
    </row>
    <row r="3" spans="2:9" s="159" customFormat="1" ht="30" customHeight="1" x14ac:dyDescent="0.35">
      <c r="B3" s="157"/>
      <c r="C3" s="57" t="s">
        <v>62</v>
      </c>
      <c r="D3" s="1" t="s">
        <v>200</v>
      </c>
      <c r="E3" s="57" t="s">
        <v>124</v>
      </c>
      <c r="F3" s="1" t="s">
        <v>136</v>
      </c>
      <c r="G3" s="702" t="s">
        <v>33</v>
      </c>
      <c r="H3" s="197" t="s">
        <v>4</v>
      </c>
      <c r="I3" s="158"/>
    </row>
    <row r="4" spans="2:9" s="162" customFormat="1" x14ac:dyDescent="0.35">
      <c r="B4" s="160"/>
      <c r="C4" s="59"/>
      <c r="D4" s="62"/>
      <c r="E4" s="104"/>
      <c r="F4" s="62"/>
      <c r="G4" s="62"/>
      <c r="H4" s="62"/>
      <c r="I4" s="161"/>
    </row>
    <row r="5" spans="2:9" x14ac:dyDescent="0.35">
      <c r="B5" s="163"/>
      <c r="C5" s="70" t="s">
        <v>37</v>
      </c>
      <c r="D5" s="56"/>
      <c r="E5" s="105"/>
      <c r="F5" s="56"/>
      <c r="G5" s="56"/>
      <c r="H5" s="56"/>
      <c r="I5" s="164"/>
    </row>
    <row r="6" spans="2:9" x14ac:dyDescent="0.35">
      <c r="B6" s="163"/>
      <c r="C6" s="58" t="s">
        <v>0</v>
      </c>
      <c r="D6" s="102" t="s">
        <v>150</v>
      </c>
      <c r="E6" s="106" t="s">
        <v>145</v>
      </c>
      <c r="F6" s="487"/>
      <c r="G6" s="487"/>
      <c r="H6" s="111"/>
      <c r="I6" s="164"/>
    </row>
    <row r="7" spans="2:9" x14ac:dyDescent="0.35">
      <c r="B7" s="163"/>
      <c r="C7" s="58" t="s">
        <v>48</v>
      </c>
      <c r="D7" s="102" t="s">
        <v>150</v>
      </c>
      <c r="E7" s="106" t="s">
        <v>508</v>
      </c>
      <c r="F7" s="487"/>
      <c r="G7" s="487"/>
      <c r="H7" s="111"/>
      <c r="I7" s="164"/>
    </row>
    <row r="8" spans="2:9" x14ac:dyDescent="0.35">
      <c r="B8" s="163"/>
      <c r="C8" s="58" t="s">
        <v>49</v>
      </c>
      <c r="D8" s="102" t="s">
        <v>191</v>
      </c>
      <c r="E8" s="106" t="s">
        <v>177</v>
      </c>
      <c r="F8" s="487" t="s">
        <v>174</v>
      </c>
      <c r="G8" s="487" t="s">
        <v>34</v>
      </c>
      <c r="H8" s="102" t="s">
        <v>178</v>
      </c>
      <c r="I8" s="164"/>
    </row>
    <row r="9" spans="2:9" x14ac:dyDescent="0.35">
      <c r="B9" s="163"/>
      <c r="C9" s="58" t="s">
        <v>57</v>
      </c>
      <c r="D9" s="102" t="s">
        <v>150</v>
      </c>
      <c r="E9" s="106" t="s">
        <v>507</v>
      </c>
      <c r="F9" s="487" t="s">
        <v>173</v>
      </c>
      <c r="G9" s="487"/>
      <c r="H9" s="102"/>
      <c r="I9" s="164"/>
    </row>
    <row r="10" spans="2:9" x14ac:dyDescent="0.35">
      <c r="B10" s="163"/>
      <c r="C10" s="58" t="s">
        <v>47</v>
      </c>
      <c r="D10" s="102" t="s">
        <v>150</v>
      </c>
      <c r="E10" s="106" t="s">
        <v>508</v>
      </c>
      <c r="F10" s="487" t="s">
        <v>175</v>
      </c>
      <c r="G10" s="487"/>
      <c r="H10" s="111"/>
      <c r="I10" s="164"/>
    </row>
    <row r="11" spans="2:9" x14ac:dyDescent="0.35">
      <c r="B11" s="163"/>
      <c r="C11" s="58" t="s">
        <v>131</v>
      </c>
      <c r="D11" s="102" t="s">
        <v>150</v>
      </c>
      <c r="E11" s="106" t="s">
        <v>142</v>
      </c>
      <c r="F11" s="487"/>
      <c r="G11" s="487"/>
      <c r="H11" s="111"/>
      <c r="I11" s="164"/>
    </row>
    <row r="12" spans="2:9" x14ac:dyDescent="0.35">
      <c r="B12" s="163"/>
      <c r="C12" s="58" t="s">
        <v>11</v>
      </c>
      <c r="D12" s="102" t="s">
        <v>151</v>
      </c>
      <c r="E12" s="106" t="s">
        <v>144</v>
      </c>
      <c r="F12" s="487"/>
      <c r="G12" s="487"/>
      <c r="H12" s="111"/>
      <c r="I12" s="164"/>
    </row>
    <row r="13" spans="2:9" x14ac:dyDescent="0.35">
      <c r="B13" s="163"/>
      <c r="C13" s="58" t="s">
        <v>24</v>
      </c>
      <c r="D13" s="102" t="s">
        <v>150</v>
      </c>
      <c r="E13" s="106" t="s">
        <v>147</v>
      </c>
      <c r="F13" s="487"/>
      <c r="G13" s="487"/>
      <c r="H13" s="111"/>
      <c r="I13" s="164"/>
    </row>
    <row r="14" spans="2:9" x14ac:dyDescent="0.35">
      <c r="B14" s="163"/>
      <c r="C14" s="58" t="s">
        <v>50</v>
      </c>
      <c r="D14" s="102" t="s">
        <v>149</v>
      </c>
      <c r="E14" s="106" t="s">
        <v>146</v>
      </c>
      <c r="F14" s="487" t="s">
        <v>176</v>
      </c>
      <c r="G14" s="487"/>
      <c r="H14" s="111"/>
      <c r="I14" s="164"/>
    </row>
    <row r="15" spans="2:9" x14ac:dyDescent="0.35">
      <c r="B15" s="163"/>
      <c r="C15" s="58" t="s">
        <v>51</v>
      </c>
      <c r="D15" s="102" t="s">
        <v>152</v>
      </c>
      <c r="E15" s="106" t="s">
        <v>556</v>
      </c>
      <c r="F15" s="487"/>
      <c r="G15" s="487"/>
      <c r="H15" s="111"/>
      <c r="I15" s="164"/>
    </row>
    <row r="16" spans="2:9" x14ac:dyDescent="0.35">
      <c r="B16" s="163"/>
      <c r="C16" s="58" t="s">
        <v>52</v>
      </c>
      <c r="D16" s="102" t="s">
        <v>149</v>
      </c>
      <c r="E16" s="106" t="s">
        <v>143</v>
      </c>
      <c r="F16" s="487"/>
      <c r="G16" s="487"/>
      <c r="H16" s="111"/>
      <c r="I16" s="164"/>
    </row>
    <row r="17" spans="2:9" x14ac:dyDescent="0.35">
      <c r="B17" s="163"/>
      <c r="C17" s="58" t="s">
        <v>113</v>
      </c>
      <c r="D17" s="102" t="s">
        <v>191</v>
      </c>
      <c r="E17" s="106" t="s">
        <v>177</v>
      </c>
      <c r="F17" s="488"/>
      <c r="G17" s="488"/>
      <c r="H17" s="111"/>
      <c r="I17" s="164"/>
    </row>
    <row r="18" spans="2:9" x14ac:dyDescent="0.35">
      <c r="B18" s="163"/>
      <c r="C18" s="58" t="s">
        <v>25</v>
      </c>
      <c r="D18" s="102" t="s">
        <v>149</v>
      </c>
      <c r="E18" s="106" t="s">
        <v>148</v>
      </c>
      <c r="F18" s="488"/>
      <c r="G18" s="488"/>
      <c r="H18" s="111"/>
      <c r="I18" s="164"/>
    </row>
    <row r="19" spans="2:9" x14ac:dyDescent="0.35">
      <c r="B19" s="163"/>
      <c r="C19" s="58" t="s">
        <v>132</v>
      </c>
      <c r="D19" s="102" t="s">
        <v>419</v>
      </c>
      <c r="E19" s="106" t="s">
        <v>421</v>
      </c>
      <c r="F19" s="488"/>
      <c r="G19" s="488"/>
      <c r="H19" s="111"/>
      <c r="I19" s="164"/>
    </row>
    <row r="20" spans="2:9" x14ac:dyDescent="0.35">
      <c r="B20" s="163"/>
      <c r="C20" s="58" t="s">
        <v>44</v>
      </c>
      <c r="D20" s="102" t="s">
        <v>191</v>
      </c>
      <c r="E20" s="106" t="s">
        <v>177</v>
      </c>
      <c r="F20" s="487" t="s">
        <v>420</v>
      </c>
      <c r="G20" s="487"/>
      <c r="H20" s="111"/>
      <c r="I20" s="164"/>
    </row>
    <row r="21" spans="2:9" x14ac:dyDescent="0.35">
      <c r="B21" s="163"/>
      <c r="C21" s="58" t="s">
        <v>396</v>
      </c>
      <c r="D21" s="102" t="s">
        <v>191</v>
      </c>
      <c r="E21" s="106" t="s">
        <v>177</v>
      </c>
      <c r="F21" s="487"/>
      <c r="G21" s="487"/>
      <c r="H21" s="111"/>
      <c r="I21" s="164"/>
    </row>
    <row r="22" spans="2:9" x14ac:dyDescent="0.35">
      <c r="B22" s="163"/>
      <c r="C22" s="58" t="s">
        <v>433</v>
      </c>
      <c r="D22" s="102" t="s">
        <v>191</v>
      </c>
      <c r="E22" s="106" t="s">
        <v>177</v>
      </c>
      <c r="F22" s="487"/>
      <c r="G22" s="487"/>
      <c r="H22" s="111"/>
      <c r="I22" s="164"/>
    </row>
    <row r="23" spans="2:9" x14ac:dyDescent="0.35">
      <c r="B23" s="163"/>
      <c r="C23" s="58" t="s">
        <v>539</v>
      </c>
      <c r="D23" s="102" t="s">
        <v>191</v>
      </c>
      <c r="E23" s="106" t="s">
        <v>177</v>
      </c>
      <c r="F23" s="487"/>
      <c r="G23" s="487"/>
      <c r="H23" s="111"/>
      <c r="I23" s="164"/>
    </row>
    <row r="24" spans="2:9" x14ac:dyDescent="0.35">
      <c r="B24" s="163"/>
      <c r="C24" s="59"/>
      <c r="D24" s="703"/>
      <c r="E24" s="704"/>
      <c r="F24" s="705"/>
      <c r="G24" s="705"/>
      <c r="H24" s="706"/>
      <c r="I24" s="164"/>
    </row>
    <row r="25" spans="2:9" s="167" customFormat="1" x14ac:dyDescent="0.35">
      <c r="B25" s="165"/>
      <c r="C25" s="63"/>
      <c r="D25" s="103"/>
      <c r="E25" s="107"/>
      <c r="F25" s="489"/>
      <c r="G25" s="489"/>
      <c r="H25" s="348"/>
      <c r="I25" s="166"/>
    </row>
    <row r="26" spans="2:9" s="162" customFormat="1" x14ac:dyDescent="0.35">
      <c r="B26" s="160"/>
      <c r="C26" s="59"/>
      <c r="D26" s="76"/>
      <c r="E26" s="108"/>
      <c r="F26" s="76"/>
      <c r="G26" s="76"/>
      <c r="H26" s="349"/>
      <c r="I26" s="161"/>
    </row>
    <row r="27" spans="2:9" x14ac:dyDescent="0.35">
      <c r="B27" s="163"/>
      <c r="C27" s="70" t="s">
        <v>38</v>
      </c>
      <c r="D27" s="74"/>
      <c r="E27" s="109"/>
      <c r="F27" s="74"/>
      <c r="G27" s="74"/>
      <c r="H27" s="350"/>
      <c r="I27" s="164"/>
    </row>
    <row r="28" spans="2:9" x14ac:dyDescent="0.35">
      <c r="B28" s="163"/>
      <c r="C28" s="58" t="s">
        <v>58</v>
      </c>
      <c r="D28" s="74" t="s">
        <v>191</v>
      </c>
      <c r="E28" s="109"/>
      <c r="F28" s="74"/>
      <c r="G28" s="74"/>
      <c r="H28" s="350"/>
      <c r="I28" s="164"/>
    </row>
    <row r="29" spans="2:9" x14ac:dyDescent="0.35">
      <c r="B29" s="163"/>
      <c r="C29" s="58" t="s">
        <v>0</v>
      </c>
      <c r="D29" s="102" t="s">
        <v>150</v>
      </c>
      <c r="E29" s="106" t="s">
        <v>145</v>
      </c>
      <c r="F29" s="102"/>
      <c r="G29" s="102"/>
      <c r="H29" s="111"/>
      <c r="I29" s="164"/>
    </row>
    <row r="30" spans="2:9" x14ac:dyDescent="0.35">
      <c r="B30" s="163"/>
      <c r="C30" s="58" t="s">
        <v>49</v>
      </c>
      <c r="D30" s="102" t="s">
        <v>191</v>
      </c>
      <c r="E30" s="106"/>
      <c r="F30" s="102"/>
      <c r="G30" s="102"/>
      <c r="H30" s="111"/>
      <c r="I30" s="164"/>
    </row>
    <row r="31" spans="2:9" s="167" customFormat="1" x14ac:dyDescent="0.35">
      <c r="B31" s="165"/>
      <c r="C31" s="63"/>
      <c r="D31" s="75"/>
      <c r="E31" s="110"/>
      <c r="F31" s="75"/>
      <c r="G31" s="75"/>
      <c r="H31" s="351"/>
      <c r="I31" s="166"/>
    </row>
    <row r="32" spans="2:9" s="162" customFormat="1" x14ac:dyDescent="0.35">
      <c r="B32" s="160"/>
      <c r="C32" s="59"/>
      <c r="D32" s="76"/>
      <c r="E32" s="108"/>
      <c r="F32" s="76"/>
      <c r="G32" s="76"/>
      <c r="H32" s="349"/>
      <c r="I32" s="161"/>
    </row>
    <row r="33" spans="2:9" x14ac:dyDescent="0.35">
      <c r="B33" s="163"/>
      <c r="C33" s="70" t="s">
        <v>39</v>
      </c>
      <c r="D33" s="74"/>
      <c r="E33" s="148"/>
      <c r="F33" s="149"/>
      <c r="G33" s="149"/>
      <c r="H33" s="352"/>
      <c r="I33" s="164"/>
    </row>
    <row r="34" spans="2:9" x14ac:dyDescent="0.35">
      <c r="B34" s="163"/>
      <c r="C34" s="58" t="s">
        <v>171</v>
      </c>
      <c r="D34" s="74" t="s">
        <v>191</v>
      </c>
      <c r="E34" s="109"/>
      <c r="F34" s="74"/>
      <c r="G34" s="74"/>
      <c r="H34" s="350"/>
      <c r="I34" s="164"/>
    </row>
    <row r="35" spans="2:9" x14ac:dyDescent="0.35">
      <c r="B35" s="163"/>
      <c r="C35" s="58" t="s">
        <v>538</v>
      </c>
      <c r="D35" s="74"/>
      <c r="E35" s="109" t="s">
        <v>154</v>
      </c>
      <c r="F35" s="74"/>
      <c r="G35" s="74"/>
      <c r="H35" s="350"/>
      <c r="I35" s="164"/>
    </row>
    <row r="36" spans="2:9" x14ac:dyDescent="0.35">
      <c r="B36" s="163"/>
      <c r="C36" s="58" t="s">
        <v>1</v>
      </c>
      <c r="D36" s="74" t="s">
        <v>191</v>
      </c>
      <c r="E36" s="109"/>
      <c r="F36" s="74"/>
      <c r="G36" s="74"/>
      <c r="H36" s="350"/>
      <c r="I36" s="164"/>
    </row>
    <row r="37" spans="2:9" x14ac:dyDescent="0.35">
      <c r="B37" s="163"/>
      <c r="C37" s="58" t="s">
        <v>15</v>
      </c>
      <c r="D37" s="74" t="s">
        <v>191</v>
      </c>
      <c r="E37" s="109"/>
      <c r="F37" s="74"/>
      <c r="G37" s="74"/>
      <c r="H37" s="350"/>
      <c r="I37" s="164"/>
    </row>
    <row r="38" spans="2:9" x14ac:dyDescent="0.35">
      <c r="B38" s="163"/>
      <c r="C38" s="58" t="s">
        <v>229</v>
      </c>
      <c r="D38" s="74" t="s">
        <v>438</v>
      </c>
      <c r="E38" s="109" t="s">
        <v>437</v>
      </c>
      <c r="F38" s="74"/>
      <c r="G38" s="74"/>
      <c r="H38" s="347" t="s">
        <v>192</v>
      </c>
      <c r="I38" s="164"/>
    </row>
    <row r="39" spans="2:9" s="167" customFormat="1" x14ac:dyDescent="0.35">
      <c r="B39" s="165"/>
      <c r="C39" s="63"/>
      <c r="D39" s="75"/>
      <c r="E39" s="110"/>
      <c r="F39" s="75"/>
      <c r="G39" s="75"/>
      <c r="H39" s="75"/>
      <c r="I39" s="166"/>
    </row>
    <row r="40" spans="2:9" ht="15" thickBot="1" x14ac:dyDescent="0.4">
      <c r="B40" s="168"/>
      <c r="C40" s="169"/>
      <c r="D40" s="170"/>
      <c r="E40" s="171"/>
      <c r="F40" s="170"/>
      <c r="G40" s="170"/>
      <c r="H40" s="170"/>
      <c r="I40" s="172"/>
    </row>
    <row r="41" spans="2:9" x14ac:dyDescent="0.35">
      <c r="D41" s="173"/>
      <c r="E41" s="174"/>
      <c r="F41" s="173"/>
      <c r="G41" s="173"/>
      <c r="H41" s="173"/>
    </row>
    <row r="42" spans="2:9" x14ac:dyDescent="0.35">
      <c r="B42" s="175"/>
      <c r="C42" s="150" t="s">
        <v>182</v>
      </c>
    </row>
    <row r="43" spans="2:9" x14ac:dyDescent="0.35">
      <c r="B43" s="175"/>
      <c r="C43" s="150" t="s">
        <v>619</v>
      </c>
    </row>
    <row r="44" spans="2:9" x14ac:dyDescent="0.35">
      <c r="B44" s="175"/>
      <c r="C44" s="150" t="s">
        <v>620</v>
      </c>
    </row>
    <row r="45" spans="2:9" x14ac:dyDescent="0.35">
      <c r="B45" s="491"/>
      <c r="C45" s="150" t="s">
        <v>201</v>
      </c>
    </row>
    <row r="46" spans="2:9" x14ac:dyDescent="0.35">
      <c r="B46" s="490">
        <v>1</v>
      </c>
      <c r="C46" s="150" t="s">
        <v>415</v>
      </c>
      <c r="D46" s="151"/>
    </row>
    <row r="47" spans="2:9" x14ac:dyDescent="0.35">
      <c r="B47" s="490">
        <v>2</v>
      </c>
      <c r="C47" s="151" t="s">
        <v>416</v>
      </c>
      <c r="D47" s="151"/>
      <c r="E47" s="80"/>
      <c r="F47" s="80"/>
      <c r="G47" s="80"/>
      <c r="H47" s="80"/>
    </row>
    <row r="48" spans="2:9" x14ac:dyDescent="0.35">
      <c r="B48" s="490">
        <v>3</v>
      </c>
      <c r="C48" s="150" t="s">
        <v>417</v>
      </c>
      <c r="D48" s="151"/>
      <c r="E48" s="80"/>
      <c r="F48" s="80"/>
      <c r="G48" s="80"/>
      <c r="H48" s="80"/>
    </row>
    <row r="49" spans="2:8" x14ac:dyDescent="0.35">
      <c r="B49" s="490">
        <v>4</v>
      </c>
      <c r="C49" s="150" t="s">
        <v>418</v>
      </c>
      <c r="D49" s="151"/>
      <c r="E49" s="80"/>
      <c r="F49" s="80"/>
      <c r="G49" s="80"/>
      <c r="H49" s="80"/>
    </row>
    <row r="50" spans="2:8" x14ac:dyDescent="0.35">
      <c r="B50" s="490">
        <v>5</v>
      </c>
      <c r="C50" s="150" t="s">
        <v>422</v>
      </c>
      <c r="D50" s="151"/>
      <c r="E50" s="80"/>
      <c r="F50" s="80"/>
      <c r="G50" s="80"/>
      <c r="H50" s="80"/>
    </row>
    <row r="51" spans="2:8" x14ac:dyDescent="0.35">
      <c r="B51" s="490"/>
      <c r="C51" s="81"/>
      <c r="E51" s="80"/>
      <c r="F51" s="80"/>
      <c r="G51" s="80"/>
      <c r="H51" s="80"/>
    </row>
    <row r="52" spans="2:8" x14ac:dyDescent="0.35">
      <c r="E52" s="80"/>
      <c r="F52" s="80"/>
      <c r="G52" s="80"/>
      <c r="H52" s="80"/>
    </row>
    <row r="53" spans="2:8" x14ac:dyDescent="0.35">
      <c r="C53"/>
      <c r="E53" s="80"/>
      <c r="F53" s="80"/>
      <c r="G53" s="80"/>
      <c r="H53" s="80"/>
    </row>
  </sheetData>
  <pageMargins left="0.7" right="0.7" top="0.75" bottom="0.75" header="0.3" footer="0.3"/>
  <pageSetup paperSize="9" orientation="portrait" verticalDpi="0" r:id="rId1"/>
  <ignoredErrors>
    <ignoredError sqref="F9:F14 F6:F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EE13-4C45-4F21-A5BB-D1B45A2C4430}">
  <sheetPr>
    <tabColor rgb="FFC00000"/>
  </sheetPr>
  <dimension ref="B2:S47"/>
  <sheetViews>
    <sheetView showGridLines="0" zoomScale="90" zoomScaleNormal="90" workbookViewId="0">
      <selection activeCell="H33" sqref="H33"/>
    </sheetView>
  </sheetViews>
  <sheetFormatPr defaultColWidth="9.1796875" defaultRowHeight="15" x14ac:dyDescent="0.4"/>
  <cols>
    <col min="1" max="1" width="9.1796875" style="494"/>
    <col min="2" max="2" width="5.26953125" style="494" customWidth="1"/>
    <col min="3" max="3" width="3.7265625" style="494" customWidth="1"/>
    <col min="4" max="16384" width="9.1796875" style="494"/>
  </cols>
  <sheetData>
    <row r="2" spans="2:19" x14ac:dyDescent="0.4">
      <c r="B2" s="630" t="s">
        <v>425</v>
      </c>
      <c r="C2" s="630"/>
      <c r="D2" s="630" t="s">
        <v>426</v>
      </c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</row>
    <row r="3" spans="2:19" x14ac:dyDescent="0.4">
      <c r="B3" s="492" t="s">
        <v>492</v>
      </c>
      <c r="C3" s="492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</row>
    <row r="4" spans="2:19" x14ac:dyDescent="0.4">
      <c r="D4" s="494" t="s">
        <v>394</v>
      </c>
    </row>
    <row r="5" spans="2:19" x14ac:dyDescent="0.4">
      <c r="D5" s="494" t="s">
        <v>400</v>
      </c>
    </row>
    <row r="6" spans="2:19" x14ac:dyDescent="0.4">
      <c r="D6" s="494" t="s">
        <v>424</v>
      </c>
    </row>
    <row r="7" spans="2:19" x14ac:dyDescent="0.4">
      <c r="D7" s="494" t="s">
        <v>413</v>
      </c>
    </row>
    <row r="9" spans="2:19" x14ac:dyDescent="0.4">
      <c r="B9" s="492" t="s">
        <v>493</v>
      </c>
      <c r="C9" s="492"/>
      <c r="D9" s="495"/>
      <c r="E9" s="493"/>
      <c r="F9" s="493"/>
      <c r="G9" s="493"/>
      <c r="H9" s="493"/>
      <c r="I9" s="493"/>
      <c r="J9" s="493"/>
      <c r="K9" s="493"/>
      <c r="L9" s="493"/>
      <c r="M9" s="493"/>
      <c r="N9" s="493"/>
      <c r="O9" s="493"/>
      <c r="P9" s="493"/>
      <c r="Q9" s="493"/>
      <c r="R9" s="493"/>
      <c r="S9" s="493"/>
    </row>
    <row r="10" spans="2:19" x14ac:dyDescent="0.4">
      <c r="B10" s="496"/>
      <c r="C10" s="496"/>
      <c r="D10" s="494" t="s">
        <v>423</v>
      </c>
    </row>
    <row r="11" spans="2:19" x14ac:dyDescent="0.4">
      <c r="D11" s="494" t="s">
        <v>435</v>
      </c>
    </row>
    <row r="12" spans="2:19" x14ac:dyDescent="0.4">
      <c r="D12" s="494" t="s">
        <v>436</v>
      </c>
    </row>
    <row r="13" spans="2:19" x14ac:dyDescent="0.4">
      <c r="D13" s="494" t="s">
        <v>466</v>
      </c>
    </row>
    <row r="14" spans="2:19" x14ac:dyDescent="0.4">
      <c r="D14" s="494" t="s">
        <v>467</v>
      </c>
    </row>
    <row r="16" spans="2:19" x14ac:dyDescent="0.4">
      <c r="B16" s="492" t="s">
        <v>494</v>
      </c>
      <c r="C16" s="492"/>
      <c r="D16" s="495"/>
      <c r="E16" s="493"/>
      <c r="F16" s="493"/>
      <c r="G16" s="493"/>
      <c r="H16" s="493"/>
      <c r="I16" s="493"/>
      <c r="J16" s="493"/>
      <c r="K16" s="493"/>
      <c r="L16" s="493"/>
      <c r="M16" s="493"/>
      <c r="N16" s="493"/>
      <c r="O16" s="493"/>
      <c r="P16" s="493"/>
      <c r="Q16" s="493"/>
      <c r="R16" s="493"/>
      <c r="S16" s="493"/>
    </row>
    <row r="17" spans="2:19" x14ac:dyDescent="0.4">
      <c r="D17" s="494" t="s">
        <v>489</v>
      </c>
      <c r="G17" s="722"/>
    </row>
    <row r="18" spans="2:19" x14ac:dyDescent="0.4">
      <c r="D18" s="494" t="s">
        <v>488</v>
      </c>
    </row>
    <row r="19" spans="2:19" x14ac:dyDescent="0.4">
      <c r="D19" s="494" t="s">
        <v>490</v>
      </c>
    </row>
    <row r="20" spans="2:19" x14ac:dyDescent="0.4">
      <c r="D20" s="494" t="s">
        <v>491</v>
      </c>
    </row>
    <row r="22" spans="2:19" x14ac:dyDescent="0.4">
      <c r="B22" s="492" t="s">
        <v>504</v>
      </c>
      <c r="C22" s="492"/>
      <c r="D22" s="495"/>
      <c r="E22" s="493"/>
      <c r="F22" s="493"/>
      <c r="G22" s="493"/>
      <c r="H22" s="493"/>
      <c r="I22" s="493"/>
      <c r="J22" s="493"/>
      <c r="K22" s="493"/>
      <c r="L22" s="493"/>
      <c r="M22" s="493"/>
      <c r="N22" s="493"/>
      <c r="O22" s="493"/>
      <c r="P22" s="493"/>
      <c r="Q22" s="493"/>
      <c r="R22" s="493"/>
      <c r="S22" s="493"/>
    </row>
    <row r="23" spans="2:19" x14ac:dyDescent="0.4">
      <c r="D23" s="494" t="s">
        <v>510</v>
      </c>
    </row>
    <row r="24" spans="2:19" x14ac:dyDescent="0.4">
      <c r="D24" s="494" t="s">
        <v>505</v>
      </c>
    </row>
    <row r="25" spans="2:19" x14ac:dyDescent="0.4">
      <c r="D25" s="494" t="s">
        <v>506</v>
      </c>
    </row>
    <row r="27" spans="2:19" x14ac:dyDescent="0.4">
      <c r="B27" s="492" t="s">
        <v>563</v>
      </c>
      <c r="C27" s="492"/>
      <c r="D27" s="495"/>
      <c r="E27" s="493"/>
      <c r="F27" s="493"/>
      <c r="G27" s="493"/>
      <c r="H27" s="493"/>
      <c r="I27" s="493"/>
      <c r="J27" s="493"/>
      <c r="K27" s="493"/>
      <c r="L27" s="493"/>
      <c r="M27" s="493"/>
      <c r="N27" s="493"/>
      <c r="O27" s="493"/>
      <c r="P27" s="493"/>
      <c r="Q27" s="493"/>
      <c r="R27" s="493"/>
      <c r="S27" s="493"/>
    </row>
    <row r="28" spans="2:19" ht="16" x14ac:dyDescent="0.4">
      <c r="D28" s="494" t="s">
        <v>640</v>
      </c>
    </row>
    <row r="29" spans="2:19" ht="16" x14ac:dyDescent="0.4">
      <c r="D29" s="494" t="s">
        <v>641</v>
      </c>
    </row>
    <row r="31" spans="2:19" x14ac:dyDescent="0.4">
      <c r="B31" s="492" t="s">
        <v>564</v>
      </c>
      <c r="C31" s="492"/>
      <c r="D31" s="495"/>
      <c r="E31" s="493"/>
      <c r="F31" s="493"/>
      <c r="G31" s="493"/>
      <c r="H31" s="493"/>
      <c r="I31" s="493"/>
      <c r="J31" s="493"/>
      <c r="K31" s="493"/>
      <c r="L31" s="493"/>
      <c r="M31" s="493"/>
      <c r="N31" s="493"/>
      <c r="O31" s="493"/>
      <c r="P31" s="493"/>
      <c r="Q31" s="493"/>
      <c r="R31" s="493"/>
      <c r="S31" s="493"/>
    </row>
    <row r="32" spans="2:19" x14ac:dyDescent="0.4">
      <c r="D32" s="494" t="s">
        <v>562</v>
      </c>
    </row>
    <row r="34" spans="2:19" x14ac:dyDescent="0.4">
      <c r="B34" s="492" t="s">
        <v>565</v>
      </c>
      <c r="C34" s="492"/>
      <c r="D34" s="495"/>
      <c r="E34" s="493"/>
      <c r="F34" s="493"/>
      <c r="G34" s="493"/>
      <c r="H34" s="493"/>
      <c r="I34" s="493"/>
      <c r="J34" s="493"/>
      <c r="K34" s="493"/>
      <c r="L34" s="493"/>
      <c r="M34" s="493"/>
      <c r="N34" s="493"/>
      <c r="O34" s="493"/>
      <c r="P34" s="493"/>
      <c r="Q34" s="493"/>
      <c r="R34" s="493"/>
      <c r="S34" s="493"/>
    </row>
    <row r="35" spans="2:19" x14ac:dyDescent="0.4">
      <c r="D35" s="494" t="s">
        <v>560</v>
      </c>
    </row>
    <row r="36" spans="2:19" x14ac:dyDescent="0.4">
      <c r="D36" s="494" t="s">
        <v>561</v>
      </c>
    </row>
    <row r="38" spans="2:19" x14ac:dyDescent="0.4">
      <c r="B38" s="492" t="s">
        <v>566</v>
      </c>
      <c r="C38" s="492"/>
      <c r="D38" s="495"/>
      <c r="E38" s="493"/>
      <c r="F38" s="493"/>
      <c r="G38" s="493"/>
      <c r="H38" s="493"/>
      <c r="I38" s="493"/>
      <c r="J38" s="493"/>
      <c r="K38" s="493"/>
      <c r="L38" s="493"/>
      <c r="M38" s="493"/>
      <c r="N38" s="493"/>
      <c r="O38" s="493"/>
      <c r="P38" s="493"/>
      <c r="Q38" s="493"/>
      <c r="R38" s="493"/>
      <c r="S38" s="493"/>
    </row>
    <row r="39" spans="2:19" x14ac:dyDescent="0.4">
      <c r="D39" s="494" t="s">
        <v>617</v>
      </c>
    </row>
    <row r="41" spans="2:19" x14ac:dyDescent="0.4">
      <c r="B41" s="492" t="s">
        <v>635</v>
      </c>
      <c r="C41" s="492"/>
      <c r="D41" s="495"/>
      <c r="E41" s="493"/>
      <c r="F41" s="493"/>
      <c r="G41" s="493"/>
      <c r="H41" s="493"/>
      <c r="I41" s="493"/>
      <c r="J41" s="493"/>
      <c r="K41" s="493"/>
      <c r="L41" s="493"/>
      <c r="M41" s="493"/>
      <c r="N41" s="493"/>
      <c r="O41" s="493"/>
      <c r="P41" s="493"/>
      <c r="Q41" s="493"/>
      <c r="R41" s="493"/>
      <c r="S41" s="493"/>
    </row>
    <row r="42" spans="2:19" x14ac:dyDescent="0.4">
      <c r="D42" s="494" t="s">
        <v>642</v>
      </c>
    </row>
    <row r="44" spans="2:19" x14ac:dyDescent="0.4">
      <c r="B44" s="492" t="s">
        <v>636</v>
      </c>
      <c r="C44" s="492"/>
      <c r="D44" s="495"/>
      <c r="E44" s="493"/>
      <c r="F44" s="493"/>
      <c r="G44" s="493"/>
      <c r="H44" s="493"/>
      <c r="I44" s="493"/>
      <c r="J44" s="493"/>
      <c r="K44" s="493"/>
      <c r="L44" s="493"/>
      <c r="M44" s="493"/>
      <c r="N44" s="493"/>
      <c r="O44" s="493"/>
      <c r="P44" s="493"/>
      <c r="Q44" s="493"/>
      <c r="R44" s="493"/>
      <c r="S44" s="493"/>
    </row>
    <row r="45" spans="2:19" x14ac:dyDescent="0.4">
      <c r="D45" s="722" t="s">
        <v>637</v>
      </c>
    </row>
    <row r="46" spans="2:19" x14ac:dyDescent="0.4">
      <c r="D46" s="722" t="s">
        <v>638</v>
      </c>
    </row>
    <row r="47" spans="2:19" x14ac:dyDescent="0.4">
      <c r="D47" s="722" t="s">
        <v>639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0D4C-EFEE-4CC1-8F2C-CD2CE8670363}">
  <sheetPr>
    <tabColor theme="7" tint="0.39997558519241921"/>
  </sheetPr>
  <dimension ref="D2:H35"/>
  <sheetViews>
    <sheetView workbookViewId="0">
      <selection activeCell="E44" sqref="E44"/>
    </sheetView>
  </sheetViews>
  <sheetFormatPr defaultColWidth="9.1796875" defaultRowHeight="14.5" x14ac:dyDescent="0.35"/>
  <cols>
    <col min="1" max="3" width="9.1796875" style="80"/>
    <col min="4" max="4" width="2.453125" style="80" customWidth="1"/>
    <col min="5" max="5" width="23" style="80" bestFit="1" customWidth="1"/>
    <col min="6" max="7" width="32.26953125" style="81" customWidth="1"/>
    <col min="8" max="8" width="2" style="80" customWidth="1"/>
    <col min="9" max="16384" width="9.1796875" style="80"/>
  </cols>
  <sheetData>
    <row r="2" spans="4:8" x14ac:dyDescent="0.35">
      <c r="E2" s="80" t="s">
        <v>609</v>
      </c>
    </row>
    <row r="5" spans="4:8" ht="15" thickBot="1" x14ac:dyDescent="0.4">
      <c r="H5" s="651"/>
    </row>
    <row r="6" spans="4:8" x14ac:dyDescent="0.35">
      <c r="D6" s="652"/>
      <c r="E6" s="653"/>
      <c r="F6" s="654"/>
      <c r="G6" s="654"/>
      <c r="H6" s="655"/>
    </row>
    <row r="7" spans="4:8" x14ac:dyDescent="0.35">
      <c r="D7" s="656"/>
      <c r="E7" s="657" t="s">
        <v>532</v>
      </c>
      <c r="F7" s="658"/>
      <c r="G7" s="658"/>
      <c r="H7" s="659"/>
    </row>
    <row r="8" spans="4:8" x14ac:dyDescent="0.35">
      <c r="D8" s="656"/>
      <c r="E8" s="657" t="s">
        <v>62</v>
      </c>
      <c r="F8" s="660" t="s">
        <v>171</v>
      </c>
      <c r="G8" s="660" t="s">
        <v>530</v>
      </c>
      <c r="H8" s="659"/>
    </row>
    <row r="9" spans="4:8" x14ac:dyDescent="0.35">
      <c r="D9" s="656"/>
      <c r="E9" s="661" t="s">
        <v>33</v>
      </c>
      <c r="F9" s="662" t="s">
        <v>121</v>
      </c>
      <c r="G9" s="662" t="s">
        <v>121</v>
      </c>
      <c r="H9" s="659"/>
    </row>
    <row r="10" spans="4:8" x14ac:dyDescent="0.35">
      <c r="D10" s="656"/>
      <c r="E10" s="663" t="s">
        <v>40</v>
      </c>
      <c r="F10" s="658" t="s">
        <v>13</v>
      </c>
      <c r="G10" s="664" t="s">
        <v>13</v>
      </c>
      <c r="H10" s="659"/>
    </row>
    <row r="11" spans="4:8" x14ac:dyDescent="0.35">
      <c r="D11" s="656"/>
      <c r="E11" s="663" t="s">
        <v>528</v>
      </c>
      <c r="F11" s="658">
        <v>2020</v>
      </c>
      <c r="G11" s="664">
        <v>2020</v>
      </c>
      <c r="H11" s="659"/>
    </row>
    <row r="12" spans="4:8" x14ac:dyDescent="0.35">
      <c r="D12" s="656"/>
      <c r="E12" s="663" t="s">
        <v>45</v>
      </c>
      <c r="F12" s="658" t="s">
        <v>69</v>
      </c>
      <c r="G12" s="664" t="s">
        <v>529</v>
      </c>
      <c r="H12" s="659"/>
    </row>
    <row r="13" spans="4:8" x14ac:dyDescent="0.35">
      <c r="D13" s="656"/>
      <c r="E13" s="663" t="s">
        <v>64</v>
      </c>
      <c r="F13" s="658" t="s">
        <v>177</v>
      </c>
      <c r="G13" s="664" t="s">
        <v>177</v>
      </c>
      <c r="H13" s="659"/>
    </row>
    <row r="14" spans="4:8" x14ac:dyDescent="0.35">
      <c r="D14" s="656"/>
      <c r="E14" s="663" t="s">
        <v>41</v>
      </c>
      <c r="F14" s="665">
        <v>27.691912952877303</v>
      </c>
      <c r="G14" s="666">
        <v>2.7058823529411762</v>
      </c>
      <c r="H14" s="659"/>
    </row>
    <row r="15" spans="4:8" x14ac:dyDescent="0.35">
      <c r="D15" s="656"/>
      <c r="E15" s="663" t="s">
        <v>2</v>
      </c>
      <c r="F15" s="665">
        <v>11.058034651530003</v>
      </c>
      <c r="G15" s="666">
        <v>2.7058823529411762</v>
      </c>
      <c r="H15" s="659"/>
    </row>
    <row r="16" spans="4:8" x14ac:dyDescent="0.35">
      <c r="D16" s="656"/>
      <c r="E16" s="663" t="s">
        <v>60</v>
      </c>
      <c r="F16" s="665">
        <v>16.633878301347298</v>
      </c>
      <c r="G16" s="666">
        <v>0</v>
      </c>
      <c r="H16" s="659"/>
    </row>
    <row r="17" spans="4:8" x14ac:dyDescent="0.35">
      <c r="D17" s="656"/>
      <c r="E17" s="663" t="s">
        <v>42</v>
      </c>
      <c r="F17" s="665">
        <v>2.9557743514082002</v>
      </c>
      <c r="G17" s="666">
        <v>0</v>
      </c>
      <c r="H17" s="659"/>
    </row>
    <row r="18" spans="4:8" x14ac:dyDescent="0.35">
      <c r="D18" s="656"/>
      <c r="E18" s="663" t="s">
        <v>36</v>
      </c>
      <c r="F18" s="665">
        <f>NAV!E39</f>
        <v>13.390399107670001</v>
      </c>
      <c r="G18" s="666">
        <f>G15*F18/F15</f>
        <v>3.2766079856035097</v>
      </c>
      <c r="H18" s="659"/>
    </row>
    <row r="19" spans="4:8" x14ac:dyDescent="0.35">
      <c r="D19" s="656"/>
      <c r="E19" s="663" t="s">
        <v>270</v>
      </c>
      <c r="F19" s="665">
        <f>F18+F17-F15</f>
        <v>5.288138807548199</v>
      </c>
      <c r="G19" s="666">
        <f>G18+G17-G15</f>
        <v>0.57072563266233356</v>
      </c>
      <c r="H19" s="659"/>
    </row>
    <row r="20" spans="4:8" x14ac:dyDescent="0.35">
      <c r="D20" s="656"/>
      <c r="E20" s="663" t="s">
        <v>74</v>
      </c>
      <c r="F20" s="667">
        <f>(F17+F18)/F15</f>
        <v>1.478216877970854</v>
      </c>
      <c r="G20" s="667">
        <f>(G17+G18)/G15</f>
        <v>1.210920342505645</v>
      </c>
      <c r="H20" s="659"/>
    </row>
    <row r="21" spans="4:8" x14ac:dyDescent="0.35">
      <c r="D21" s="163"/>
      <c r="E21" s="657"/>
      <c r="F21" s="658"/>
      <c r="G21" s="658"/>
      <c r="H21" s="164"/>
    </row>
    <row r="22" spans="4:8" x14ac:dyDescent="0.35">
      <c r="D22" s="656"/>
      <c r="E22" s="657" t="s">
        <v>531</v>
      </c>
      <c r="F22" s="658"/>
      <c r="G22" s="658"/>
      <c r="H22" s="659"/>
    </row>
    <row r="23" spans="4:8" x14ac:dyDescent="0.35">
      <c r="D23" s="656"/>
      <c r="E23" s="663" t="s">
        <v>534</v>
      </c>
      <c r="F23" s="658"/>
      <c r="G23" s="658"/>
      <c r="H23" s="659"/>
    </row>
    <row r="24" spans="4:8" x14ac:dyDescent="0.35">
      <c r="D24" s="656"/>
      <c r="E24" s="663" t="s">
        <v>535</v>
      </c>
      <c r="F24" s="658"/>
      <c r="G24" s="658"/>
      <c r="H24" s="659"/>
    </row>
    <row r="25" spans="4:8" ht="15" thickBot="1" x14ac:dyDescent="0.4">
      <c r="D25" s="668"/>
      <c r="E25" s="669"/>
      <c r="F25" s="670"/>
      <c r="G25" s="670"/>
      <c r="H25" s="671"/>
    </row>
    <row r="33" spans="5:5" x14ac:dyDescent="0.35">
      <c r="E33" s="552">
        <v>1799122</v>
      </c>
    </row>
    <row r="34" spans="5:5" x14ac:dyDescent="0.35">
      <c r="E34" s="710">
        <v>3.5982439999999997E-2</v>
      </c>
    </row>
    <row r="35" spans="5:5" x14ac:dyDescent="0.35">
      <c r="E35" s="552">
        <f>E33/E34</f>
        <v>50000000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C464-79B5-429B-9CED-6558AD052796}">
  <sheetPr>
    <tabColor theme="4" tint="0.39997558519241921"/>
  </sheetPr>
  <dimension ref="B2:N18"/>
  <sheetViews>
    <sheetView zoomScale="90" zoomScaleNormal="90" workbookViewId="0">
      <selection activeCell="I31" sqref="I31"/>
    </sheetView>
  </sheetViews>
  <sheetFormatPr defaultColWidth="9.1796875" defaultRowHeight="14.5" x14ac:dyDescent="0.35"/>
  <cols>
    <col min="1" max="1" width="9.1796875" style="80"/>
    <col min="2" max="2" width="29.7265625" style="80" customWidth="1"/>
    <col min="3" max="3" width="10.81640625" style="80" customWidth="1"/>
    <col min="4" max="4" width="23.1796875" style="80" customWidth="1"/>
    <col min="5" max="10" width="12.54296875" style="80" customWidth="1"/>
    <col min="11" max="16384" width="9.1796875" style="80"/>
  </cols>
  <sheetData>
    <row r="2" spans="2:14" s="162" customFormat="1" ht="29" thickBot="1" x14ac:dyDescent="0.7">
      <c r="B2" s="331" t="s">
        <v>276</v>
      </c>
      <c r="C2" s="332"/>
      <c r="D2" s="331"/>
      <c r="F2" s="333"/>
      <c r="G2" s="333"/>
      <c r="H2" s="333"/>
      <c r="I2" s="333"/>
      <c r="J2" s="333"/>
      <c r="K2" s="334"/>
      <c r="L2" s="333"/>
    </row>
    <row r="3" spans="2:14" s="136" customFormat="1" ht="29" thickBot="1" x14ac:dyDescent="0.7">
      <c r="B3" s="258" t="s">
        <v>227</v>
      </c>
      <c r="C3" s="272">
        <f>D!D2</f>
        <v>45138</v>
      </c>
      <c r="D3" s="331"/>
      <c r="J3" s="80"/>
      <c r="K3" s="80"/>
      <c r="L3" s="80"/>
      <c r="M3" s="80"/>
      <c r="N3" s="128"/>
    </row>
    <row r="6" spans="2:14" ht="37.5" customHeight="1" x14ac:dyDescent="0.35">
      <c r="B6" s="57" t="s">
        <v>62</v>
      </c>
      <c r="C6" s="57"/>
      <c r="D6" s="1" t="s">
        <v>430</v>
      </c>
      <c r="E6" s="1" t="s">
        <v>258</v>
      </c>
      <c r="F6" s="1" t="s">
        <v>259</v>
      </c>
      <c r="G6" s="1" t="s">
        <v>260</v>
      </c>
      <c r="H6" s="1" t="s">
        <v>261</v>
      </c>
      <c r="I6" s="1" t="s">
        <v>262</v>
      </c>
      <c r="J6" s="1" t="s">
        <v>263</v>
      </c>
    </row>
    <row r="7" spans="2:14" x14ac:dyDescent="0.35">
      <c r="B7" s="59"/>
      <c r="C7" s="59"/>
      <c r="D7" s="62"/>
      <c r="E7" s="62"/>
      <c r="F7" s="62"/>
      <c r="G7" s="62"/>
      <c r="H7" s="62"/>
      <c r="I7" s="62"/>
      <c r="J7" s="62"/>
    </row>
    <row r="8" spans="2:14" x14ac:dyDescent="0.35">
      <c r="C8" s="81"/>
      <c r="D8" s="56"/>
      <c r="E8" s="56"/>
      <c r="F8" s="56"/>
      <c r="G8" s="56"/>
      <c r="H8" s="56"/>
      <c r="I8" s="56"/>
      <c r="J8" s="56"/>
    </row>
    <row r="9" spans="2:14" x14ac:dyDescent="0.35">
      <c r="B9" s="80" t="s">
        <v>608</v>
      </c>
      <c r="C9" s="81"/>
      <c r="D9" s="56"/>
      <c r="E9" s="56"/>
      <c r="F9" s="56"/>
      <c r="G9" s="56"/>
      <c r="H9" s="56"/>
      <c r="I9" s="56"/>
      <c r="J9" s="56"/>
    </row>
    <row r="10" spans="2:14" x14ac:dyDescent="0.35">
      <c r="B10" s="58" t="s">
        <v>171</v>
      </c>
      <c r="C10" s="56" t="s">
        <v>63</v>
      </c>
      <c r="D10" s="71">
        <v>3.945957317153443</v>
      </c>
      <c r="E10" s="71"/>
      <c r="F10" s="71"/>
      <c r="G10" s="71">
        <f>D10-F10</f>
        <v>3.945957317153443</v>
      </c>
      <c r="H10" s="71"/>
      <c r="I10" s="71"/>
      <c r="J10" s="71"/>
    </row>
    <row r="11" spans="2:14" x14ac:dyDescent="0.35">
      <c r="B11" s="58" t="s">
        <v>1</v>
      </c>
      <c r="C11" s="56" t="s">
        <v>63</v>
      </c>
      <c r="D11" s="71">
        <v>217.81330800000001</v>
      </c>
      <c r="E11" s="71"/>
      <c r="F11" s="71"/>
      <c r="G11" s="71"/>
      <c r="H11" s="71"/>
      <c r="I11" s="71"/>
      <c r="J11" s="71"/>
    </row>
    <row r="12" spans="2:14" x14ac:dyDescent="0.35">
      <c r="B12" s="58" t="s">
        <v>15</v>
      </c>
      <c r="C12" s="56" t="s">
        <v>63</v>
      </c>
      <c r="D12" s="71">
        <v>33.209754000000004</v>
      </c>
      <c r="E12" s="71"/>
      <c r="F12" s="71"/>
      <c r="G12" s="71"/>
      <c r="H12" s="71"/>
      <c r="I12" s="71"/>
      <c r="J12" s="71"/>
    </row>
    <row r="13" spans="2:14" x14ac:dyDescent="0.35">
      <c r="B13" s="58" t="s">
        <v>229</v>
      </c>
      <c r="C13" s="56" t="s">
        <v>63</v>
      </c>
      <c r="D13" s="71">
        <v>6.4856375000000011</v>
      </c>
      <c r="E13" s="71"/>
      <c r="F13" s="71"/>
      <c r="G13" s="71"/>
      <c r="I13" s="71"/>
      <c r="J13" s="71"/>
    </row>
    <row r="14" spans="2:14" x14ac:dyDescent="0.35">
      <c r="B14" s="63"/>
      <c r="C14" s="240"/>
      <c r="D14" s="72">
        <f>SUM(D10:D13)</f>
        <v>261.45465681715348</v>
      </c>
      <c r="E14" s="72"/>
      <c r="F14" s="72">
        <f>SUM(F10:F13)</f>
        <v>0</v>
      </c>
      <c r="G14" s="72">
        <f>SUM(G10:G13)</f>
        <v>3.945957317153443</v>
      </c>
      <c r="H14" s="72">
        <f>SUM(H10:H13)</f>
        <v>0</v>
      </c>
      <c r="I14" s="72">
        <f>SUM(I10:I13)</f>
        <v>0</v>
      </c>
      <c r="J14" s="72">
        <f>SUM(J10:J13)</f>
        <v>0</v>
      </c>
    </row>
    <row r="17" spans="2:2" x14ac:dyDescent="0.35">
      <c r="B17" s="80" t="s">
        <v>136</v>
      </c>
    </row>
    <row r="18" spans="2:2" x14ac:dyDescent="0.35">
      <c r="B18" s="80" t="s">
        <v>264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D91A-4F2A-4A23-A2DA-C3610F0BA60C}">
  <sheetPr>
    <tabColor theme="7" tint="0.39997558519241921"/>
  </sheetPr>
  <dimension ref="B2:P44"/>
  <sheetViews>
    <sheetView showGridLines="0" zoomScale="90" zoomScaleNormal="90" workbookViewId="0">
      <selection activeCell="I38" sqref="I38"/>
    </sheetView>
  </sheetViews>
  <sheetFormatPr defaultColWidth="9.1796875" defaultRowHeight="14.5" x14ac:dyDescent="0.35"/>
  <cols>
    <col min="1" max="2" width="5.453125" style="80" customWidth="1"/>
    <col min="3" max="3" width="4.1796875" style="150" customWidth="1"/>
    <col min="4" max="4" width="38.54296875" style="81" customWidth="1"/>
    <col min="5" max="5" width="19.26953125" style="81" customWidth="1"/>
    <col min="6" max="7" width="17.54296875" style="81" customWidth="1"/>
    <col min="8" max="8" width="4.26953125" style="81" customWidth="1"/>
    <col min="9" max="9" width="17.54296875" style="81" customWidth="1"/>
    <col min="10" max="10" width="2.81640625" style="81" customWidth="1"/>
    <col min="11" max="11" width="36" style="80" customWidth="1"/>
    <col min="12" max="12" width="9.1796875" style="80" customWidth="1"/>
    <col min="13" max="13" width="7" style="80" customWidth="1"/>
    <col min="14" max="14" width="29.81640625" style="80" bestFit="1" customWidth="1"/>
    <col min="15" max="15" width="10.54296875" style="80" customWidth="1"/>
    <col min="16" max="16" width="4.7265625" style="80" customWidth="1"/>
    <col min="17" max="16384" width="9.1796875" style="80"/>
  </cols>
  <sheetData>
    <row r="2" spans="2:16" s="162" customFormat="1" ht="29" thickBot="1" x14ac:dyDescent="0.7">
      <c r="C2" s="331" t="s">
        <v>274</v>
      </c>
      <c r="D2" s="332"/>
      <c r="E2" s="332"/>
      <c r="F2" s="339"/>
      <c r="G2" s="339"/>
      <c r="H2" s="339"/>
      <c r="I2" s="333"/>
      <c r="J2" s="333"/>
    </row>
    <row r="3" spans="2:16" s="136" customFormat="1" ht="15" thickBot="1" x14ac:dyDescent="0.4">
      <c r="C3" s="538"/>
      <c r="D3" s="258" t="s">
        <v>241</v>
      </c>
      <c r="E3" s="539">
        <f>D!D2</f>
        <v>45138</v>
      </c>
      <c r="F3" s="538"/>
      <c r="G3" s="538"/>
      <c r="H3" s="332"/>
      <c r="I3" s="80"/>
      <c r="J3" s="80"/>
    </row>
    <row r="4" spans="2:16" s="162" customFormat="1" x14ac:dyDescent="0.35">
      <c r="C4" s="335"/>
      <c r="D4" s="336"/>
      <c r="E4" s="333"/>
      <c r="F4" s="333"/>
      <c r="G4" s="333"/>
      <c r="H4" s="333"/>
      <c r="I4" s="333"/>
      <c r="J4" s="333"/>
    </row>
    <row r="5" spans="2:16" ht="15" thickBot="1" x14ac:dyDescent="0.4">
      <c r="C5" s="151"/>
    </row>
    <row r="6" spans="2:16" s="159" customFormat="1" x14ac:dyDescent="0.35">
      <c r="B6" s="80"/>
      <c r="C6" s="531"/>
      <c r="D6" s="532"/>
      <c r="E6" s="532"/>
      <c r="F6" s="154"/>
      <c r="G6" s="154"/>
      <c r="H6" s="533"/>
      <c r="I6" s="81"/>
      <c r="J6" s="569"/>
      <c r="K6" s="532"/>
      <c r="L6" s="532"/>
      <c r="M6" s="532"/>
      <c r="N6" s="532"/>
      <c r="O6" s="532"/>
      <c r="P6" s="570"/>
    </row>
    <row r="7" spans="2:16" ht="30" customHeight="1" x14ac:dyDescent="0.35">
      <c r="C7" s="534"/>
      <c r="D7" s="57" t="s">
        <v>62</v>
      </c>
      <c r="E7" s="1" t="s">
        <v>213</v>
      </c>
      <c r="F7" s="1" t="s">
        <v>270</v>
      </c>
      <c r="G7" s="1" t="s">
        <v>472</v>
      </c>
      <c r="H7" s="507"/>
      <c r="J7" s="535"/>
      <c r="K7" s="727" t="s">
        <v>473</v>
      </c>
      <c r="L7" s="727"/>
      <c r="M7" s="175"/>
      <c r="N7" s="727" t="s">
        <v>474</v>
      </c>
      <c r="O7" s="727"/>
      <c r="P7" s="164"/>
    </row>
    <row r="8" spans="2:16" x14ac:dyDescent="0.35">
      <c r="C8" s="534"/>
      <c r="D8" s="58" t="s">
        <v>113</v>
      </c>
      <c r="E8" s="410" t="s">
        <v>212</v>
      </c>
      <c r="F8" s="71">
        <f ca="1">VLOOKUP(D8,'S | 01 '!$C$6:$R$46,13,0)</f>
        <v>-85.212961622445107</v>
      </c>
      <c r="G8" s="540">
        <v>0</v>
      </c>
      <c r="H8" s="507"/>
      <c r="J8" s="535"/>
      <c r="K8" s="58" t="s">
        <v>57</v>
      </c>
      <c r="L8" s="71">
        <f t="shared" ref="L8:L25" si="0">VLOOKUP(K8,$D$7:$G$33,4,0)</f>
        <v>-65</v>
      </c>
      <c r="M8" s="175"/>
      <c r="N8" s="58" t="s">
        <v>44</v>
      </c>
      <c r="O8" s="71">
        <f t="shared" ref="O8:O15" si="1">VLOOKUP(N8,$D$7:$G$33,4,0)</f>
        <v>0</v>
      </c>
      <c r="P8" s="164"/>
    </row>
    <row r="9" spans="2:16" x14ac:dyDescent="0.35">
      <c r="C9" s="534"/>
      <c r="D9" s="58" t="s">
        <v>57</v>
      </c>
      <c r="E9" s="410" t="s">
        <v>212</v>
      </c>
      <c r="F9" s="71">
        <f ca="1">VLOOKUP(D9,'S | 01 '!$C$6:$R$46,13,0)</f>
        <v>-65</v>
      </c>
      <c r="G9" s="71">
        <v>-65</v>
      </c>
      <c r="H9" s="507"/>
      <c r="J9" s="535"/>
      <c r="K9" s="58" t="s">
        <v>11</v>
      </c>
      <c r="L9" s="71">
        <f t="shared" si="0"/>
        <v>-39.700000000000003</v>
      </c>
      <c r="M9" s="175"/>
      <c r="N9" s="58" t="s">
        <v>25</v>
      </c>
      <c r="O9" s="71">
        <f t="shared" si="1"/>
        <v>0</v>
      </c>
      <c r="P9" s="164"/>
    </row>
    <row r="10" spans="2:16" x14ac:dyDescent="0.35">
      <c r="C10" s="534"/>
      <c r="D10" s="58" t="s">
        <v>132</v>
      </c>
      <c r="E10" s="410" t="s">
        <v>212</v>
      </c>
      <c r="F10" s="71">
        <f ca="1">VLOOKUP(D10,'S | 01 '!$C$6:$R$46,13,0)</f>
        <v>-17.468583680000002</v>
      </c>
      <c r="G10" s="540">
        <v>0</v>
      </c>
      <c r="H10" s="507"/>
      <c r="J10" s="535"/>
      <c r="K10" s="58" t="s">
        <v>58</v>
      </c>
      <c r="L10" s="71">
        <f t="shared" si="0"/>
        <v>-8</v>
      </c>
      <c r="M10" s="175"/>
      <c r="N10" s="58" t="s">
        <v>132</v>
      </c>
      <c r="O10" s="71">
        <f t="shared" si="1"/>
        <v>0</v>
      </c>
      <c r="P10" s="164"/>
    </row>
    <row r="11" spans="2:16" x14ac:dyDescent="0.35">
      <c r="C11" s="534"/>
      <c r="D11" s="58" t="s">
        <v>58</v>
      </c>
      <c r="E11" s="410" t="s">
        <v>53</v>
      </c>
      <c r="F11" s="71">
        <f>VLOOKUP(D11,'S | 01 '!$C$6:$R$46,13,0)</f>
        <v>-8</v>
      </c>
      <c r="G11" s="71">
        <v>-8</v>
      </c>
      <c r="H11" s="507"/>
      <c r="J11" s="535"/>
      <c r="K11" s="58" t="s">
        <v>0</v>
      </c>
      <c r="L11" s="71">
        <f t="shared" si="0"/>
        <v>-6.3</v>
      </c>
      <c r="M11" s="175"/>
      <c r="N11" s="58" t="s">
        <v>538</v>
      </c>
      <c r="O11" s="71">
        <f t="shared" si="1"/>
        <v>0</v>
      </c>
      <c r="P11" s="164"/>
    </row>
    <row r="12" spans="2:16" x14ac:dyDescent="0.35">
      <c r="C12" s="534"/>
      <c r="D12" s="58" t="s">
        <v>0</v>
      </c>
      <c r="E12" s="410" t="s">
        <v>212</v>
      </c>
      <c r="F12" s="71">
        <f ca="1">VLOOKUP(D12,'S | 01 '!$C$6:$R$46,13,0)</f>
        <v>-8</v>
      </c>
      <c r="G12" s="541">
        <v>-6.3</v>
      </c>
      <c r="H12" s="507"/>
      <c r="J12" s="535"/>
      <c r="K12" s="58" t="s">
        <v>47</v>
      </c>
      <c r="L12" s="71">
        <f t="shared" si="0"/>
        <v>0</v>
      </c>
      <c r="M12" s="175"/>
      <c r="N12" s="58" t="s">
        <v>229</v>
      </c>
      <c r="O12" s="71">
        <f t="shared" si="1"/>
        <v>0</v>
      </c>
      <c r="P12" s="164"/>
    </row>
    <row r="13" spans="2:16" x14ac:dyDescent="0.35">
      <c r="C13" s="534"/>
      <c r="D13" s="58" t="s">
        <v>15</v>
      </c>
      <c r="E13" s="410" t="s">
        <v>63</v>
      </c>
      <c r="F13" s="71">
        <f>VLOOKUP(D13,'S | 01 '!$C$6:$R$46,13,0)</f>
        <v>-1.0563666500000011</v>
      </c>
      <c r="G13" s="71">
        <v>3.5</v>
      </c>
      <c r="H13" s="507"/>
      <c r="J13" s="535"/>
      <c r="K13" s="58" t="s">
        <v>51</v>
      </c>
      <c r="L13" s="71">
        <f t="shared" si="0"/>
        <v>0</v>
      </c>
      <c r="M13" s="175"/>
      <c r="N13" s="58" t="s">
        <v>171</v>
      </c>
      <c r="O13" s="71">
        <f t="shared" si="1"/>
        <v>1</v>
      </c>
      <c r="P13" s="164"/>
    </row>
    <row r="14" spans="2:16" x14ac:dyDescent="0.35">
      <c r="C14" s="534"/>
      <c r="D14" s="58" t="s">
        <v>229</v>
      </c>
      <c r="E14" s="410" t="s">
        <v>63</v>
      </c>
      <c r="F14" s="71">
        <f>VLOOKUP(D14,'S | 01 '!$C$6:$R$46,13,0)</f>
        <v>-0.70751249999999999</v>
      </c>
      <c r="G14" s="71">
        <v>0</v>
      </c>
      <c r="H14" s="507"/>
      <c r="J14" s="535"/>
      <c r="K14" s="58" t="s">
        <v>113</v>
      </c>
      <c r="L14" s="71">
        <f t="shared" si="0"/>
        <v>0</v>
      </c>
      <c r="M14" s="175"/>
      <c r="N14" s="58" t="s">
        <v>15</v>
      </c>
      <c r="O14" s="71">
        <f t="shared" si="1"/>
        <v>3.5</v>
      </c>
      <c r="P14" s="164"/>
    </row>
    <row r="15" spans="2:16" x14ac:dyDescent="0.35">
      <c r="C15" s="534"/>
      <c r="D15" s="58" t="s">
        <v>1</v>
      </c>
      <c r="E15" s="410" t="s">
        <v>63</v>
      </c>
      <c r="F15" s="71">
        <f>VLOOKUP(D15,'S | 01 '!$C$6:$R$46,13,0)</f>
        <v>-0.49090599999998119</v>
      </c>
      <c r="G15" s="71">
        <v>6.6</v>
      </c>
      <c r="H15" s="507"/>
      <c r="J15" s="535"/>
      <c r="K15" s="58" t="s">
        <v>396</v>
      </c>
      <c r="L15" s="71">
        <f t="shared" si="0"/>
        <v>0</v>
      </c>
      <c r="M15" s="175"/>
      <c r="N15" s="58" t="s">
        <v>1</v>
      </c>
      <c r="O15" s="71">
        <f t="shared" si="1"/>
        <v>6.6</v>
      </c>
      <c r="P15" s="164"/>
    </row>
    <row r="16" spans="2:16" x14ac:dyDescent="0.35">
      <c r="C16" s="534"/>
      <c r="D16" s="58" t="s">
        <v>398</v>
      </c>
      <c r="E16" s="410" t="s">
        <v>53</v>
      </c>
      <c r="F16" s="71">
        <f>VLOOKUP(D16,'S | 01 '!$C$6:$R$46,13,0)</f>
        <v>0</v>
      </c>
      <c r="G16" s="71">
        <v>0</v>
      </c>
      <c r="H16" s="507"/>
      <c r="J16" s="535"/>
      <c r="K16" s="58" t="s">
        <v>433</v>
      </c>
      <c r="L16" s="71">
        <f t="shared" si="0"/>
        <v>0</v>
      </c>
      <c r="M16" s="78"/>
      <c r="N16" s="175"/>
      <c r="O16" s="175"/>
      <c r="P16" s="164"/>
    </row>
    <row r="17" spans="2:16" x14ac:dyDescent="0.35">
      <c r="C17" s="534"/>
      <c r="D17" s="58" t="s">
        <v>24</v>
      </c>
      <c r="E17" s="410" t="s">
        <v>212</v>
      </c>
      <c r="F17" s="71">
        <f ca="1">VLOOKUP(D17,'S | 01 '!$C$6:$R$46,13,0)</f>
        <v>0</v>
      </c>
      <c r="G17" s="71">
        <v>0</v>
      </c>
      <c r="H17" s="507"/>
      <c r="J17" s="535"/>
      <c r="K17" s="58" t="s">
        <v>50</v>
      </c>
      <c r="L17" s="71">
        <f t="shared" si="0"/>
        <v>0</v>
      </c>
      <c r="M17" s="78"/>
      <c r="P17" s="164"/>
    </row>
    <row r="18" spans="2:16" x14ac:dyDescent="0.35">
      <c r="C18" s="534"/>
      <c r="D18" s="58" t="s">
        <v>396</v>
      </c>
      <c r="E18" s="410" t="s">
        <v>212</v>
      </c>
      <c r="F18" s="71">
        <f ca="1">VLOOKUP(D18,'S | 01 '!$C$6:$R$46,13,0)</f>
        <v>0</v>
      </c>
      <c r="G18" s="540">
        <v>0</v>
      </c>
      <c r="H18" s="507"/>
      <c r="J18" s="535"/>
      <c r="K18" s="58" t="s">
        <v>52</v>
      </c>
      <c r="L18" s="71">
        <f t="shared" si="0"/>
        <v>0</v>
      </c>
      <c r="M18" s="175"/>
      <c r="N18" s="175"/>
      <c r="O18" s="175"/>
      <c r="P18" s="164"/>
    </row>
    <row r="19" spans="2:16" x14ac:dyDescent="0.35">
      <c r="C19" s="534"/>
      <c r="D19" s="58" t="s">
        <v>433</v>
      </c>
      <c r="E19" s="410" t="s">
        <v>212</v>
      </c>
      <c r="F19" s="71">
        <f ca="1">VLOOKUP(D19,'S | 01 '!$C$6:$R$46,13,0)</f>
        <v>0</v>
      </c>
      <c r="G19" s="540">
        <v>0</v>
      </c>
      <c r="H19" s="507"/>
      <c r="J19" s="535"/>
      <c r="K19" s="58" t="s">
        <v>24</v>
      </c>
      <c r="L19" s="71">
        <f t="shared" si="0"/>
        <v>0</v>
      </c>
      <c r="M19" s="78"/>
      <c r="N19" s="175"/>
      <c r="O19" s="175"/>
      <c r="P19" s="164"/>
    </row>
    <row r="20" spans="2:16" x14ac:dyDescent="0.35">
      <c r="C20" s="534"/>
      <c r="D20" s="58" t="s">
        <v>50</v>
      </c>
      <c r="E20" s="410" t="s">
        <v>212</v>
      </c>
      <c r="F20" s="71">
        <f ca="1">VLOOKUP(D20,'S | 01 '!$C$6:$R$46,13,0)</f>
        <v>0</v>
      </c>
      <c r="G20" s="71">
        <v>0</v>
      </c>
      <c r="H20" s="507"/>
      <c r="J20" s="535"/>
      <c r="K20" s="58" t="s">
        <v>390</v>
      </c>
      <c r="L20" s="71">
        <f t="shared" si="0"/>
        <v>0</v>
      </c>
      <c r="M20" s="78"/>
      <c r="N20" s="175"/>
      <c r="O20" s="175"/>
      <c r="P20" s="164"/>
    </row>
    <row r="21" spans="2:16" x14ac:dyDescent="0.35">
      <c r="C21" s="534"/>
      <c r="D21" s="58" t="s">
        <v>51</v>
      </c>
      <c r="E21" s="410" t="s">
        <v>212</v>
      </c>
      <c r="F21" s="71">
        <f ca="1">VLOOKUP(D21,'S | 01 '!$C$6:$R$46,13,0)</f>
        <v>0</v>
      </c>
      <c r="G21" s="71">
        <v>0</v>
      </c>
      <c r="H21" s="507"/>
      <c r="J21" s="535"/>
      <c r="K21" s="58" t="s">
        <v>398</v>
      </c>
      <c r="L21" s="71">
        <f t="shared" si="0"/>
        <v>0</v>
      </c>
      <c r="M21" s="78"/>
      <c r="N21" s="175"/>
      <c r="O21" s="175"/>
      <c r="P21" s="164"/>
    </row>
    <row r="22" spans="2:16" x14ac:dyDescent="0.35">
      <c r="C22" s="534"/>
      <c r="D22" s="58" t="s">
        <v>25</v>
      </c>
      <c r="E22" s="410" t="s">
        <v>212</v>
      </c>
      <c r="F22" s="71">
        <f ca="1">VLOOKUP(D22,'S | 01 '!$C$6:$R$46,13,0)</f>
        <v>0</v>
      </c>
      <c r="G22" s="540">
        <v>0</v>
      </c>
      <c r="H22" s="507"/>
      <c r="J22" s="535"/>
      <c r="K22" s="58" t="s">
        <v>49</v>
      </c>
      <c r="L22" s="71">
        <f t="shared" si="0"/>
        <v>2.5</v>
      </c>
      <c r="M22" s="78"/>
      <c r="N22" s="175"/>
      <c r="O22" s="175"/>
      <c r="P22" s="164"/>
    </row>
    <row r="23" spans="2:16" x14ac:dyDescent="0.35">
      <c r="C23" s="534"/>
      <c r="D23" s="58" t="s">
        <v>539</v>
      </c>
      <c r="E23" s="410" t="s">
        <v>212</v>
      </c>
      <c r="F23" s="71">
        <f ca="1">VLOOKUP(D23,'S | 01 '!$C$6:$R$46,13,0)</f>
        <v>0</v>
      </c>
      <c r="G23" s="71">
        <v>69.099999999999994</v>
      </c>
      <c r="H23" s="507"/>
      <c r="J23" s="535"/>
      <c r="K23" s="58" t="s">
        <v>48</v>
      </c>
      <c r="L23" s="71">
        <f t="shared" si="0"/>
        <v>68.099999999999994</v>
      </c>
      <c r="M23" s="78"/>
      <c r="N23" s="175"/>
      <c r="O23" s="175"/>
      <c r="P23" s="164"/>
    </row>
    <row r="24" spans="2:16" x14ac:dyDescent="0.35">
      <c r="C24" s="534"/>
      <c r="D24" s="58" t="s">
        <v>390</v>
      </c>
      <c r="E24" s="410" t="s">
        <v>53</v>
      </c>
      <c r="F24" s="71">
        <f>VLOOKUP(D24,'S | 01 '!$C$6:$R$46,13,0)</f>
        <v>5.9019650000000035E-2</v>
      </c>
      <c r="G24" s="71">
        <v>0</v>
      </c>
      <c r="H24" s="507"/>
      <c r="J24" s="535"/>
      <c r="K24" s="58" t="s">
        <v>539</v>
      </c>
      <c r="L24" s="71">
        <f t="shared" si="0"/>
        <v>69.099999999999994</v>
      </c>
      <c r="M24" s="78"/>
      <c r="N24" s="175"/>
      <c r="O24" s="175"/>
      <c r="P24" s="164"/>
    </row>
    <row r="25" spans="2:16" x14ac:dyDescent="0.35">
      <c r="C25" s="534"/>
      <c r="D25" s="58" t="s">
        <v>538</v>
      </c>
      <c r="E25" s="410" t="s">
        <v>63</v>
      </c>
      <c r="F25" s="71">
        <f>VLOOKUP(D25,'S | 01 '!$C$6:$R$46,13,0)</f>
        <v>0.57072563266233356</v>
      </c>
      <c r="G25" s="71">
        <v>0</v>
      </c>
      <c r="H25" s="507"/>
      <c r="J25" s="535"/>
      <c r="K25" s="58" t="s">
        <v>131</v>
      </c>
      <c r="L25" s="71">
        <f t="shared" si="0"/>
        <v>275.8</v>
      </c>
      <c r="M25" s="175"/>
      <c r="N25" s="175"/>
      <c r="O25" s="175"/>
      <c r="P25" s="164"/>
    </row>
    <row r="26" spans="2:16" x14ac:dyDescent="0.35">
      <c r="C26" s="534"/>
      <c r="D26" s="58" t="s">
        <v>47</v>
      </c>
      <c r="E26" s="410" t="s">
        <v>212</v>
      </c>
      <c r="F26" s="71">
        <f ca="1">VLOOKUP(D26,'S | 01 '!$C$6:$R$46,13,0)</f>
        <v>1.001540300000002</v>
      </c>
      <c r="G26" s="71">
        <v>0</v>
      </c>
      <c r="H26" s="507"/>
      <c r="J26" s="535"/>
      <c r="M26" s="175"/>
      <c r="N26" s="175"/>
      <c r="O26" s="175"/>
      <c r="P26" s="164"/>
    </row>
    <row r="27" spans="2:16" x14ac:dyDescent="0.35">
      <c r="C27" s="534"/>
      <c r="D27" s="58" t="s">
        <v>52</v>
      </c>
      <c r="E27" s="410" t="s">
        <v>212</v>
      </c>
      <c r="F27" s="71">
        <f ca="1">VLOOKUP(D27,'S | 01 '!$C$6:$R$46,13,0)</f>
        <v>2.7970559015225653</v>
      </c>
      <c r="G27" s="71">
        <v>0</v>
      </c>
      <c r="H27" s="507"/>
      <c r="J27" s="535"/>
      <c r="M27" s="175"/>
      <c r="N27" s="175"/>
      <c r="O27" s="175"/>
      <c r="P27" s="164"/>
    </row>
    <row r="28" spans="2:16" x14ac:dyDescent="0.35">
      <c r="C28" s="534"/>
      <c r="D28" s="58" t="s">
        <v>131</v>
      </c>
      <c r="E28" s="410" t="s">
        <v>212</v>
      </c>
      <c r="F28" s="71">
        <f ca="1">VLOOKUP(D28,'S | 01 '!$C$6:$R$46,13,0)</f>
        <v>8.930178938683099</v>
      </c>
      <c r="G28" s="71">
        <v>275.8</v>
      </c>
      <c r="H28" s="507"/>
      <c r="J28" s="535"/>
      <c r="M28" s="175"/>
      <c r="N28" s="175"/>
      <c r="O28" s="175"/>
      <c r="P28" s="164"/>
    </row>
    <row r="29" spans="2:16" s="162" customFormat="1" x14ac:dyDescent="0.35">
      <c r="B29" s="80"/>
      <c r="C29" s="160"/>
      <c r="D29" s="58" t="s">
        <v>49</v>
      </c>
      <c r="E29" s="410" t="s">
        <v>212</v>
      </c>
      <c r="F29" s="71">
        <f ca="1">VLOOKUP(D29,'S | 01 '!$C$6:$R$46,13,0)</f>
        <v>2.5</v>
      </c>
      <c r="G29" s="71">
        <v>2.5</v>
      </c>
      <c r="H29" s="507"/>
      <c r="I29" s="81"/>
      <c r="J29" s="535"/>
      <c r="K29" s="338"/>
      <c r="L29" s="338"/>
      <c r="M29" s="338"/>
      <c r="N29" s="338"/>
      <c r="O29" s="338"/>
      <c r="P29" s="161"/>
    </row>
    <row r="30" spans="2:16" s="81" customFormat="1" x14ac:dyDescent="0.35">
      <c r="B30" s="80"/>
      <c r="C30" s="535"/>
      <c r="D30" s="58" t="s">
        <v>171</v>
      </c>
      <c r="E30" s="410" t="s">
        <v>63</v>
      </c>
      <c r="F30" s="71">
        <f>VLOOKUP(D30,'S | 01 '!$C$6:$R$46,13,0)</f>
        <v>5.288138807548199</v>
      </c>
      <c r="G30" s="71">
        <v>1</v>
      </c>
      <c r="H30" s="507"/>
      <c r="J30" s="535"/>
      <c r="K30" s="303"/>
      <c r="L30" s="303"/>
      <c r="M30" s="303"/>
      <c r="N30" s="303"/>
      <c r="O30" s="303"/>
      <c r="P30" s="507"/>
    </row>
    <row r="31" spans="2:16" s="81" customFormat="1" x14ac:dyDescent="0.35">
      <c r="B31" s="80"/>
      <c r="C31" s="535"/>
      <c r="D31" s="58" t="s">
        <v>44</v>
      </c>
      <c r="E31" s="410" t="s">
        <v>212</v>
      </c>
      <c r="F31" s="71">
        <f ca="1">VLOOKUP(D31,'S | 01 '!$C$6:$R$46,13,0)</f>
        <v>17.189050357878727</v>
      </c>
      <c r="G31" s="540">
        <v>0</v>
      </c>
      <c r="H31" s="507"/>
      <c r="J31" s="535"/>
      <c r="K31" s="542" t="s">
        <v>270</v>
      </c>
      <c r="L31" s="543">
        <f>SUM(L8:L25)</f>
        <v>296.5</v>
      </c>
      <c r="M31" s="303"/>
      <c r="N31" s="548" t="s">
        <v>76</v>
      </c>
      <c r="O31" s="549">
        <f>SUM(O8:O16)</f>
        <v>11.1</v>
      </c>
      <c r="P31" s="507"/>
    </row>
    <row r="32" spans="2:16" s="81" customFormat="1" x14ac:dyDescent="0.35">
      <c r="B32" s="80"/>
      <c r="C32" s="535"/>
      <c r="D32" s="58" t="s">
        <v>48</v>
      </c>
      <c r="E32" s="410" t="s">
        <v>212</v>
      </c>
      <c r="F32" s="71">
        <f ca="1">VLOOKUP(D32,'S | 01 '!$C$6:$R$46,13,0)</f>
        <v>68.082229999999996</v>
      </c>
      <c r="G32" s="71">
        <v>68.099999999999994</v>
      </c>
      <c r="H32" s="507"/>
      <c r="J32" s="535"/>
      <c r="K32" s="544" t="s">
        <v>475</v>
      </c>
      <c r="L32" s="545">
        <f ca="1">'S | 02'!O29</f>
        <v>23.219622634177654</v>
      </c>
      <c r="M32" s="303"/>
      <c r="N32" s="303"/>
      <c r="O32" s="303"/>
      <c r="P32" s="507"/>
    </row>
    <row r="33" spans="2:16" s="81" customFormat="1" x14ac:dyDescent="0.35">
      <c r="B33" s="80"/>
      <c r="C33" s="535"/>
      <c r="D33" s="58" t="s">
        <v>11</v>
      </c>
      <c r="E33" s="410" t="s">
        <v>212</v>
      </c>
      <c r="F33" s="71">
        <f ca="1">VLOOKUP(D33,'S | 01 '!$C$6:$R$46,13,0)</f>
        <v>91.069434466417107</v>
      </c>
      <c r="G33" s="71">
        <v>-39.700000000000003</v>
      </c>
      <c r="H33" s="507"/>
      <c r="J33" s="535"/>
      <c r="K33" s="546" t="s">
        <v>476</v>
      </c>
      <c r="L33" s="547">
        <f ca="1">L32-L31</f>
        <v>-273.28037736582235</v>
      </c>
      <c r="M33" s="303"/>
      <c r="N33" s="303"/>
      <c r="O33" s="303"/>
      <c r="P33" s="507"/>
    </row>
    <row r="34" spans="2:16" s="81" customFormat="1" ht="15" thickBot="1" x14ac:dyDescent="0.4">
      <c r="B34" s="80"/>
      <c r="C34" s="536"/>
      <c r="D34" s="169"/>
      <c r="E34" s="241"/>
      <c r="F34" s="241"/>
      <c r="G34" s="241"/>
      <c r="H34" s="537"/>
      <c r="J34" s="571"/>
      <c r="K34" s="241"/>
      <c r="L34" s="241"/>
      <c r="M34" s="241"/>
      <c r="N34" s="241"/>
      <c r="O34" s="241"/>
      <c r="P34" s="537"/>
    </row>
    <row r="35" spans="2:16" s="81" customFormat="1" x14ac:dyDescent="0.35">
      <c r="B35" s="80"/>
      <c r="C35" s="151"/>
    </row>
    <row r="36" spans="2:16" s="81" customFormat="1" x14ac:dyDescent="0.35">
      <c r="B36" s="80"/>
      <c r="C36" s="151"/>
    </row>
    <row r="37" spans="2:16" s="81" customFormat="1" x14ac:dyDescent="0.35">
      <c r="B37" s="80"/>
      <c r="C37" s="151"/>
    </row>
    <row r="38" spans="2:16" s="81" customFormat="1" x14ac:dyDescent="0.35">
      <c r="B38" s="80"/>
      <c r="C38" s="150"/>
    </row>
    <row r="42" spans="2:16" s="81" customFormat="1" x14ac:dyDescent="0.35">
      <c r="B42" s="80"/>
      <c r="C42" s="151"/>
    </row>
    <row r="43" spans="2:16" s="81" customFormat="1" x14ac:dyDescent="0.35">
      <c r="B43" s="80"/>
    </row>
    <row r="44" spans="2:16" s="81" customFormat="1" x14ac:dyDescent="0.35">
      <c r="B44" s="80"/>
    </row>
  </sheetData>
  <sortState ref="N8:O15">
    <sortCondition ref="O8:O15"/>
  </sortState>
  <mergeCells count="2">
    <mergeCell ref="K7:L7"/>
    <mergeCell ref="N7:O7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1D80-E061-495B-BDB0-2A0EF8BE4E5A}">
  <dimension ref="B1:W32"/>
  <sheetViews>
    <sheetView zoomScale="85" zoomScaleNormal="85" workbookViewId="0">
      <selection activeCell="O33" sqref="O33"/>
    </sheetView>
  </sheetViews>
  <sheetFormatPr defaultColWidth="9.1796875" defaultRowHeight="13" x14ac:dyDescent="0.3"/>
  <cols>
    <col min="1" max="1" width="9.1796875" style="3"/>
    <col min="2" max="2" width="3.26953125" style="3" customWidth="1"/>
    <col min="3" max="3" width="22.26953125" style="2" customWidth="1"/>
    <col min="4" max="4" width="13.26953125" style="2" customWidth="1"/>
    <col min="5" max="5" width="5" style="3" customWidth="1"/>
    <col min="6" max="6" width="3" style="3" customWidth="1"/>
    <col min="7" max="7" width="21.7265625" style="3" customWidth="1"/>
    <col min="8" max="8" width="14.1796875" style="2" customWidth="1"/>
    <col min="9" max="9" width="4.7265625" style="3" customWidth="1"/>
    <col min="10" max="10" width="6" style="3" customWidth="1"/>
    <col min="11" max="11" width="15.7265625" style="3" bestFit="1" customWidth="1"/>
    <col min="12" max="12" width="12.7265625" style="2" customWidth="1"/>
    <col min="13" max="13" width="5.81640625" style="3" customWidth="1"/>
    <col min="14" max="14" width="4.1796875" style="3" customWidth="1"/>
    <col min="15" max="15" width="21" style="3" bestFit="1" customWidth="1"/>
    <col min="16" max="16" width="12.453125" style="3" bestFit="1" customWidth="1"/>
    <col min="17" max="17" width="6" style="3" customWidth="1"/>
    <col min="18" max="18" width="3" style="3" customWidth="1"/>
    <col min="19" max="19" width="14.26953125" style="3" bestFit="1" customWidth="1"/>
    <col min="20" max="20" width="13.81640625" style="3" customWidth="1"/>
    <col min="21" max="21" width="3.81640625" style="3" customWidth="1"/>
    <col min="22" max="22" width="9.1796875" style="3"/>
    <col min="23" max="23" width="22.26953125" style="3" bestFit="1" customWidth="1"/>
    <col min="24" max="24" width="17.1796875" style="3" customWidth="1"/>
    <col min="25" max="16384" width="9.1796875" style="3"/>
  </cols>
  <sheetData>
    <row r="1" spans="2:23" ht="13.5" thickBot="1" x14ac:dyDescent="0.35"/>
    <row r="2" spans="2:23" x14ac:dyDescent="0.3">
      <c r="B2" s="9"/>
      <c r="C2" s="11"/>
      <c r="D2" s="11"/>
      <c r="E2" s="12"/>
      <c r="F2" s="10"/>
      <c r="G2" s="10"/>
      <c r="H2" s="11"/>
      <c r="I2" s="12"/>
      <c r="J2" s="10"/>
      <c r="K2" s="10"/>
      <c r="L2" s="11"/>
      <c r="M2" s="12"/>
      <c r="N2" s="10"/>
      <c r="O2" s="10"/>
      <c r="P2" s="10"/>
      <c r="Q2" s="12"/>
      <c r="R2" s="10"/>
      <c r="S2" s="10"/>
      <c r="T2" s="10"/>
      <c r="U2" s="12"/>
    </row>
    <row r="3" spans="2:23" x14ac:dyDescent="0.3">
      <c r="B3" s="13"/>
      <c r="C3" s="14" t="s">
        <v>14</v>
      </c>
      <c r="D3" s="15"/>
      <c r="E3" s="4"/>
      <c r="F3" s="6"/>
      <c r="G3" s="14" t="s">
        <v>11</v>
      </c>
      <c r="H3" s="15"/>
      <c r="I3" s="4"/>
      <c r="J3" s="6"/>
      <c r="K3" s="14" t="s">
        <v>67</v>
      </c>
      <c r="L3" s="15"/>
      <c r="M3" s="4"/>
      <c r="N3" s="6"/>
      <c r="O3" s="14" t="s">
        <v>30</v>
      </c>
      <c r="P3" s="6"/>
      <c r="Q3" s="4"/>
      <c r="R3" s="6"/>
      <c r="S3" s="14" t="s">
        <v>35</v>
      </c>
      <c r="T3" s="6"/>
      <c r="U3" s="4"/>
    </row>
    <row r="4" spans="2:23" x14ac:dyDescent="0.3">
      <c r="B4" s="13"/>
      <c r="C4" s="15"/>
      <c r="D4" s="15"/>
      <c r="E4" s="4"/>
      <c r="F4" s="6"/>
      <c r="G4" s="15"/>
      <c r="H4" s="15"/>
      <c r="I4" s="4"/>
      <c r="J4" s="6"/>
      <c r="K4" s="6"/>
      <c r="L4" s="15"/>
      <c r="M4" s="4"/>
      <c r="N4" s="6"/>
      <c r="O4" s="6"/>
      <c r="P4" s="16"/>
      <c r="Q4" s="4"/>
      <c r="R4" s="6"/>
      <c r="S4" s="6"/>
      <c r="T4" s="6"/>
      <c r="U4" s="4"/>
      <c r="W4" s="3" t="s">
        <v>319</v>
      </c>
    </row>
    <row r="5" spans="2:23" x14ac:dyDescent="0.3">
      <c r="B5" s="13"/>
      <c r="C5" s="15"/>
      <c r="D5" s="15"/>
      <c r="E5" s="4"/>
      <c r="F5" s="6"/>
      <c r="G5" s="15" t="s">
        <v>88</v>
      </c>
      <c r="H5" s="15"/>
      <c r="I5" s="4"/>
      <c r="J5" s="6"/>
      <c r="K5" s="6"/>
      <c r="L5" s="15"/>
      <c r="M5" s="4"/>
      <c r="N5" s="6"/>
      <c r="O5" s="6"/>
      <c r="P5" s="16"/>
      <c r="Q5" s="4"/>
      <c r="R5" s="6"/>
      <c r="S5" s="6"/>
      <c r="T5" s="6"/>
      <c r="U5" s="4"/>
    </row>
    <row r="6" spans="2:23" x14ac:dyDescent="0.3">
      <c r="B6" s="13"/>
      <c r="C6" s="28" t="s">
        <v>88</v>
      </c>
      <c r="D6" s="31">
        <v>44773</v>
      </c>
      <c r="E6" s="4"/>
      <c r="F6" s="6"/>
      <c r="G6" s="15"/>
      <c r="H6" s="15"/>
      <c r="I6" s="4"/>
      <c r="J6" s="6"/>
      <c r="K6" s="6"/>
      <c r="L6" s="15"/>
      <c r="M6" s="4"/>
      <c r="N6" s="6"/>
      <c r="O6" s="19" t="s">
        <v>77</v>
      </c>
      <c r="P6" s="16"/>
      <c r="Q6" s="4"/>
      <c r="R6" s="6"/>
      <c r="S6" s="6" t="s">
        <v>95</v>
      </c>
      <c r="T6" s="20">
        <v>10386274</v>
      </c>
      <c r="U6" s="4"/>
      <c r="W6" s="3" t="s">
        <v>56</v>
      </c>
    </row>
    <row r="7" spans="2:23" x14ac:dyDescent="0.3">
      <c r="B7" s="13"/>
      <c r="C7" s="28" t="s">
        <v>75</v>
      </c>
      <c r="D7" s="32">
        <v>3.18</v>
      </c>
      <c r="E7" s="4"/>
      <c r="F7" s="6"/>
      <c r="G7" s="18">
        <v>44166</v>
      </c>
      <c r="H7" s="46">
        <v>-60000000</v>
      </c>
      <c r="I7" s="4"/>
      <c r="J7" s="6"/>
      <c r="K7" s="6"/>
      <c r="L7" s="15"/>
      <c r="M7" s="4"/>
      <c r="N7" s="6"/>
      <c r="O7" s="21" t="s">
        <v>78</v>
      </c>
      <c r="P7" s="22">
        <v>599769</v>
      </c>
      <c r="Q7" s="4"/>
      <c r="R7" s="6"/>
      <c r="S7" s="6" t="s">
        <v>71</v>
      </c>
      <c r="T7" s="6">
        <v>1.18</v>
      </c>
      <c r="U7" s="4"/>
      <c r="W7" s="3" t="s">
        <v>320</v>
      </c>
    </row>
    <row r="8" spans="2:23" x14ac:dyDescent="0.3">
      <c r="B8" s="13"/>
      <c r="C8" s="28" t="s">
        <v>73</v>
      </c>
      <c r="D8" s="32">
        <v>1.22</v>
      </c>
      <c r="E8" s="4"/>
      <c r="F8" s="6"/>
      <c r="G8" s="18">
        <v>44773</v>
      </c>
      <c r="H8" s="48">
        <v>20000000</v>
      </c>
      <c r="I8" s="4"/>
      <c r="J8" s="6"/>
      <c r="K8" s="23" t="s">
        <v>65</v>
      </c>
      <c r="L8" s="24">
        <v>5205482</v>
      </c>
      <c r="M8" s="4"/>
      <c r="N8" s="6"/>
      <c r="O8" s="25" t="s">
        <v>79</v>
      </c>
      <c r="P8" s="22">
        <v>1493575</v>
      </c>
      <c r="Q8" s="4"/>
      <c r="R8" s="6"/>
      <c r="S8" s="6" t="s">
        <v>3</v>
      </c>
      <c r="T8" s="26">
        <f>T6*T7*10^-6</f>
        <v>12.255803319999998</v>
      </c>
      <c r="U8" s="4"/>
      <c r="W8" s="3" t="s">
        <v>321</v>
      </c>
    </row>
    <row r="9" spans="2:23" x14ac:dyDescent="0.3">
      <c r="B9" s="13"/>
      <c r="C9" s="28"/>
      <c r="D9" s="15"/>
      <c r="E9" s="4"/>
      <c r="F9" s="6"/>
      <c r="G9" s="15"/>
      <c r="H9" s="15"/>
      <c r="I9" s="4"/>
      <c r="J9" s="6"/>
      <c r="K9" s="23" t="s">
        <v>66</v>
      </c>
      <c r="L9" s="27">
        <v>61222609</v>
      </c>
      <c r="M9" s="4"/>
      <c r="N9" s="6"/>
      <c r="O9" s="25" t="s">
        <v>80</v>
      </c>
      <c r="P9" s="22">
        <v>83261</v>
      </c>
      <c r="Q9" s="4"/>
      <c r="R9" s="6"/>
      <c r="S9" s="6"/>
      <c r="T9" s="6"/>
      <c r="U9" s="4"/>
      <c r="W9" s="3" t="s">
        <v>322</v>
      </c>
    </row>
    <row r="10" spans="2:23" x14ac:dyDescent="0.3">
      <c r="B10" s="13"/>
      <c r="C10" s="23" t="s">
        <v>65</v>
      </c>
      <c r="D10" s="27">
        <v>44328120</v>
      </c>
      <c r="E10" s="4"/>
      <c r="F10" s="6"/>
      <c r="G10" s="15" t="s">
        <v>32</v>
      </c>
      <c r="H10" s="29">
        <f>XIRR(H7:H8,G7:G8)</f>
        <v>-0.48346658162772649</v>
      </c>
      <c r="I10" s="4"/>
      <c r="J10" s="6"/>
      <c r="K10" s="28" t="s">
        <v>68</v>
      </c>
      <c r="L10" s="5">
        <v>8.5500000000000007E-2</v>
      </c>
      <c r="M10" s="4"/>
      <c r="N10" s="6"/>
      <c r="O10" s="25" t="s">
        <v>81</v>
      </c>
      <c r="P10" s="22">
        <v>289048</v>
      </c>
      <c r="Q10" s="4"/>
      <c r="R10" s="6"/>
      <c r="S10" s="6"/>
      <c r="T10" s="6"/>
      <c r="U10" s="4"/>
    </row>
    <row r="11" spans="2:23" x14ac:dyDescent="0.3">
      <c r="B11" s="13"/>
      <c r="C11" s="23" t="s">
        <v>66</v>
      </c>
      <c r="D11" s="27">
        <v>823636945</v>
      </c>
      <c r="E11" s="4"/>
      <c r="F11" s="6"/>
      <c r="G11" s="15" t="s">
        <v>74</v>
      </c>
      <c r="H11" s="43">
        <f>-H8/SUM(H7)</f>
        <v>0.33333333333333331</v>
      </c>
      <c r="I11" s="4"/>
      <c r="J11" s="6"/>
      <c r="K11" s="6"/>
      <c r="L11" s="29">
        <f>L8/L9</f>
        <v>8.5025484621212399E-2</v>
      </c>
      <c r="M11" s="4"/>
      <c r="N11" s="6"/>
      <c r="O11" s="30" t="s">
        <v>82</v>
      </c>
      <c r="P11" s="22">
        <v>429797</v>
      </c>
      <c r="Q11" s="4"/>
      <c r="R11" s="6"/>
      <c r="S11" s="6"/>
      <c r="T11" s="6"/>
      <c r="U11" s="4"/>
    </row>
    <row r="12" spans="2:23" x14ac:dyDescent="0.3">
      <c r="B12" s="13"/>
      <c r="C12" s="28" t="s">
        <v>68</v>
      </c>
      <c r="D12" s="5">
        <v>5.3800000000000001E-2</v>
      </c>
      <c r="E12" s="4"/>
      <c r="F12" s="6"/>
      <c r="G12" s="6"/>
      <c r="H12" s="15"/>
      <c r="I12" s="4"/>
      <c r="J12" s="6"/>
      <c r="K12" s="6"/>
      <c r="L12" s="15"/>
      <c r="M12" s="4"/>
      <c r="N12" s="6"/>
      <c r="O12" s="7" t="s">
        <v>76</v>
      </c>
      <c r="P12" s="8">
        <f>SUM(P7:P11)</f>
        <v>2895450</v>
      </c>
      <c r="Q12" s="4"/>
      <c r="R12" s="6"/>
      <c r="S12" s="14" t="s">
        <v>97</v>
      </c>
      <c r="T12" s="6"/>
      <c r="U12" s="4"/>
    </row>
    <row r="13" spans="2:23" x14ac:dyDescent="0.3">
      <c r="B13" s="13"/>
      <c r="C13" s="28"/>
      <c r="D13" s="15"/>
      <c r="E13" s="4"/>
      <c r="F13" s="6"/>
      <c r="G13" s="14" t="s">
        <v>96</v>
      </c>
      <c r="H13" s="15"/>
      <c r="I13" s="4"/>
      <c r="J13" s="6"/>
      <c r="K13" s="6" t="s">
        <v>85</v>
      </c>
      <c r="L13" s="15">
        <v>18.75</v>
      </c>
      <c r="M13" s="4"/>
      <c r="N13" s="6"/>
      <c r="O13" s="6"/>
      <c r="P13" s="16"/>
      <c r="Q13" s="4"/>
      <c r="R13" s="6"/>
      <c r="S13" s="6"/>
      <c r="T13" s="6"/>
      <c r="U13" s="4"/>
    </row>
    <row r="14" spans="2:23" x14ac:dyDescent="0.3">
      <c r="B14" s="13"/>
      <c r="C14" s="15"/>
      <c r="D14" s="15"/>
      <c r="E14" s="4"/>
      <c r="F14" s="6"/>
      <c r="G14" s="6"/>
      <c r="H14" s="15"/>
      <c r="I14" s="4"/>
      <c r="J14" s="6"/>
      <c r="K14" s="6" t="s">
        <v>86</v>
      </c>
      <c r="L14" s="33">
        <v>0.2</v>
      </c>
      <c r="M14" s="4"/>
      <c r="N14" s="6"/>
      <c r="O14" s="6" t="s">
        <v>83</v>
      </c>
      <c r="P14" s="34">
        <v>33267</v>
      </c>
      <c r="Q14" s="4"/>
      <c r="R14" s="6"/>
      <c r="S14" s="6" t="s">
        <v>88</v>
      </c>
      <c r="T14" s="6"/>
      <c r="U14" s="4"/>
    </row>
    <row r="15" spans="2:23" x14ac:dyDescent="0.3">
      <c r="B15" s="13"/>
      <c r="C15" s="15" t="s">
        <v>72</v>
      </c>
      <c r="D15" s="15">
        <v>3.6749999999999998</v>
      </c>
      <c r="E15" s="4"/>
      <c r="F15" s="6"/>
      <c r="G15" s="6" t="s">
        <v>88</v>
      </c>
      <c r="H15" s="15"/>
      <c r="I15" s="4"/>
      <c r="J15" s="6"/>
      <c r="K15" s="6" t="s">
        <v>87</v>
      </c>
      <c r="L15" s="35">
        <f>L8*L13*(1-L14)*10^-6</f>
        <v>78.082229999999996</v>
      </c>
      <c r="M15" s="4"/>
      <c r="N15" s="6"/>
      <c r="O15" s="6" t="s">
        <v>68</v>
      </c>
      <c r="P15" s="36">
        <f>P14/P12</f>
        <v>1.1489405791845828E-2</v>
      </c>
      <c r="Q15" s="4"/>
      <c r="R15" s="6"/>
      <c r="S15" s="6"/>
      <c r="T15" s="6"/>
      <c r="U15" s="4"/>
    </row>
    <row r="16" spans="2:23" x14ac:dyDescent="0.3">
      <c r="B16" s="13"/>
      <c r="C16" s="17" t="s">
        <v>70</v>
      </c>
      <c r="D16" s="17"/>
      <c r="E16" s="4"/>
      <c r="F16" s="6"/>
      <c r="G16" s="6"/>
      <c r="H16" s="15"/>
      <c r="I16" s="4"/>
      <c r="J16" s="6"/>
      <c r="K16" s="6"/>
      <c r="L16" s="15"/>
      <c r="M16" s="4"/>
      <c r="N16" s="6"/>
      <c r="O16" s="6" t="s">
        <v>91</v>
      </c>
      <c r="P16" s="16">
        <v>110.63</v>
      </c>
      <c r="Q16" s="4"/>
      <c r="R16" s="6"/>
      <c r="S16" s="18">
        <v>44075</v>
      </c>
      <c r="T16" s="46">
        <v>-2500000</v>
      </c>
      <c r="U16" s="4"/>
    </row>
    <row r="17" spans="2:21" x14ac:dyDescent="0.3">
      <c r="B17" s="13"/>
      <c r="C17" s="18">
        <v>43968</v>
      </c>
      <c r="D17" s="179">
        <v>-50</v>
      </c>
      <c r="E17" s="4"/>
      <c r="F17" s="6"/>
      <c r="G17" s="18">
        <v>43563</v>
      </c>
      <c r="H17" s="40">
        <v>-8000000</v>
      </c>
      <c r="I17" s="4"/>
      <c r="J17" s="6"/>
      <c r="K17" s="37" t="s">
        <v>88</v>
      </c>
      <c r="L17" s="38">
        <v>44773</v>
      </c>
      <c r="M17" s="4"/>
      <c r="N17" s="6"/>
      <c r="O17" s="6" t="s">
        <v>88</v>
      </c>
      <c r="P17" s="39">
        <v>44773</v>
      </c>
      <c r="Q17" s="4"/>
      <c r="R17" s="6"/>
      <c r="S17" s="18">
        <v>44773</v>
      </c>
      <c r="T17" s="46">
        <v>5000000</v>
      </c>
      <c r="U17" s="4"/>
    </row>
    <row r="18" spans="2:21" x14ac:dyDescent="0.3">
      <c r="B18" s="13"/>
      <c r="C18" s="18">
        <v>44006</v>
      </c>
      <c r="D18" s="178">
        <v>-27.268350856443721</v>
      </c>
      <c r="E18" s="4"/>
      <c r="F18" s="6"/>
      <c r="G18" s="18">
        <v>44773</v>
      </c>
      <c r="H18" s="40">
        <v>1700000</v>
      </c>
      <c r="I18" s="4"/>
      <c r="J18" s="6"/>
      <c r="K18" s="18">
        <v>43570</v>
      </c>
      <c r="L18" s="40">
        <v>-4999998.09</v>
      </c>
      <c r="M18" s="4"/>
      <c r="N18" s="6"/>
      <c r="O18" s="6"/>
      <c r="P18" s="6"/>
      <c r="Q18" s="4"/>
      <c r="R18" s="6"/>
      <c r="S18" s="6"/>
      <c r="T18" s="6"/>
      <c r="U18" s="4"/>
    </row>
    <row r="19" spans="2:21" x14ac:dyDescent="0.3">
      <c r="B19" s="13"/>
      <c r="C19" s="18">
        <v>43837</v>
      </c>
      <c r="D19" s="178">
        <v>-18.109441299619355</v>
      </c>
      <c r="E19" s="4"/>
      <c r="F19" s="6"/>
      <c r="G19" s="6"/>
      <c r="H19" s="15"/>
      <c r="I19" s="4"/>
      <c r="J19" s="6"/>
      <c r="K19" s="18">
        <v>43915</v>
      </c>
      <c r="L19" s="41">
        <v>-5000001.91</v>
      </c>
      <c r="M19" s="4"/>
      <c r="N19" s="6"/>
      <c r="O19" s="42" t="s">
        <v>94</v>
      </c>
      <c r="P19" s="6"/>
      <c r="Q19" s="4"/>
      <c r="R19" s="6"/>
      <c r="S19" s="15" t="s">
        <v>32</v>
      </c>
      <c r="T19" s="29">
        <f>XIRR(T16:T17,S16:S17)</f>
        <v>0.43686311841011038</v>
      </c>
      <c r="U19" s="4"/>
    </row>
    <row r="20" spans="2:21" x14ac:dyDescent="0.3">
      <c r="B20" s="13"/>
      <c r="C20" s="18">
        <v>43990</v>
      </c>
      <c r="D20" s="178">
        <v>-34.851687094159864</v>
      </c>
      <c r="E20" s="4"/>
      <c r="F20" s="6"/>
      <c r="G20" s="15" t="s">
        <v>32</v>
      </c>
      <c r="H20" s="29">
        <f>XIRR(H17:H18,G17:G18)</f>
        <v>-0.3732477836310864</v>
      </c>
      <c r="I20" s="4"/>
      <c r="J20" s="6"/>
      <c r="K20" s="18">
        <f>L17</f>
        <v>44773</v>
      </c>
      <c r="L20" s="40">
        <f>+L15*10^6</f>
        <v>78082230</v>
      </c>
      <c r="M20" s="4"/>
      <c r="N20" s="6"/>
      <c r="O20" s="6" t="s">
        <v>89</v>
      </c>
      <c r="P20" s="44">
        <v>510</v>
      </c>
      <c r="Q20" s="4"/>
      <c r="R20" s="6"/>
      <c r="S20" s="15" t="s">
        <v>74</v>
      </c>
      <c r="T20" s="43">
        <f>-T17/SUM(T16)</f>
        <v>2</v>
      </c>
      <c r="U20" s="4"/>
    </row>
    <row r="21" spans="2:21" x14ac:dyDescent="0.3">
      <c r="B21" s="13"/>
      <c r="C21" s="18">
        <v>44315</v>
      </c>
      <c r="D21" s="178">
        <v>-11.240780424143557</v>
      </c>
      <c r="E21" s="4"/>
      <c r="F21" s="6"/>
      <c r="G21" s="15" t="s">
        <v>74</v>
      </c>
      <c r="H21" s="43">
        <f>-H18/SUM(H17)</f>
        <v>0.21249999999999999</v>
      </c>
      <c r="I21" s="4"/>
      <c r="J21" s="6"/>
      <c r="K21" s="6"/>
      <c r="L21" s="15"/>
      <c r="M21" s="4"/>
      <c r="N21" s="6"/>
      <c r="O21" s="6" t="s">
        <v>90</v>
      </c>
      <c r="P21" s="45">
        <f>P12</f>
        <v>2895450</v>
      </c>
      <c r="Q21" s="4"/>
      <c r="R21" s="6"/>
      <c r="S21" s="6"/>
      <c r="T21" s="6"/>
      <c r="U21" s="4"/>
    </row>
    <row r="22" spans="2:21" x14ac:dyDescent="0.3">
      <c r="B22" s="13"/>
      <c r="C22" s="18">
        <v>44742</v>
      </c>
      <c r="D22" s="178">
        <f>NAV!E14</f>
        <v>150.4004386130496</v>
      </c>
      <c r="E22" s="4"/>
      <c r="F22" s="6"/>
      <c r="G22" s="6"/>
      <c r="H22" s="15"/>
      <c r="I22" s="4"/>
      <c r="J22" s="6"/>
      <c r="K22" s="15" t="s">
        <v>32</v>
      </c>
      <c r="L22" s="29">
        <f>XIRR(L18:L20,K18:K20)</f>
        <v>1.030831229686737</v>
      </c>
      <c r="M22" s="4"/>
      <c r="N22" s="6"/>
      <c r="O22" s="6" t="s">
        <v>92</v>
      </c>
      <c r="P22" s="44">
        <f>P20*10^6/P21</f>
        <v>176.13842407915868</v>
      </c>
      <c r="Q22" s="4"/>
      <c r="R22" s="6"/>
      <c r="S22" s="14" t="s">
        <v>98</v>
      </c>
      <c r="T22" s="6"/>
      <c r="U22" s="4"/>
    </row>
    <row r="23" spans="2:21" x14ac:dyDescent="0.3">
      <c r="B23" s="13"/>
      <c r="C23" s="15"/>
      <c r="D23" s="15"/>
      <c r="E23" s="4"/>
      <c r="F23" s="6"/>
      <c r="G23" s="6"/>
      <c r="H23" s="15"/>
      <c r="I23" s="4"/>
      <c r="J23" s="6"/>
      <c r="K23" s="15" t="s">
        <v>74</v>
      </c>
      <c r="L23" s="43">
        <f>L20/-SUM(L18:L19)</f>
        <v>7.8082229999999999</v>
      </c>
      <c r="M23" s="4"/>
      <c r="N23" s="6"/>
      <c r="O23" s="6" t="s">
        <v>93</v>
      </c>
      <c r="P23" s="47">
        <f>P22/P16</f>
        <v>1.5921397819683512</v>
      </c>
      <c r="Q23" s="4"/>
      <c r="R23" s="6"/>
      <c r="S23" s="6"/>
      <c r="T23" s="6"/>
      <c r="U23" s="4"/>
    </row>
    <row r="24" spans="2:21" x14ac:dyDescent="0.3">
      <c r="B24" s="13"/>
      <c r="C24" s="15" t="s">
        <v>32</v>
      </c>
      <c r="D24" s="29">
        <f>XIRR(D17:D22,C17:C22)</f>
        <v>3.020013868808746E-2</v>
      </c>
      <c r="E24" s="4"/>
      <c r="F24" s="6"/>
      <c r="G24" s="6"/>
      <c r="H24" s="15"/>
      <c r="I24" s="4"/>
      <c r="J24" s="6"/>
      <c r="K24" s="6"/>
      <c r="L24" s="15"/>
      <c r="M24" s="4"/>
      <c r="N24" s="6"/>
      <c r="O24" s="6" t="s">
        <v>73</v>
      </c>
      <c r="P24" s="16">
        <v>1.22</v>
      </c>
      <c r="Q24" s="4"/>
      <c r="R24" s="6"/>
      <c r="S24" s="6" t="s">
        <v>88</v>
      </c>
      <c r="T24" s="6"/>
      <c r="U24" s="4"/>
    </row>
    <row r="25" spans="2:21" x14ac:dyDescent="0.3">
      <c r="B25" s="13"/>
      <c r="C25" s="15" t="s">
        <v>74</v>
      </c>
      <c r="D25" s="43">
        <f>-D22/SUM(D17:D21)</f>
        <v>1.063124072573546</v>
      </c>
      <c r="E25" s="4"/>
      <c r="F25" s="6"/>
      <c r="G25" s="6"/>
      <c r="H25" s="15"/>
      <c r="I25" s="4"/>
      <c r="J25" s="6"/>
      <c r="K25" s="6"/>
      <c r="L25" s="15"/>
      <c r="M25" s="4"/>
      <c r="N25" s="6"/>
      <c r="O25" s="6"/>
      <c r="P25" s="6"/>
      <c r="Q25" s="4"/>
      <c r="R25" s="6"/>
      <c r="S25" s="6"/>
      <c r="T25" s="6"/>
      <c r="U25" s="4"/>
    </row>
    <row r="26" spans="2:21" x14ac:dyDescent="0.3">
      <c r="B26" s="13"/>
      <c r="E26" s="4"/>
      <c r="F26" s="6"/>
      <c r="G26" s="6"/>
      <c r="H26" s="15"/>
      <c r="I26" s="4"/>
      <c r="J26" s="6"/>
      <c r="K26" s="6"/>
      <c r="L26" s="15"/>
      <c r="M26" s="4"/>
      <c r="N26" s="6"/>
      <c r="O26" s="6"/>
      <c r="P26" s="6"/>
      <c r="Q26" s="4"/>
      <c r="R26" s="6"/>
      <c r="S26" s="18">
        <v>44377</v>
      </c>
      <c r="T26" s="46">
        <v>-411765</v>
      </c>
      <c r="U26" s="4"/>
    </row>
    <row r="27" spans="2:21" x14ac:dyDescent="0.3">
      <c r="B27" s="13"/>
      <c r="E27" s="4"/>
      <c r="F27" s="6"/>
      <c r="G27" s="6"/>
      <c r="H27" s="15"/>
      <c r="I27" s="4"/>
      <c r="J27" s="6"/>
      <c r="K27" s="6"/>
      <c r="L27" s="15"/>
      <c r="M27" s="4"/>
      <c r="N27" s="6"/>
      <c r="O27" s="49">
        <v>44550</v>
      </c>
      <c r="P27" s="50">
        <f>-18477242.89/3.68</f>
        <v>-5020989.9157608692</v>
      </c>
      <c r="Q27" s="4"/>
      <c r="R27" s="6"/>
      <c r="S27" s="18">
        <v>44773</v>
      </c>
      <c r="T27" s="46">
        <f>(-((S27-S26)/365*T26*10%))-T26</f>
        <v>456438.68219178083</v>
      </c>
      <c r="U27" s="4"/>
    </row>
    <row r="28" spans="2:21" x14ac:dyDescent="0.3">
      <c r="B28" s="13"/>
      <c r="E28" s="4"/>
      <c r="F28" s="6"/>
      <c r="G28" s="6"/>
      <c r="H28" s="15"/>
      <c r="I28" s="4"/>
      <c r="J28" s="6"/>
      <c r="K28" s="6"/>
      <c r="L28" s="15"/>
      <c r="M28" s="4"/>
      <c r="N28" s="6"/>
      <c r="O28" s="49">
        <f>P17</f>
        <v>44773</v>
      </c>
      <c r="P28" s="50">
        <f>P14*P22*P24</f>
        <v>7148708.283686473</v>
      </c>
      <c r="Q28" s="4"/>
      <c r="R28" s="6"/>
      <c r="S28" s="6"/>
      <c r="T28" s="6"/>
      <c r="U28" s="4"/>
    </row>
    <row r="29" spans="2:21" x14ac:dyDescent="0.3">
      <c r="B29" s="13"/>
      <c r="E29" s="4"/>
      <c r="F29" s="6"/>
      <c r="G29" s="6"/>
      <c r="H29" s="15"/>
      <c r="I29" s="4"/>
      <c r="J29" s="6"/>
      <c r="K29" s="6"/>
      <c r="L29" s="15"/>
      <c r="M29" s="4"/>
      <c r="N29" s="6"/>
      <c r="O29" s="6"/>
      <c r="P29" s="16"/>
      <c r="Q29" s="4"/>
      <c r="R29" s="6"/>
      <c r="S29" s="15" t="s">
        <v>32</v>
      </c>
      <c r="T29" s="29">
        <f>XIRR(T26:T27,S26:S27)</f>
        <v>9.9591022729873635E-2</v>
      </c>
      <c r="U29" s="4"/>
    </row>
    <row r="30" spans="2:21" x14ac:dyDescent="0.3">
      <c r="B30" s="13"/>
      <c r="E30" s="4"/>
      <c r="F30" s="6"/>
      <c r="G30" s="6"/>
      <c r="H30" s="15"/>
      <c r="I30" s="4"/>
      <c r="J30" s="6"/>
      <c r="K30" s="6"/>
      <c r="L30" s="15"/>
      <c r="M30" s="4"/>
      <c r="N30" s="6"/>
      <c r="O30" s="15" t="s">
        <v>32</v>
      </c>
      <c r="P30" s="29">
        <f>XIRR(P27:P28,O27:O28)</f>
        <v>0.78296691179275513</v>
      </c>
      <c r="Q30" s="4"/>
      <c r="R30" s="6"/>
      <c r="S30" s="15" t="s">
        <v>74</v>
      </c>
      <c r="T30" s="43">
        <f>-T27/SUM(T26)</f>
        <v>1.1084931506849316</v>
      </c>
      <c r="U30" s="4"/>
    </row>
    <row r="31" spans="2:21" x14ac:dyDescent="0.3">
      <c r="B31" s="13"/>
      <c r="E31" s="4"/>
      <c r="F31" s="6"/>
      <c r="G31" s="6"/>
      <c r="H31" s="15"/>
      <c r="I31" s="4"/>
      <c r="J31" s="6"/>
      <c r="K31" s="6"/>
      <c r="L31" s="15"/>
      <c r="M31" s="4"/>
      <c r="N31" s="6"/>
      <c r="O31" s="15" t="s">
        <v>74</v>
      </c>
      <c r="P31" s="43">
        <f>P28/-SUM(P27)</f>
        <v>1.4237647164449989</v>
      </c>
      <c r="Q31" s="4"/>
      <c r="R31" s="6"/>
      <c r="S31" s="6"/>
      <c r="T31" s="6"/>
      <c r="U31" s="4"/>
    </row>
    <row r="32" spans="2:21" ht="13.5" thickBot="1" x14ac:dyDescent="0.35">
      <c r="B32" s="51"/>
      <c r="C32" s="53"/>
      <c r="D32" s="53"/>
      <c r="E32" s="54"/>
      <c r="F32" s="52"/>
      <c r="G32" s="52"/>
      <c r="H32" s="53"/>
      <c r="I32" s="54"/>
      <c r="J32" s="52"/>
      <c r="K32" s="52"/>
      <c r="L32" s="53"/>
      <c r="M32" s="54"/>
      <c r="N32" s="52"/>
      <c r="O32" s="52"/>
      <c r="P32" s="55"/>
      <c r="Q32" s="54"/>
      <c r="R32" s="52"/>
      <c r="S32" s="52"/>
      <c r="T32" s="52"/>
      <c r="U32" s="54"/>
    </row>
  </sheetData>
  <hyperlinks>
    <hyperlink ref="D12" r:id="rId1" display="https://www.londonstockexchange.com/news-article/ONT/issue-of-equity-and-total-voting-rights/15523151" xr:uid="{4F3E07BA-8946-4AFA-AA55-3AC64DC0EF55}"/>
  </hyperlinks>
  <pageMargins left="0.7" right="0.7" top="0.75" bottom="0.75" header="0.3" footer="0.3"/>
  <pageSetup paperSize="9" orientation="portrait" verticalDpi="0" r:id="rId2"/>
  <customProperties>
    <customPr name="Guid" r:id="rId3"/>
  </customProperties>
  <ignoredErrors>
    <ignoredError sqref="L2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4654-FD23-425F-9915-24A9F086B2D9}">
  <dimension ref="D3:H30"/>
  <sheetViews>
    <sheetView zoomScale="70" zoomScaleNormal="70" workbookViewId="0">
      <selection activeCell="O33" sqref="O33"/>
    </sheetView>
  </sheetViews>
  <sheetFormatPr defaultRowHeight="14.5" x14ac:dyDescent="0.35"/>
  <cols>
    <col min="4" max="4" width="32.81640625" customWidth="1"/>
    <col min="5" max="7" width="62.7265625" customWidth="1"/>
    <col min="8" max="8" width="29" customWidth="1"/>
  </cols>
  <sheetData>
    <row r="3" spans="4:8" ht="15" thickBot="1" x14ac:dyDescent="0.4"/>
    <row r="4" spans="4:8" ht="17" thickBot="1" x14ac:dyDescent="0.4">
      <c r="D4" s="411" t="s">
        <v>333</v>
      </c>
      <c r="E4" s="412" t="s">
        <v>357</v>
      </c>
      <c r="F4" s="412" t="s">
        <v>334</v>
      </c>
      <c r="G4" s="434" t="s">
        <v>358</v>
      </c>
      <c r="H4" s="435" t="s">
        <v>359</v>
      </c>
    </row>
    <row r="5" spans="4:8" x14ac:dyDescent="0.35">
      <c r="D5" s="728" t="s">
        <v>335</v>
      </c>
      <c r="E5" s="413" t="s">
        <v>336</v>
      </c>
      <c r="F5" s="413" t="s">
        <v>336</v>
      </c>
      <c r="G5" s="436" t="s">
        <v>336</v>
      </c>
      <c r="H5" s="437" t="s">
        <v>354</v>
      </c>
    </row>
    <row r="6" spans="4:8" x14ac:dyDescent="0.35">
      <c r="D6" s="729"/>
      <c r="E6" s="413" t="s">
        <v>337</v>
      </c>
      <c r="F6" s="413" t="s">
        <v>337</v>
      </c>
      <c r="G6" s="436" t="s">
        <v>337</v>
      </c>
      <c r="H6" s="437" t="s">
        <v>360</v>
      </c>
    </row>
    <row r="7" spans="4:8" x14ac:dyDescent="0.35">
      <c r="D7" s="729"/>
      <c r="E7" s="438" t="s">
        <v>338</v>
      </c>
      <c r="F7" s="413" t="s">
        <v>338</v>
      </c>
      <c r="G7" s="436" t="s">
        <v>338</v>
      </c>
      <c r="H7" s="437" t="s">
        <v>356</v>
      </c>
    </row>
    <row r="8" spans="4:8" x14ac:dyDescent="0.35">
      <c r="D8" s="729"/>
      <c r="E8" s="413" t="s">
        <v>339</v>
      </c>
      <c r="F8" s="413" t="s">
        <v>339</v>
      </c>
      <c r="G8" s="436" t="s">
        <v>339</v>
      </c>
      <c r="H8" s="437">
        <v>4</v>
      </c>
    </row>
    <row r="9" spans="4:8" x14ac:dyDescent="0.35">
      <c r="D9" s="729"/>
      <c r="E9" s="413" t="s">
        <v>340</v>
      </c>
      <c r="F9" s="413" t="s">
        <v>340</v>
      </c>
      <c r="G9" s="436" t="s">
        <v>340</v>
      </c>
      <c r="H9" s="437" t="s">
        <v>356</v>
      </c>
    </row>
    <row r="10" spans="4:8" x14ac:dyDescent="0.35">
      <c r="D10" s="729"/>
      <c r="E10" s="413" t="s">
        <v>341</v>
      </c>
      <c r="F10" s="413" t="s">
        <v>341</v>
      </c>
      <c r="G10" s="436" t="s">
        <v>341</v>
      </c>
      <c r="H10" s="437" t="s">
        <v>356</v>
      </c>
    </row>
    <row r="11" spans="4:8" x14ac:dyDescent="0.35">
      <c r="D11" s="729"/>
      <c r="E11" s="413" t="s">
        <v>342</v>
      </c>
      <c r="F11" s="413" t="s">
        <v>342</v>
      </c>
      <c r="G11" s="436" t="s">
        <v>342</v>
      </c>
      <c r="H11" s="437" t="s">
        <v>355</v>
      </c>
    </row>
    <row r="12" spans="4:8" x14ac:dyDescent="0.35">
      <c r="D12" s="729"/>
      <c r="E12" s="413" t="s">
        <v>343</v>
      </c>
      <c r="F12" s="413" t="s">
        <v>343</v>
      </c>
      <c r="G12" s="436" t="s">
        <v>343</v>
      </c>
      <c r="H12" s="437">
        <v>3</v>
      </c>
    </row>
    <row r="13" spans="4:8" ht="29" x14ac:dyDescent="0.35">
      <c r="D13" s="729"/>
      <c r="E13" s="413" t="s">
        <v>344</v>
      </c>
      <c r="F13" s="413" t="s">
        <v>344</v>
      </c>
      <c r="G13" s="436" t="s">
        <v>344</v>
      </c>
      <c r="H13" s="437">
        <v>2</v>
      </c>
    </row>
    <row r="14" spans="4:8" ht="15" thickBot="1" x14ac:dyDescent="0.4">
      <c r="D14" s="730"/>
      <c r="E14" s="439"/>
      <c r="F14" s="414"/>
      <c r="G14" s="440"/>
      <c r="H14" s="441"/>
    </row>
    <row r="15" spans="4:8" x14ac:dyDescent="0.35">
      <c r="D15" s="728" t="s">
        <v>345</v>
      </c>
      <c r="E15" s="413" t="s">
        <v>336</v>
      </c>
      <c r="F15" s="413" t="s">
        <v>336</v>
      </c>
      <c r="G15" s="436" t="s">
        <v>336</v>
      </c>
      <c r="H15" s="437" t="s">
        <v>354</v>
      </c>
    </row>
    <row r="16" spans="4:8" x14ac:dyDescent="0.35">
      <c r="D16" s="729"/>
      <c r="E16" s="413" t="s">
        <v>337</v>
      </c>
      <c r="F16" s="413" t="s">
        <v>337</v>
      </c>
      <c r="G16" s="436" t="s">
        <v>337</v>
      </c>
      <c r="H16" s="437" t="s">
        <v>360</v>
      </c>
    </row>
    <row r="17" spans="4:8" x14ac:dyDescent="0.35">
      <c r="D17" s="729"/>
      <c r="E17" s="413" t="s">
        <v>338</v>
      </c>
      <c r="F17" s="413" t="s">
        <v>338</v>
      </c>
      <c r="G17" s="436" t="s">
        <v>338</v>
      </c>
      <c r="H17" s="437" t="s">
        <v>356</v>
      </c>
    </row>
    <row r="18" spans="4:8" x14ac:dyDescent="0.35">
      <c r="D18" s="729"/>
      <c r="E18" s="413" t="s">
        <v>339</v>
      </c>
      <c r="F18" s="413" t="s">
        <v>339</v>
      </c>
      <c r="G18" s="436" t="s">
        <v>339</v>
      </c>
      <c r="H18" s="437">
        <v>4</v>
      </c>
    </row>
    <row r="19" spans="4:8" x14ac:dyDescent="0.35">
      <c r="D19" s="729"/>
      <c r="E19" s="413" t="s">
        <v>340</v>
      </c>
      <c r="F19" s="413" t="s">
        <v>340</v>
      </c>
      <c r="G19" s="436" t="s">
        <v>340</v>
      </c>
      <c r="H19" s="437" t="s">
        <v>356</v>
      </c>
    </row>
    <row r="20" spans="4:8" x14ac:dyDescent="0.35">
      <c r="D20" s="729"/>
      <c r="E20" s="413" t="s">
        <v>341</v>
      </c>
      <c r="F20" s="413" t="s">
        <v>341</v>
      </c>
      <c r="G20" s="436" t="s">
        <v>341</v>
      </c>
      <c r="H20" s="437" t="s">
        <v>356</v>
      </c>
    </row>
    <row r="21" spans="4:8" x14ac:dyDescent="0.35">
      <c r="D21" s="729"/>
      <c r="E21" s="413" t="s">
        <v>342</v>
      </c>
      <c r="F21" s="413" t="s">
        <v>342</v>
      </c>
      <c r="G21" s="436" t="s">
        <v>342</v>
      </c>
      <c r="H21" s="437" t="s">
        <v>355</v>
      </c>
    </row>
    <row r="22" spans="4:8" x14ac:dyDescent="0.35">
      <c r="D22" s="729"/>
      <c r="E22" s="413" t="s">
        <v>343</v>
      </c>
      <c r="F22" s="413" t="s">
        <v>343</v>
      </c>
      <c r="G22" s="436" t="s">
        <v>343</v>
      </c>
      <c r="H22" s="437">
        <v>3</v>
      </c>
    </row>
    <row r="23" spans="4:8" ht="29" x14ac:dyDescent="0.35">
      <c r="D23" s="729"/>
      <c r="E23" s="413" t="s">
        <v>361</v>
      </c>
      <c r="F23" s="413" t="s">
        <v>346</v>
      </c>
      <c r="G23" s="436" t="s">
        <v>346</v>
      </c>
      <c r="H23" s="437">
        <v>4</v>
      </c>
    </row>
    <row r="24" spans="4:8" ht="29" x14ac:dyDescent="0.35">
      <c r="D24" s="729"/>
      <c r="E24" s="442"/>
      <c r="F24" s="413" t="s">
        <v>347</v>
      </c>
      <c r="G24" s="436" t="s">
        <v>347</v>
      </c>
      <c r="H24" s="437">
        <v>3</v>
      </c>
    </row>
    <row r="25" spans="4:8" ht="31" x14ac:dyDescent="0.35">
      <c r="D25" s="729"/>
      <c r="E25" s="442"/>
      <c r="F25" s="443"/>
      <c r="G25" s="436" t="s">
        <v>362</v>
      </c>
      <c r="H25" s="441"/>
    </row>
    <row r="26" spans="4:8" ht="33" x14ac:dyDescent="0.35">
      <c r="D26" s="729"/>
      <c r="E26" s="442"/>
      <c r="F26" s="442"/>
      <c r="G26" s="436" t="s">
        <v>363</v>
      </c>
      <c r="H26" s="441"/>
    </row>
    <row r="27" spans="4:8" ht="15" thickBot="1" x14ac:dyDescent="0.4">
      <c r="D27" s="730"/>
      <c r="E27" s="414"/>
      <c r="F27" s="414"/>
      <c r="G27" s="444"/>
      <c r="H27" s="441"/>
    </row>
    <row r="28" spans="4:8" ht="29" x14ac:dyDescent="0.35">
      <c r="D28" s="728" t="s">
        <v>348</v>
      </c>
      <c r="E28" s="731" t="s">
        <v>349</v>
      </c>
      <c r="F28" s="413" t="s">
        <v>349</v>
      </c>
      <c r="G28" s="436" t="s">
        <v>349</v>
      </c>
      <c r="H28" s="445">
        <v>2</v>
      </c>
    </row>
    <row r="29" spans="4:8" ht="45.5" x14ac:dyDescent="0.35">
      <c r="D29" s="729"/>
      <c r="E29" s="732"/>
      <c r="F29" s="413" t="s">
        <v>350</v>
      </c>
      <c r="G29" s="436" t="s">
        <v>364</v>
      </c>
      <c r="H29" s="445">
        <v>1</v>
      </c>
    </row>
    <row r="30" spans="4:8" ht="15" thickBot="1" x14ac:dyDescent="0.4">
      <c r="D30" s="730"/>
      <c r="E30" s="733"/>
      <c r="F30" s="414"/>
      <c r="G30" s="444"/>
      <c r="H30" s="441"/>
    </row>
  </sheetData>
  <mergeCells count="4">
    <mergeCell ref="D5:D14"/>
    <mergeCell ref="D15:D27"/>
    <mergeCell ref="D28:D30"/>
    <mergeCell ref="E28:E3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7D3B-9EC2-4B5F-9BDC-B1CEA67C5956}">
  <sheetPr>
    <tabColor theme="7" tint="0.39997558519241921"/>
  </sheetPr>
  <dimension ref="B1:T52"/>
  <sheetViews>
    <sheetView showGridLines="0" topLeftCell="A4" zoomScaleNormal="100" workbookViewId="0">
      <selection activeCell="O33" sqref="O33"/>
    </sheetView>
  </sheetViews>
  <sheetFormatPr defaultColWidth="9.1796875" defaultRowHeight="14.5" x14ac:dyDescent="0.35"/>
  <cols>
    <col min="1" max="1" width="9.1796875" style="80"/>
    <col min="2" max="2" width="5.26953125" style="80" customWidth="1"/>
    <col min="3" max="3" width="21.54296875" style="81" customWidth="1"/>
    <col min="4" max="4" width="15.81640625" style="80" bestFit="1" customWidth="1"/>
    <col min="5" max="8" width="14.54296875" style="80" customWidth="1"/>
    <col min="9" max="9" width="17.26953125" style="80" customWidth="1"/>
    <col min="10" max="13" width="13.7265625" style="80" customWidth="1"/>
    <col min="14" max="16" width="9.1796875" style="80"/>
    <col min="17" max="18" width="29.81640625" style="80" bestFit="1" customWidth="1"/>
    <col min="19" max="19" width="11.81640625" style="80" customWidth="1"/>
    <col min="20" max="16384" width="9.1796875" style="80"/>
  </cols>
  <sheetData>
    <row r="1" spans="2:20" ht="15" thickBot="1" x14ac:dyDescent="0.4"/>
    <row r="2" spans="2:20" s="136" customFormat="1" ht="15" thickBot="1" x14ac:dyDescent="0.4">
      <c r="C2" s="258" t="s">
        <v>227</v>
      </c>
      <c r="D2" s="272">
        <v>44865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2:20" x14ac:dyDescent="0.35">
      <c r="F3" s="376"/>
      <c r="G3" s="376"/>
      <c r="H3" s="377" t="s">
        <v>240</v>
      </c>
      <c r="I3" s="376"/>
      <c r="J3" s="376"/>
      <c r="L3" s="313" t="s">
        <v>266</v>
      </c>
    </row>
    <row r="4" spans="2:20" ht="15" thickBot="1" x14ac:dyDescent="0.4">
      <c r="D4" s="285"/>
    </row>
    <row r="5" spans="2:20" x14ac:dyDescent="0.35">
      <c r="B5" s="301"/>
      <c r="C5" s="154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156"/>
      <c r="P5" s="152"/>
      <c r="Q5" s="302"/>
      <c r="R5" s="302"/>
      <c r="S5" s="302"/>
      <c r="T5" s="156"/>
    </row>
    <row r="6" spans="2:20" x14ac:dyDescent="0.35">
      <c r="B6" s="163"/>
      <c r="C6" s="303"/>
      <c r="D6" s="304" t="s">
        <v>239</v>
      </c>
      <c r="E6" s="304" t="s">
        <v>41</v>
      </c>
      <c r="F6" s="305" t="s">
        <v>2</v>
      </c>
      <c r="G6" s="305" t="s">
        <v>291</v>
      </c>
      <c r="H6" s="305" t="s">
        <v>42</v>
      </c>
      <c r="I6" s="305" t="s">
        <v>215</v>
      </c>
      <c r="J6" s="305" t="s">
        <v>32</v>
      </c>
      <c r="K6" s="305" t="s">
        <v>43</v>
      </c>
      <c r="L6" s="305" t="s">
        <v>228</v>
      </c>
      <c r="M6" s="305" t="s">
        <v>140</v>
      </c>
      <c r="N6" s="164"/>
      <c r="P6" s="163"/>
      <c r="Q6" s="325" t="s">
        <v>275</v>
      </c>
      <c r="R6" s="326"/>
      <c r="S6" s="326"/>
      <c r="T6" s="164"/>
    </row>
    <row r="7" spans="2:20" x14ac:dyDescent="0.35">
      <c r="B7" s="163"/>
      <c r="C7" s="303"/>
      <c r="D7" s="303"/>
      <c r="E7" s="175"/>
      <c r="F7" s="175"/>
      <c r="G7" s="175"/>
      <c r="H7" s="175"/>
      <c r="I7" s="175"/>
      <c r="J7" s="175"/>
      <c r="K7" s="175"/>
      <c r="L7" s="175"/>
      <c r="M7" s="175"/>
      <c r="N7" s="164"/>
      <c r="P7" s="163"/>
      <c r="Q7" s="175"/>
      <c r="R7" s="175"/>
      <c r="S7" s="175"/>
      <c r="T7" s="164"/>
    </row>
    <row r="8" spans="2:20" x14ac:dyDescent="0.35">
      <c r="B8" s="163"/>
      <c r="C8" s="175" t="s">
        <v>232</v>
      </c>
      <c r="D8" s="311">
        <f>COUNTIF('S | 01 '!C10:C24,"*")</f>
        <v>15</v>
      </c>
      <c r="E8" s="263">
        <f ca="1">'1. IRR Equity'!AE33</f>
        <v>2108.0362048089241</v>
      </c>
      <c r="F8" s="263">
        <f ca="1">'1. IRR Equity'!AF33</f>
        <v>2100.5330433728436</v>
      </c>
      <c r="G8" s="263">
        <f ca="1">'1. IRR Equity'!AG33</f>
        <v>7.5031614360804335</v>
      </c>
      <c r="H8" s="263">
        <f ca="1">'1. IRR Equity'!AH33</f>
        <v>12.8207761</v>
      </c>
      <c r="I8" s="263">
        <f ca="1">'1. IRR Equity'!AI33</f>
        <v>2118.5933369349004</v>
      </c>
      <c r="J8" s="397">
        <f ca="1">'1. IRR Equity'!AJ33</f>
        <v>9.2234104871749927E-3</v>
      </c>
      <c r="K8" s="320">
        <f ca="1">'1. IRR Equity'!AK33</f>
        <v>1.0147015395732459</v>
      </c>
      <c r="L8" s="265">
        <f ca="1">'1. IRR Equity'!AL33</f>
        <v>1.0085979573704098</v>
      </c>
      <c r="M8" s="265">
        <f ca="1">'1. IRR Equity'!AM33</f>
        <v>6.1035822028362718E-3</v>
      </c>
      <c r="N8" s="164"/>
      <c r="P8" s="163"/>
      <c r="Q8" s="327" t="s">
        <v>272</v>
      </c>
      <c r="R8" s="328"/>
      <c r="S8" s="328"/>
      <c r="T8" s="164"/>
    </row>
    <row r="9" spans="2:20" x14ac:dyDescent="0.35">
      <c r="B9" s="163"/>
      <c r="C9" s="303"/>
      <c r="D9" s="303"/>
      <c r="E9" s="175"/>
      <c r="F9" s="175"/>
      <c r="G9" s="175"/>
      <c r="H9" s="175"/>
      <c r="I9" s="175"/>
      <c r="J9" s="398"/>
      <c r="K9" s="175"/>
      <c r="L9" s="175"/>
      <c r="M9" s="175"/>
      <c r="N9" s="164"/>
      <c r="P9" s="163"/>
      <c r="Q9" s="58" t="s">
        <v>11</v>
      </c>
      <c r="R9" s="56" t="s">
        <v>212</v>
      </c>
      <c r="S9" s="71">
        <v>76.639999999999986</v>
      </c>
      <c r="T9" s="164"/>
    </row>
    <row r="10" spans="2:20" x14ac:dyDescent="0.35">
      <c r="B10" s="163"/>
      <c r="C10" s="303"/>
      <c r="D10" s="303"/>
      <c r="E10" s="175"/>
      <c r="F10" s="175"/>
      <c r="G10" s="175"/>
      <c r="H10" s="175"/>
      <c r="I10" s="175"/>
      <c r="J10" s="398"/>
      <c r="K10" s="175"/>
      <c r="L10" s="175"/>
      <c r="M10" s="175"/>
      <c r="N10" s="164"/>
      <c r="P10" s="163"/>
      <c r="Q10" s="58" t="s">
        <v>48</v>
      </c>
      <c r="R10" s="56" t="s">
        <v>212</v>
      </c>
      <c r="S10" s="71">
        <v>68.082229999999996</v>
      </c>
      <c r="T10" s="164"/>
    </row>
    <row r="11" spans="2:20" x14ac:dyDescent="0.35">
      <c r="B11" s="163"/>
      <c r="C11" s="175" t="s">
        <v>233</v>
      </c>
      <c r="D11" s="311">
        <f>COUNTIF('S | 01 '!C33:C35,"*")</f>
        <v>3</v>
      </c>
      <c r="E11" s="263">
        <f>'2. IRR Debt'!Q12</f>
        <v>10.765747000000001</v>
      </c>
      <c r="F11" s="263">
        <f>'2. IRR Debt'!R12</f>
        <v>10.765747000000001</v>
      </c>
      <c r="G11" s="263">
        <f>'2. IRR Debt'!S12</f>
        <v>0</v>
      </c>
      <c r="H11" s="263">
        <f>'2. IRR Debt'!T12</f>
        <v>0.47078465000000003</v>
      </c>
      <c r="I11" s="263">
        <f>'2. IRR Debt'!U12</f>
        <v>2.3539819999999998</v>
      </c>
      <c r="J11" s="397">
        <f>'2. IRR Debt'!V12</f>
        <v>-0.32476586326956747</v>
      </c>
      <c r="K11" s="320">
        <f>'2. IRR Debt'!W12</f>
        <v>0.26238463991397898</v>
      </c>
      <c r="L11" s="265">
        <f>'2. IRR Debt'!X12</f>
        <v>0.21865477611539633</v>
      </c>
      <c r="M11" s="265">
        <f>'2. IRR Debt'!Y12</f>
        <v>4.3729863798582673E-2</v>
      </c>
      <c r="N11" s="164"/>
      <c r="P11" s="163"/>
      <c r="Q11" s="58" t="s">
        <v>44</v>
      </c>
      <c r="R11" s="56" t="s">
        <v>212</v>
      </c>
      <c r="S11" s="71">
        <v>60.462712790302817</v>
      </c>
      <c r="T11" s="164"/>
    </row>
    <row r="12" spans="2:20" x14ac:dyDescent="0.35">
      <c r="B12" s="163"/>
      <c r="C12" s="303"/>
      <c r="D12" s="312"/>
      <c r="E12" s="175"/>
      <c r="F12" s="175"/>
      <c r="G12" s="175"/>
      <c r="H12" s="175"/>
      <c r="I12" s="175"/>
      <c r="J12" s="398"/>
      <c r="K12" s="175"/>
      <c r="L12" s="175"/>
      <c r="M12" s="175"/>
      <c r="N12" s="164"/>
      <c r="P12" s="163"/>
      <c r="Q12" s="58" t="s">
        <v>171</v>
      </c>
      <c r="R12" s="56" t="s">
        <v>63</v>
      </c>
      <c r="S12" s="71">
        <v>10.3408485438</v>
      </c>
      <c r="T12" s="164"/>
    </row>
    <row r="13" spans="2:20" x14ac:dyDescent="0.35">
      <c r="B13" s="163"/>
      <c r="C13" s="303"/>
      <c r="D13" s="312"/>
      <c r="E13" s="175"/>
      <c r="F13" s="175"/>
      <c r="G13" s="175"/>
      <c r="H13" s="175"/>
      <c r="I13" s="175"/>
      <c r="J13" s="398"/>
      <c r="K13" s="175"/>
      <c r="L13" s="175"/>
      <c r="M13" s="175"/>
      <c r="N13" s="164"/>
      <c r="P13" s="163"/>
      <c r="Q13" s="58" t="s">
        <v>131</v>
      </c>
      <c r="R13" s="56" t="s">
        <v>212</v>
      </c>
      <c r="S13" s="71">
        <v>8.11054845363347</v>
      </c>
      <c r="T13" s="164"/>
    </row>
    <row r="14" spans="2:20" x14ac:dyDescent="0.35">
      <c r="B14" s="163"/>
      <c r="C14" s="175" t="s">
        <v>234</v>
      </c>
      <c r="D14" s="311">
        <f>COUNTIF('S | 01 '!C39:C43,"*")</f>
        <v>5</v>
      </c>
      <c r="E14" s="263">
        <f>'3. IRR Funds'!Q15</f>
        <v>398.15519060923788</v>
      </c>
      <c r="F14" s="263">
        <f ca="1">'3. IRR Funds'!R15</f>
        <v>131.73841750447116</v>
      </c>
      <c r="G14" s="263">
        <f ca="1">'3. IRR Funds'!S15</f>
        <v>267.44473410476667</v>
      </c>
      <c r="H14" s="263">
        <f ca="1">'3. IRR Funds'!T15</f>
        <v>4.4275637014082001</v>
      </c>
      <c r="I14" s="263">
        <f ca="1">'3. IRR Funds'!U15</f>
        <v>130.9149330932735</v>
      </c>
      <c r="J14" s="397">
        <f>'3. IRR Funds'!V15</f>
        <v>1.008366644382477E-2</v>
      </c>
      <c r="K14" s="320">
        <f ca="1">'3. IRR Funds'!W15</f>
        <v>1.0273578456344232</v>
      </c>
      <c r="L14" s="265">
        <f ca="1">'3. IRR Funds'!X15</f>
        <v>0.99374909440391823</v>
      </c>
      <c r="M14" s="265">
        <f ca="1">'3. IRR Funds'!Y15</f>
        <v>3.3608751230505177E-2</v>
      </c>
      <c r="N14" s="164"/>
      <c r="P14" s="163"/>
      <c r="Q14" s="58" t="s">
        <v>49</v>
      </c>
      <c r="R14" s="56" t="s">
        <v>212</v>
      </c>
      <c r="S14" s="71">
        <v>2.5</v>
      </c>
      <c r="T14" s="164"/>
    </row>
    <row r="15" spans="2:20" x14ac:dyDescent="0.35">
      <c r="B15" s="163"/>
      <c r="C15" s="303"/>
      <c r="D15" s="312"/>
      <c r="E15" s="175"/>
      <c r="F15" s="175"/>
      <c r="G15" s="175"/>
      <c r="H15" s="175"/>
      <c r="I15" s="175"/>
      <c r="J15" s="398"/>
      <c r="K15" s="175"/>
      <c r="L15" s="175"/>
      <c r="M15" s="175"/>
      <c r="N15" s="164"/>
      <c r="P15" s="163"/>
      <c r="Q15" s="58" t="s">
        <v>47</v>
      </c>
      <c r="R15" s="56" t="s">
        <v>212</v>
      </c>
      <c r="S15" s="71">
        <v>1.001540300000002</v>
      </c>
      <c r="T15" s="164"/>
    </row>
    <row r="16" spans="2:20" x14ac:dyDescent="0.35">
      <c r="B16" s="163"/>
      <c r="C16" s="303"/>
      <c r="D16" s="303"/>
      <c r="E16" s="175"/>
      <c r="F16" s="175"/>
      <c r="G16" s="175"/>
      <c r="H16" s="175"/>
      <c r="I16" s="175"/>
      <c r="J16" s="398"/>
      <c r="K16" s="175"/>
      <c r="L16" s="175"/>
      <c r="M16" s="175"/>
      <c r="N16" s="164"/>
      <c r="P16" s="163"/>
      <c r="Q16" s="175"/>
      <c r="R16" s="175"/>
      <c r="S16" s="175"/>
      <c r="T16" s="164"/>
    </row>
    <row r="17" spans="2:20" x14ac:dyDescent="0.35">
      <c r="B17" s="163"/>
      <c r="C17" s="175" t="s">
        <v>235</v>
      </c>
      <c r="D17" s="311">
        <f t="shared" ref="D17:I17" si="0">D8+D11+D14</f>
        <v>23</v>
      </c>
      <c r="E17" s="263">
        <f t="shared" ca="1" si="0"/>
        <v>2516.9571424181618</v>
      </c>
      <c r="F17" s="263">
        <f t="shared" ca="1" si="0"/>
        <v>2243.0372078773148</v>
      </c>
      <c r="G17" s="263">
        <f t="shared" ca="1" si="0"/>
        <v>274.94789554084713</v>
      </c>
      <c r="H17" s="263">
        <f t="shared" ca="1" si="0"/>
        <v>17.719124451408199</v>
      </c>
      <c r="I17" s="263">
        <f t="shared" ca="1" si="0"/>
        <v>2251.8622520281742</v>
      </c>
      <c r="J17" s="397">
        <f ca="1">'4.All'!N9</f>
        <v>7.0974320173263555E-3</v>
      </c>
      <c r="K17" s="320">
        <f ca="1">(H17+I17)/F17</f>
        <v>1.0118340295511137</v>
      </c>
      <c r="L17" s="265">
        <f ca="1">I17/F17</f>
        <v>1.0039344171910598</v>
      </c>
      <c r="M17" s="265">
        <f ca="1">H17/F17</f>
        <v>7.8996123600537996E-3</v>
      </c>
      <c r="N17" s="164"/>
      <c r="P17" s="163"/>
      <c r="Q17" s="327" t="s">
        <v>271</v>
      </c>
      <c r="R17" s="328"/>
      <c r="S17" s="328"/>
      <c r="T17" s="164"/>
    </row>
    <row r="18" spans="2:20" s="92" customFormat="1" ht="15" thickBot="1" x14ac:dyDescent="0.4">
      <c r="B18" s="306"/>
      <c r="C18" s="307"/>
      <c r="D18" s="307"/>
      <c r="E18" s="407"/>
      <c r="F18" s="307"/>
      <c r="G18" s="307"/>
      <c r="H18" s="307"/>
      <c r="I18" s="307"/>
      <c r="J18" s="399"/>
      <c r="K18" s="307"/>
      <c r="L18" s="307"/>
      <c r="M18" s="307"/>
      <c r="N18" s="308"/>
      <c r="P18" s="329"/>
      <c r="Q18" s="58" t="s">
        <v>57</v>
      </c>
      <c r="R18" s="56" t="s">
        <v>212</v>
      </c>
      <c r="S18" s="71">
        <v>-65</v>
      </c>
      <c r="T18" s="330"/>
    </row>
    <row r="19" spans="2:20" x14ac:dyDescent="0.35">
      <c r="E19" s="408" t="b">
        <f ca="1">E17='S | 01 '!J46</f>
        <v>1</v>
      </c>
      <c r="F19" s="408" t="b">
        <f ca="1">F17='S | 01 '!K46</f>
        <v>1</v>
      </c>
      <c r="G19" s="409" t="b">
        <f ca="1">ROUND(G17,1)=ROUND('S | 01 '!L46,1)</f>
        <v>1</v>
      </c>
      <c r="H19" s="409" t="b">
        <f ca="1">ROUND(H17,1)=ROUND('S | 01 '!M46,1)</f>
        <v>1</v>
      </c>
      <c r="I19" s="409" t="b">
        <f ca="1">ROUND(I17,1)=ROUND('S | 01 '!N46,1)</f>
        <v>1</v>
      </c>
      <c r="J19" s="400"/>
      <c r="P19" s="163"/>
      <c r="Q19" s="58" t="s">
        <v>132</v>
      </c>
      <c r="R19" s="56" t="s">
        <v>212</v>
      </c>
      <c r="S19" s="71">
        <v>-13.055784900000001</v>
      </c>
      <c r="T19" s="164"/>
    </row>
    <row r="20" spans="2:20" ht="15" thickBot="1" x14ac:dyDescent="0.4">
      <c r="J20" s="400"/>
      <c r="P20" s="163"/>
      <c r="Q20" s="58" t="s">
        <v>58</v>
      </c>
      <c r="R20" s="56" t="s">
        <v>53</v>
      </c>
      <c r="S20" s="71">
        <v>-8</v>
      </c>
      <c r="T20" s="164"/>
    </row>
    <row r="21" spans="2:20" x14ac:dyDescent="0.35">
      <c r="B21" s="152"/>
      <c r="C21" s="243"/>
      <c r="D21" s="302"/>
      <c r="E21" s="302"/>
      <c r="F21" s="302"/>
      <c r="G21" s="302"/>
      <c r="H21" s="302"/>
      <c r="I21" s="302"/>
      <c r="J21" s="401"/>
      <c r="K21" s="302"/>
      <c r="L21" s="302"/>
      <c r="M21" s="302"/>
      <c r="N21" s="156"/>
      <c r="P21" s="163"/>
      <c r="Q21" s="58" t="s">
        <v>0</v>
      </c>
      <c r="R21" s="56" t="s">
        <v>212</v>
      </c>
      <c r="S21" s="71">
        <v>-4.9000000000000004</v>
      </c>
      <c r="T21" s="164"/>
    </row>
    <row r="22" spans="2:20" x14ac:dyDescent="0.35">
      <c r="B22" s="163"/>
      <c r="C22" s="405" t="s">
        <v>325</v>
      </c>
      <c r="D22" s="304" t="s">
        <v>239</v>
      </c>
      <c r="E22" s="304" t="s">
        <v>41</v>
      </c>
      <c r="F22" s="305" t="s">
        <v>2</v>
      </c>
      <c r="G22" s="305" t="s">
        <v>291</v>
      </c>
      <c r="H22" s="305" t="s">
        <v>42</v>
      </c>
      <c r="I22" s="305" t="s">
        <v>215</v>
      </c>
      <c r="J22" s="402" t="s">
        <v>32</v>
      </c>
      <c r="K22" s="305" t="s">
        <v>43</v>
      </c>
      <c r="L22" s="305" t="s">
        <v>228</v>
      </c>
      <c r="M22" s="305" t="s">
        <v>140</v>
      </c>
      <c r="N22" s="164"/>
      <c r="P22" s="163"/>
      <c r="Q22" s="58" t="s">
        <v>1</v>
      </c>
      <c r="R22" s="56" t="s">
        <v>63</v>
      </c>
      <c r="S22" s="71">
        <v>-2.8666919999999863</v>
      </c>
      <c r="T22" s="164"/>
    </row>
    <row r="23" spans="2:20" x14ac:dyDescent="0.35">
      <c r="B23" s="163"/>
      <c r="C23" s="303"/>
      <c r="D23" s="175"/>
      <c r="E23" s="175"/>
      <c r="F23" s="175"/>
      <c r="G23" s="175"/>
      <c r="H23" s="175"/>
      <c r="I23" s="175"/>
      <c r="J23" s="398"/>
      <c r="K23" s="175"/>
      <c r="L23" s="175"/>
      <c r="M23" s="175"/>
      <c r="N23" s="164"/>
      <c r="P23" s="163"/>
      <c r="Q23" s="58" t="s">
        <v>15</v>
      </c>
      <c r="R23" s="56" t="s">
        <v>63</v>
      </c>
      <c r="S23" s="71">
        <v>-0.47118065000000087</v>
      </c>
      <c r="T23" s="164"/>
    </row>
    <row r="24" spans="2:20" x14ac:dyDescent="0.35">
      <c r="B24" s="163"/>
      <c r="C24" s="310" t="s">
        <v>282</v>
      </c>
      <c r="D24" s="311">
        <f>'1.1(P1)'!O23</f>
        <v>9</v>
      </c>
      <c r="E24" s="263">
        <f>'1.1(P1)'!P23</f>
        <v>379.99397987284391</v>
      </c>
      <c r="F24" s="263">
        <f>'1.1(P1)'!Q23</f>
        <v>379.99397987284391</v>
      </c>
      <c r="G24" s="263">
        <f>'1.1(P1)'!R23</f>
        <v>0</v>
      </c>
      <c r="H24" s="263">
        <f>'1.1(P1)'!S23</f>
        <v>5</v>
      </c>
      <c r="I24" s="263" t="e">
        <f>'1.1(P1)'!T23</f>
        <v>#VALUE!</v>
      </c>
      <c r="J24" s="397" t="e">
        <f>'1.1(P1)'!U23</f>
        <v>#VALUE!</v>
      </c>
      <c r="K24" s="320" t="e">
        <f>'1.1(P1)'!V23</f>
        <v>#VALUE!</v>
      </c>
      <c r="L24" s="265" t="e">
        <f>'1.1(P1)'!W23</f>
        <v>#VALUE!</v>
      </c>
      <c r="M24" s="265">
        <f>'1.1(P1)'!X23</f>
        <v>1.3158103193300939E-2</v>
      </c>
      <c r="N24" s="164"/>
      <c r="P24" s="163"/>
      <c r="Q24" s="58" t="s">
        <v>229</v>
      </c>
      <c r="R24" s="56" t="s">
        <v>63</v>
      </c>
      <c r="S24" s="71">
        <v>-0.28341550000000026</v>
      </c>
      <c r="T24" s="164"/>
    </row>
    <row r="25" spans="2:20" x14ac:dyDescent="0.35">
      <c r="B25" s="163"/>
      <c r="C25" s="310"/>
      <c r="D25" s="175"/>
      <c r="E25" s="175"/>
      <c r="F25" s="175"/>
      <c r="G25" s="175"/>
      <c r="H25" s="175"/>
      <c r="I25" s="175"/>
      <c r="J25" s="398"/>
      <c r="K25" s="175"/>
      <c r="L25" s="175"/>
      <c r="M25" s="175"/>
      <c r="N25" s="164"/>
      <c r="P25" s="163"/>
      <c r="Q25" s="175"/>
      <c r="R25" s="175"/>
      <c r="S25" s="175"/>
      <c r="T25" s="164"/>
    </row>
    <row r="26" spans="2:20" x14ac:dyDescent="0.35">
      <c r="B26" s="163"/>
      <c r="C26" s="310" t="s">
        <v>284</v>
      </c>
      <c r="D26" s="311">
        <v>3</v>
      </c>
      <c r="E26" s="263">
        <f>F26</f>
        <v>83</v>
      </c>
      <c r="F26" s="263">
        <v>83</v>
      </c>
      <c r="G26" s="263">
        <v>0</v>
      </c>
      <c r="H26" s="263">
        <v>0</v>
      </c>
      <c r="I26" s="263">
        <v>81.18222999999999</v>
      </c>
      <c r="J26" s="397">
        <v>-6.7133113741874688E-3</v>
      </c>
      <c r="K26" s="320">
        <v>0.97809915662650593</v>
      </c>
      <c r="L26" s="265">
        <v>0.97809915662650593</v>
      </c>
      <c r="M26" s="265">
        <v>0</v>
      </c>
      <c r="N26" s="164"/>
      <c r="P26" s="163"/>
      <c r="Q26" s="322" t="s">
        <v>273</v>
      </c>
      <c r="R26" s="323"/>
      <c r="S26" s="324">
        <f>SUM(S9:S24)</f>
        <v>132.56080703773631</v>
      </c>
      <c r="T26" s="164"/>
    </row>
    <row r="27" spans="2:20" x14ac:dyDescent="0.35">
      <c r="B27" s="163"/>
      <c r="C27" s="310"/>
      <c r="D27" s="175"/>
      <c r="E27" s="175"/>
      <c r="G27" s="175"/>
      <c r="J27" s="403"/>
      <c r="N27" s="164"/>
      <c r="P27" s="163"/>
      <c r="Q27" s="175"/>
      <c r="R27" s="175"/>
      <c r="S27" s="175"/>
      <c r="T27" s="164"/>
    </row>
    <row r="28" spans="2:20" x14ac:dyDescent="0.35">
      <c r="B28" s="163"/>
      <c r="C28" s="310" t="s">
        <v>285</v>
      </c>
      <c r="D28" s="311">
        <v>4</v>
      </c>
      <c r="E28" s="263">
        <f>F28</f>
        <v>293.9702596743665</v>
      </c>
      <c r="F28" s="263">
        <v>293.9702596743665</v>
      </c>
      <c r="G28" s="263">
        <v>0</v>
      </c>
      <c r="H28" s="263">
        <v>5</v>
      </c>
      <c r="I28" s="263">
        <v>377.22234842799998</v>
      </c>
      <c r="J28" s="397">
        <v>0.12646896243095396</v>
      </c>
      <c r="K28" s="320">
        <v>1.3002075408967937</v>
      </c>
      <c r="L28" s="265">
        <v>1.2831990176348198</v>
      </c>
      <c r="M28" s="265">
        <v>1.7008523261973999E-2</v>
      </c>
      <c r="N28" s="164"/>
      <c r="P28" s="163"/>
      <c r="Q28" s="175"/>
      <c r="R28" s="175"/>
      <c r="S28" s="175"/>
      <c r="T28" s="164"/>
    </row>
    <row r="29" spans="2:20" x14ac:dyDescent="0.35">
      <c r="B29" s="163"/>
      <c r="C29" s="310"/>
      <c r="D29" s="175"/>
      <c r="E29" s="175"/>
      <c r="G29" s="175"/>
      <c r="J29" s="403"/>
      <c r="N29" s="164"/>
      <c r="P29" s="163"/>
      <c r="Q29" s="175"/>
      <c r="R29" s="175"/>
      <c r="S29" s="175"/>
      <c r="T29" s="164"/>
    </row>
    <row r="30" spans="2:20" x14ac:dyDescent="0.35">
      <c r="B30" s="163"/>
      <c r="C30" s="310" t="s">
        <v>286</v>
      </c>
      <c r="D30" s="311">
        <v>2</v>
      </c>
      <c r="E30" s="263">
        <f>F30</f>
        <v>8.0237201984774345</v>
      </c>
      <c r="F30" s="263">
        <v>8.0237201984774345</v>
      </c>
      <c r="G30" s="263">
        <v>0</v>
      </c>
      <c r="H30" s="263">
        <v>0</v>
      </c>
      <c r="I30" s="263">
        <v>8.0237201984774345</v>
      </c>
      <c r="J30" s="397">
        <v>2.9802322387695314E-9</v>
      </c>
      <c r="K30" s="320">
        <v>1</v>
      </c>
      <c r="L30" s="265">
        <v>1</v>
      </c>
      <c r="M30" s="265">
        <v>0</v>
      </c>
      <c r="N30" s="164"/>
      <c r="P30" s="163"/>
      <c r="Q30" s="175"/>
      <c r="R30" s="175"/>
      <c r="S30" s="175"/>
      <c r="T30" s="164"/>
    </row>
    <row r="31" spans="2:20" ht="15" thickBot="1" x14ac:dyDescent="0.4">
      <c r="B31" s="168"/>
      <c r="C31" s="241"/>
      <c r="D31" s="309"/>
      <c r="E31" s="309"/>
      <c r="F31" s="309"/>
      <c r="G31" s="309"/>
      <c r="H31" s="309"/>
      <c r="I31" s="309"/>
      <c r="J31" s="404"/>
      <c r="K31" s="309"/>
      <c r="L31" s="309"/>
      <c r="M31" s="309"/>
      <c r="N31" s="172"/>
      <c r="P31" s="168"/>
      <c r="Q31" s="309"/>
      <c r="R31" s="309"/>
      <c r="S31" s="309"/>
      <c r="T31" s="172"/>
    </row>
    <row r="32" spans="2:20" x14ac:dyDescent="0.35">
      <c r="J32" s="403"/>
    </row>
    <row r="33" spans="2:14" ht="15" thickBot="1" x14ac:dyDescent="0.4">
      <c r="J33" s="403"/>
    </row>
    <row r="34" spans="2:14" x14ac:dyDescent="0.35">
      <c r="B34" s="152"/>
      <c r="C34" s="243" t="s">
        <v>326</v>
      </c>
      <c r="D34" s="302"/>
      <c r="E34" s="302"/>
      <c r="F34" s="302"/>
      <c r="G34" s="302"/>
      <c r="H34" s="302"/>
      <c r="I34" s="302"/>
      <c r="J34" s="401"/>
      <c r="K34" s="302"/>
      <c r="L34" s="302"/>
      <c r="M34" s="302"/>
      <c r="N34" s="156"/>
    </row>
    <row r="35" spans="2:14" x14ac:dyDescent="0.35">
      <c r="B35" s="163"/>
      <c r="C35" s="303"/>
      <c r="D35" s="304" t="s">
        <v>239</v>
      </c>
      <c r="E35" s="304" t="s">
        <v>41</v>
      </c>
      <c r="F35" s="305" t="s">
        <v>2</v>
      </c>
      <c r="G35" s="305" t="s">
        <v>291</v>
      </c>
      <c r="H35" s="305" t="s">
        <v>42</v>
      </c>
      <c r="I35" s="305" t="s">
        <v>215</v>
      </c>
      <c r="J35" s="402" t="s">
        <v>32</v>
      </c>
      <c r="K35" s="305" t="s">
        <v>43</v>
      </c>
      <c r="L35" s="305" t="s">
        <v>228</v>
      </c>
      <c r="M35" s="305" t="s">
        <v>140</v>
      </c>
      <c r="N35" s="164"/>
    </row>
    <row r="36" spans="2:14" x14ac:dyDescent="0.35">
      <c r="B36" s="163"/>
      <c r="C36" s="303"/>
      <c r="D36" s="175"/>
      <c r="E36" s="175"/>
      <c r="F36" s="175"/>
      <c r="G36" s="175"/>
      <c r="H36" s="175"/>
      <c r="I36" s="175"/>
      <c r="J36" s="398"/>
      <c r="K36" s="175"/>
      <c r="L36" s="175"/>
      <c r="M36" s="175"/>
      <c r="N36" s="164"/>
    </row>
    <row r="37" spans="2:14" x14ac:dyDescent="0.35">
      <c r="B37" s="163"/>
      <c r="C37" s="310" t="s">
        <v>301</v>
      </c>
      <c r="D37" s="311">
        <v>8</v>
      </c>
      <c r="E37" s="263">
        <v>2578.8539820000001</v>
      </c>
      <c r="F37" s="263">
        <v>1528.8598371999997</v>
      </c>
      <c r="G37" s="263">
        <f>E37-F37</f>
        <v>1049.9941448000004</v>
      </c>
      <c r="H37" s="263">
        <v>1.4717893499999999</v>
      </c>
      <c r="I37" s="263">
        <v>1591.9989059903025</v>
      </c>
      <c r="J37" s="397">
        <v>6.4502593874931333E-2</v>
      </c>
      <c r="K37" s="320">
        <v>1.0422608119908712</v>
      </c>
      <c r="L37" s="265">
        <v>1.0412981407804771</v>
      </c>
      <c r="M37" s="265">
        <v>9.6267121039393612E-4</v>
      </c>
      <c r="N37" s="164"/>
    </row>
    <row r="38" spans="2:14" x14ac:dyDescent="0.35">
      <c r="B38" s="163"/>
      <c r="C38" s="310"/>
      <c r="D38" s="175"/>
      <c r="E38" s="175"/>
      <c r="G38" s="175"/>
      <c r="J38" s="403"/>
      <c r="N38" s="164"/>
    </row>
    <row r="39" spans="2:14" x14ac:dyDescent="0.35">
      <c r="B39" s="163"/>
      <c r="C39" s="310" t="s">
        <v>303</v>
      </c>
      <c r="D39" s="311">
        <v>3</v>
      </c>
      <c r="E39" s="263">
        <v>22.911764999999999</v>
      </c>
      <c r="F39" s="263">
        <v>22.911764999999999</v>
      </c>
      <c r="G39" s="263">
        <v>0</v>
      </c>
      <c r="H39" s="263">
        <v>5</v>
      </c>
      <c r="I39" s="263">
        <v>20.456438682191781</v>
      </c>
      <c r="J39" s="397">
        <v>8.2198861241340654E-2</v>
      </c>
      <c r="K39" s="320">
        <v>1.1110640617251348</v>
      </c>
      <c r="L39" s="265">
        <v>0.89283556645207307</v>
      </c>
      <c r="M39" s="265">
        <v>0.21822849527306168</v>
      </c>
      <c r="N39" s="164"/>
    </row>
    <row r="40" spans="2:14" x14ac:dyDescent="0.35">
      <c r="B40" s="163"/>
      <c r="C40" s="310"/>
      <c r="D40" s="175"/>
      <c r="E40" s="175"/>
      <c r="G40" s="175"/>
      <c r="J40" s="403"/>
      <c r="N40" s="164"/>
    </row>
    <row r="41" spans="2:14" x14ac:dyDescent="0.35">
      <c r="B41" s="163"/>
      <c r="C41" s="310" t="s">
        <v>324</v>
      </c>
      <c r="D41" s="311">
        <v>1</v>
      </c>
      <c r="E41" s="263">
        <v>300</v>
      </c>
      <c r="F41" s="263">
        <v>300</v>
      </c>
      <c r="G41" s="263">
        <v>0</v>
      </c>
      <c r="H41" s="263">
        <v>0</v>
      </c>
      <c r="I41" s="263">
        <v>300</v>
      </c>
      <c r="J41" s="397">
        <v>2.9802322387695314E-9</v>
      </c>
      <c r="K41" s="320">
        <v>1</v>
      </c>
      <c r="L41" s="265">
        <v>1</v>
      </c>
      <c r="M41" s="265">
        <v>0</v>
      </c>
      <c r="N41" s="164"/>
    </row>
    <row r="42" spans="2:14" x14ac:dyDescent="0.35">
      <c r="B42" s="163"/>
      <c r="C42" s="310"/>
      <c r="D42" s="175"/>
      <c r="E42" s="175"/>
      <c r="G42" s="175"/>
      <c r="J42" s="403"/>
      <c r="N42" s="164"/>
    </row>
    <row r="43" spans="2:14" x14ac:dyDescent="0.35">
      <c r="B43" s="163"/>
      <c r="C43" s="310" t="s">
        <v>299</v>
      </c>
      <c r="D43" s="311">
        <v>7</v>
      </c>
      <c r="E43" s="263">
        <v>193.11250000000001</v>
      </c>
      <c r="F43" s="263">
        <v>174.12686249999999</v>
      </c>
      <c r="G43" s="263">
        <v>18.985637500000003</v>
      </c>
      <c r="H43" s="263">
        <v>0</v>
      </c>
      <c r="I43" s="263">
        <v>221.87141575999999</v>
      </c>
      <c r="J43" s="397">
        <v>0.12701625227928162</v>
      </c>
      <c r="K43" s="320">
        <v>1.2503350938490374</v>
      </c>
      <c r="L43" s="265">
        <v>1.2503350938490374</v>
      </c>
      <c r="M43" s="265">
        <v>0</v>
      </c>
      <c r="N43" s="164"/>
    </row>
    <row r="44" spans="2:14" x14ac:dyDescent="0.35">
      <c r="B44" s="163"/>
      <c r="C44" s="310"/>
      <c r="D44" s="175"/>
      <c r="E44" s="175"/>
      <c r="G44" s="175"/>
      <c r="J44" s="403"/>
      <c r="N44" s="164"/>
    </row>
    <row r="45" spans="2:14" x14ac:dyDescent="0.35">
      <c r="B45" s="163"/>
      <c r="C45" s="310" t="s">
        <v>304</v>
      </c>
      <c r="D45" s="311">
        <v>4</v>
      </c>
      <c r="E45" s="263">
        <v>174.76187128021894</v>
      </c>
      <c r="F45" s="263">
        <v>170.8159139630655</v>
      </c>
      <c r="G45" s="263">
        <v>3.945957317153443</v>
      </c>
      <c r="H45" s="263">
        <v>0</v>
      </c>
      <c r="I45" s="263">
        <v>189.26320996441859</v>
      </c>
      <c r="J45" s="397">
        <v>4.8084196448326108E-2</v>
      </c>
      <c r="K45" s="320">
        <v>1.1080217853609446</v>
      </c>
      <c r="L45" s="265">
        <v>1.1080217853609446</v>
      </c>
      <c r="M45" s="265">
        <v>0</v>
      </c>
      <c r="N45" s="164"/>
    </row>
    <row r="46" spans="2:14" ht="15" thickBot="1" x14ac:dyDescent="0.4">
      <c r="B46" s="168"/>
      <c r="C46" s="241"/>
      <c r="D46" s="309"/>
      <c r="E46" s="309"/>
      <c r="F46" s="309"/>
      <c r="G46" s="309"/>
      <c r="H46" s="309"/>
      <c r="I46" s="309"/>
      <c r="J46" s="404"/>
      <c r="K46" s="309"/>
      <c r="L46" s="309"/>
      <c r="M46" s="309"/>
      <c r="N46" s="172"/>
    </row>
    <row r="48" spans="2:14" x14ac:dyDescent="0.35">
      <c r="C48" s="150" t="s">
        <v>136</v>
      </c>
    </row>
    <row r="49" spans="3:3" x14ac:dyDescent="0.35">
      <c r="C49" s="346" t="s">
        <v>290</v>
      </c>
    </row>
    <row r="50" spans="3:3" x14ac:dyDescent="0.35">
      <c r="C50" s="346" t="s">
        <v>288</v>
      </c>
    </row>
    <row r="51" spans="3:3" x14ac:dyDescent="0.35">
      <c r="C51" s="346" t="s">
        <v>287</v>
      </c>
    </row>
    <row r="52" spans="3:3" x14ac:dyDescent="0.35">
      <c r="C52" s="346" t="s">
        <v>289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1A38-0598-4393-A072-2E22156075E3}">
  <sheetPr>
    <tabColor theme="4" tint="-0.499984740745262"/>
  </sheetPr>
  <dimension ref="B2:AG96"/>
  <sheetViews>
    <sheetView zoomScale="70" zoomScaleNormal="70" workbookViewId="0">
      <selection activeCell="O33" sqref="O33"/>
    </sheetView>
  </sheetViews>
  <sheetFormatPr defaultColWidth="9.1796875" defaultRowHeight="12" x14ac:dyDescent="0.3"/>
  <cols>
    <col min="1" max="1" width="9.1796875" style="83"/>
    <col min="2" max="3" width="21.54296875" style="83" customWidth="1"/>
    <col min="4" max="5" width="9.1796875" style="83"/>
    <col min="6" max="6" width="22.7265625" style="83" bestFit="1" customWidth="1"/>
    <col min="7" max="9" width="15.81640625" style="88" customWidth="1"/>
    <col min="10" max="10" width="15.7265625" style="83" customWidth="1"/>
    <col min="11" max="11" width="13.81640625" style="83" customWidth="1"/>
    <col min="12" max="12" width="14.81640625" style="83" customWidth="1"/>
    <col min="13" max="14" width="16.54296875" style="83" customWidth="1"/>
    <col min="15" max="16" width="13.26953125" style="342" customWidth="1"/>
    <col min="17" max="17" width="22.7265625" style="83" bestFit="1" customWidth="1"/>
    <col min="18" max="21" width="14.81640625" style="83" customWidth="1"/>
    <col min="22" max="23" width="9.81640625" style="83" customWidth="1"/>
    <col min="24" max="33" width="22.54296875" style="83" customWidth="1"/>
    <col min="34" max="16384" width="9.1796875" style="83"/>
  </cols>
  <sheetData>
    <row r="2" spans="2:33" s="162" customFormat="1" ht="43.5" customHeight="1" x14ac:dyDescent="0.65">
      <c r="F2" s="331" t="s">
        <v>327</v>
      </c>
      <c r="G2" s="332"/>
      <c r="H2" s="332"/>
      <c r="I2" s="332"/>
      <c r="J2" s="332"/>
      <c r="K2" s="332"/>
      <c r="L2" s="339"/>
      <c r="M2" s="339"/>
      <c r="N2" s="339"/>
      <c r="O2" s="341"/>
      <c r="P2" s="341"/>
      <c r="Q2" s="136"/>
      <c r="R2" s="136"/>
      <c r="S2" s="136"/>
      <c r="T2" s="136"/>
      <c r="U2" s="136"/>
      <c r="V2" s="136"/>
      <c r="W2" s="136"/>
      <c r="X2" s="136"/>
      <c r="Y2" s="333"/>
    </row>
    <row r="3" spans="2:33" ht="13.5" thickBot="1" x14ac:dyDescent="0.35">
      <c r="Q3" s="136"/>
      <c r="R3" s="136"/>
      <c r="S3" s="136"/>
      <c r="T3" s="136"/>
      <c r="U3" s="136"/>
      <c r="V3" s="136"/>
      <c r="W3" s="136"/>
      <c r="X3" s="136"/>
    </row>
    <row r="4" spans="2:33" s="136" customFormat="1" ht="13.5" thickBot="1" x14ac:dyDescent="0.35">
      <c r="F4" s="258" t="s">
        <v>227</v>
      </c>
      <c r="G4" s="272">
        <f>D!D2</f>
        <v>45138</v>
      </c>
      <c r="H4" s="362"/>
      <c r="I4" s="362"/>
      <c r="O4" s="343"/>
      <c r="P4" s="343"/>
    </row>
    <row r="6" spans="2:33" x14ac:dyDescent="0.3">
      <c r="F6" s="97" t="s">
        <v>138</v>
      </c>
      <c r="G6" s="83"/>
      <c r="H6" s="83"/>
      <c r="I6" s="83"/>
      <c r="Q6" s="97" t="s">
        <v>138</v>
      </c>
    </row>
    <row r="7" spans="2:33" ht="32.25" customHeight="1" x14ac:dyDescent="0.3">
      <c r="B7" s="96" t="s">
        <v>283</v>
      </c>
      <c r="C7" s="96"/>
      <c r="F7" s="95" t="s">
        <v>6</v>
      </c>
      <c r="G7" s="96" t="s">
        <v>213</v>
      </c>
      <c r="H7" s="96" t="s">
        <v>298</v>
      </c>
      <c r="I7" s="96" t="s">
        <v>56</v>
      </c>
      <c r="J7" s="96" t="s">
        <v>7</v>
      </c>
      <c r="K7" s="96" t="s">
        <v>139</v>
      </c>
      <c r="L7" s="96" t="s">
        <v>42</v>
      </c>
      <c r="M7" s="97" t="s">
        <v>137</v>
      </c>
      <c r="N7" s="97" t="s">
        <v>217</v>
      </c>
      <c r="O7" s="344"/>
      <c r="P7" s="344"/>
      <c r="Q7" s="95" t="s">
        <v>6</v>
      </c>
      <c r="R7" s="96" t="s">
        <v>139</v>
      </c>
      <c r="S7" s="96" t="s">
        <v>42</v>
      </c>
      <c r="T7" s="96" t="s">
        <v>137</v>
      </c>
      <c r="U7" s="96" t="s">
        <v>217</v>
      </c>
      <c r="V7" s="321"/>
      <c r="X7" s="127" t="s">
        <v>323</v>
      </c>
      <c r="Y7" s="304" t="s">
        <v>41</v>
      </c>
      <c r="Z7" s="305" t="s">
        <v>2</v>
      </c>
      <c r="AA7" s="305" t="s">
        <v>291</v>
      </c>
      <c r="AB7" s="127" t="s">
        <v>42</v>
      </c>
      <c r="AC7" s="127" t="s">
        <v>215</v>
      </c>
      <c r="AD7" s="127" t="s">
        <v>32</v>
      </c>
      <c r="AE7" s="127" t="s">
        <v>43</v>
      </c>
      <c r="AF7" s="127" t="s">
        <v>228</v>
      </c>
      <c r="AG7" s="127" t="s">
        <v>140</v>
      </c>
    </row>
    <row r="8" spans="2:33" ht="13" x14ac:dyDescent="0.3">
      <c r="B8" s="340" t="s">
        <v>57</v>
      </c>
      <c r="C8" s="340" t="s">
        <v>301</v>
      </c>
      <c r="F8" s="84" t="s">
        <v>57</v>
      </c>
      <c r="G8" s="89" t="s">
        <v>212</v>
      </c>
      <c r="H8" s="89" t="str">
        <f>VLOOKUP(F8,'5. Geo'!$B$3:$F$26,5,0)</f>
        <v>Asia-China</v>
      </c>
      <c r="I8" s="364">
        <f>VLOOKUP(F8,'5. Geo'!$B$3:$F$26,2,0)</f>
        <v>2019</v>
      </c>
      <c r="J8" s="85">
        <v>43470</v>
      </c>
      <c r="K8" s="93">
        <f>'CF (Equity, Debt)'!E4</f>
        <v>-30</v>
      </c>
      <c r="L8" s="93">
        <f>'CF (Equity, Debt)'!F4</f>
        <v>0</v>
      </c>
      <c r="M8" s="93"/>
      <c r="N8" s="93">
        <f>SUM(K8:M8)</f>
        <v>-30</v>
      </c>
      <c r="O8" s="345"/>
      <c r="P8" s="345">
        <f>IF($C$8=H8,1,0)</f>
        <v>1</v>
      </c>
      <c r="Q8" s="84" t="s">
        <v>57</v>
      </c>
      <c r="R8" s="93">
        <f>$P8*K8</f>
        <v>-30</v>
      </c>
      <c r="S8" s="93">
        <f>$P8*L8</f>
        <v>0</v>
      </c>
      <c r="T8" s="93">
        <f>$P8*M8</f>
        <v>0</v>
      </c>
      <c r="U8" s="93">
        <f>$P8*N8</f>
        <v>-30</v>
      </c>
      <c r="V8" s="287"/>
      <c r="X8" s="287"/>
      <c r="Z8" s="136"/>
      <c r="AB8" s="136"/>
      <c r="AC8" s="136"/>
      <c r="AD8" s="253"/>
      <c r="AE8" s="136"/>
      <c r="AF8" s="136"/>
      <c r="AG8" s="136"/>
    </row>
    <row r="9" spans="2:33" ht="14.5" x14ac:dyDescent="0.35">
      <c r="B9" s="340" t="s">
        <v>0</v>
      </c>
      <c r="C9" s="340" t="s">
        <v>299</v>
      </c>
      <c r="F9" s="84" t="s">
        <v>57</v>
      </c>
      <c r="G9" s="89" t="s">
        <v>212</v>
      </c>
      <c r="H9" s="89" t="str">
        <f>VLOOKUP(F9,'5. Geo'!$B$3:$F$26,5,0)</f>
        <v>Asia-China</v>
      </c>
      <c r="I9" s="364">
        <f>VLOOKUP(F9,'5. Geo'!$B$3:$F$26,2,0)</f>
        <v>2019</v>
      </c>
      <c r="J9" s="85">
        <v>43724</v>
      </c>
      <c r="K9" s="93">
        <f>'CF (Equity, Debt)'!E5</f>
        <v>-20</v>
      </c>
      <c r="L9" s="93">
        <f>'CF (Equity, Debt)'!F5</f>
        <v>0</v>
      </c>
      <c r="M9" s="93"/>
      <c r="N9" s="93">
        <f t="shared" ref="N9:N72" si="0">SUM(K9:M9)</f>
        <v>-20</v>
      </c>
      <c r="O9" s="345"/>
      <c r="P9" s="345">
        <f t="shared" ref="P9:P72" si="1">IF($C$8=H9,1,0)</f>
        <v>1</v>
      </c>
      <c r="Q9" s="84" t="s">
        <v>57</v>
      </c>
      <c r="R9" s="93">
        <f t="shared" ref="R9:R72" si="2">$P9*K9</f>
        <v>-20</v>
      </c>
      <c r="S9" s="93">
        <f t="shared" ref="S9:S72" si="3">$P9*L9</f>
        <v>0</v>
      </c>
      <c r="T9" s="93">
        <f t="shared" ref="T9:T72" si="4">$P9*M9</f>
        <v>0</v>
      </c>
      <c r="U9" s="93">
        <f t="shared" ref="U9:U72" si="5">$P9*N9</f>
        <v>-20</v>
      </c>
      <c r="X9" s="368">
        <f>SUM(P74:P97)</f>
        <v>8</v>
      </c>
      <c r="Y9" s="88"/>
      <c r="Z9" s="99">
        <f>-SUM(R8:R99)</f>
        <v>1328.8598371999997</v>
      </c>
      <c r="AA9" s="88"/>
      <c r="AB9" s="99">
        <f>SUM(S8:S99)</f>
        <v>1.4717893499999999</v>
      </c>
      <c r="AC9" s="99" t="e">
        <f>SUM(T8:T99)</f>
        <v>#VALUE!</v>
      </c>
      <c r="AD9" s="369" t="e">
        <f>XIRR(U8:U110,J8:J110,0.1)</f>
        <v>#N/A</v>
      </c>
      <c r="AE9" s="201" t="e">
        <f>(AB9+AC9)/Z9</f>
        <v>#VALUE!</v>
      </c>
      <c r="AF9" s="201" t="e">
        <f>AC9/Z9</f>
        <v>#VALUE!</v>
      </c>
      <c r="AG9" s="201">
        <f>AB9/Z9</f>
        <v>1.1075580048390678E-3</v>
      </c>
    </row>
    <row r="10" spans="2:33" ht="13" x14ac:dyDescent="0.3">
      <c r="B10" s="340" t="s">
        <v>48</v>
      </c>
      <c r="C10" s="340" t="s">
        <v>303</v>
      </c>
      <c r="F10" s="84" t="s">
        <v>57</v>
      </c>
      <c r="G10" s="89" t="s">
        <v>212</v>
      </c>
      <c r="H10" s="89" t="str">
        <f>VLOOKUP(F10,'5. Geo'!$B$3:$F$26,5,0)</f>
        <v>Asia-China</v>
      </c>
      <c r="I10" s="364">
        <f>VLOOKUP(F10,'5. Geo'!$B$3:$F$26,2,0)</f>
        <v>2019</v>
      </c>
      <c r="J10" s="85">
        <v>43724</v>
      </c>
      <c r="K10" s="93">
        <f>'CF (Equity, Debt)'!E6</f>
        <v>-15</v>
      </c>
      <c r="L10" s="93">
        <f>'CF (Equity, Debt)'!F6</f>
        <v>0</v>
      </c>
      <c r="M10" s="93"/>
      <c r="N10" s="93">
        <f t="shared" si="0"/>
        <v>-15</v>
      </c>
      <c r="O10" s="345"/>
      <c r="P10" s="345">
        <f t="shared" si="1"/>
        <v>1</v>
      </c>
      <c r="Q10" s="84" t="s">
        <v>57</v>
      </c>
      <c r="R10" s="93">
        <f t="shared" si="2"/>
        <v>-15</v>
      </c>
      <c r="S10" s="93">
        <f t="shared" si="3"/>
        <v>0</v>
      </c>
      <c r="T10" s="93">
        <f t="shared" si="4"/>
        <v>0</v>
      </c>
      <c r="U10" s="93">
        <f t="shared" si="5"/>
        <v>-15</v>
      </c>
    </row>
    <row r="11" spans="2:33" ht="13" x14ac:dyDescent="0.3">
      <c r="B11" s="340" t="s">
        <v>49</v>
      </c>
      <c r="C11" s="340" t="s">
        <v>304</v>
      </c>
      <c r="F11" s="86" t="s">
        <v>0</v>
      </c>
      <c r="G11" s="90" t="s">
        <v>212</v>
      </c>
      <c r="H11" s="90" t="str">
        <f>VLOOKUP(F11,'5. Geo'!$B$3:$F$26,5,0)</f>
        <v>Asia-China</v>
      </c>
      <c r="I11" s="365">
        <f>VLOOKUP(F11,'5. Geo'!$B$3:$F$26,2,0)</f>
        <v>2019</v>
      </c>
      <c r="J11" s="87">
        <v>43563</v>
      </c>
      <c r="K11" s="94">
        <f>'CF (Equity, Debt)'!E7</f>
        <v>-8</v>
      </c>
      <c r="L11" s="94">
        <f>'CF (Equity, Debt)'!F7</f>
        <v>0</v>
      </c>
      <c r="M11" s="94"/>
      <c r="N11" s="94">
        <f t="shared" si="0"/>
        <v>-8</v>
      </c>
      <c r="O11" s="345"/>
      <c r="P11" s="345">
        <f t="shared" si="1"/>
        <v>1</v>
      </c>
      <c r="Q11" s="86" t="s">
        <v>0</v>
      </c>
      <c r="R11" s="94">
        <f t="shared" si="2"/>
        <v>-8</v>
      </c>
      <c r="S11" s="94">
        <f t="shared" si="3"/>
        <v>0</v>
      </c>
      <c r="T11" s="94">
        <f t="shared" si="4"/>
        <v>0</v>
      </c>
      <c r="U11" s="94">
        <f t="shared" si="5"/>
        <v>-8</v>
      </c>
    </row>
    <row r="12" spans="2:33" ht="13" x14ac:dyDescent="0.3">
      <c r="B12" s="340" t="s">
        <v>47</v>
      </c>
      <c r="C12" s="340" t="s">
        <v>302</v>
      </c>
      <c r="F12" s="84" t="s">
        <v>48</v>
      </c>
      <c r="G12" s="89" t="s">
        <v>212</v>
      </c>
      <c r="H12" s="89" t="str">
        <f>VLOOKUP(F12,'5. Geo'!$B$3:$F$26,5,0)</f>
        <v>USA</v>
      </c>
      <c r="I12" s="364">
        <f>VLOOKUP(F12,'5. Geo'!$B$3:$F$26,2,0)</f>
        <v>2019</v>
      </c>
      <c r="J12" s="85">
        <v>43570</v>
      </c>
      <c r="K12" s="93">
        <f>'CF (Equity, Debt)'!E8</f>
        <v>-4.9999980900000001</v>
      </c>
      <c r="L12" s="93">
        <f>'CF (Equity, Debt)'!F8</f>
        <v>0</v>
      </c>
      <c r="M12" s="93"/>
      <c r="N12" s="93">
        <f t="shared" si="0"/>
        <v>-4.9999980900000001</v>
      </c>
      <c r="O12" s="345"/>
      <c r="P12" s="345">
        <f t="shared" si="1"/>
        <v>0</v>
      </c>
      <c r="Q12" s="84" t="s">
        <v>48</v>
      </c>
      <c r="R12" s="93">
        <f t="shared" si="2"/>
        <v>0</v>
      </c>
      <c r="S12" s="93">
        <f t="shared" si="3"/>
        <v>0</v>
      </c>
      <c r="T12" s="93">
        <f t="shared" si="4"/>
        <v>0</v>
      </c>
      <c r="U12" s="93">
        <f t="shared" si="5"/>
        <v>0</v>
      </c>
      <c r="Y12" s="250"/>
      <c r="Z12" s="250"/>
      <c r="AA12" s="273"/>
      <c r="AB12" s="264"/>
      <c r="AC12" s="264"/>
      <c r="AD12" s="264"/>
    </row>
    <row r="13" spans="2:33" ht="13" x14ac:dyDescent="0.3">
      <c r="B13" s="340" t="s">
        <v>131</v>
      </c>
      <c r="C13" s="340"/>
      <c r="F13" s="84" t="s">
        <v>48</v>
      </c>
      <c r="G13" s="89" t="s">
        <v>212</v>
      </c>
      <c r="H13" s="89" t="str">
        <f>VLOOKUP(F13,'5. Geo'!$B$3:$F$26,5,0)</f>
        <v>USA</v>
      </c>
      <c r="I13" s="364">
        <f>VLOOKUP(F13,'5. Geo'!$B$3:$F$26,2,0)</f>
        <v>2019</v>
      </c>
      <c r="J13" s="85">
        <v>43915</v>
      </c>
      <c r="K13" s="93">
        <f>'CF (Equity, Debt)'!E9</f>
        <v>-5.0000019099999999</v>
      </c>
      <c r="L13" s="93">
        <f>'CF (Equity, Debt)'!F9</f>
        <v>0</v>
      </c>
      <c r="M13" s="93"/>
      <c r="N13" s="93">
        <f t="shared" si="0"/>
        <v>-5.0000019099999999</v>
      </c>
      <c r="O13" s="345"/>
      <c r="P13" s="345">
        <f t="shared" si="1"/>
        <v>0</v>
      </c>
      <c r="Q13" s="84" t="s">
        <v>48</v>
      </c>
      <c r="R13" s="93">
        <f t="shared" si="2"/>
        <v>0</v>
      </c>
      <c r="S13" s="93">
        <f t="shared" si="3"/>
        <v>0</v>
      </c>
      <c r="T13" s="93">
        <f t="shared" si="4"/>
        <v>0</v>
      </c>
      <c r="U13" s="93">
        <f t="shared" si="5"/>
        <v>0</v>
      </c>
    </row>
    <row r="14" spans="2:33" ht="13" x14ac:dyDescent="0.3">
      <c r="B14" s="340" t="s">
        <v>11</v>
      </c>
      <c r="C14" s="340"/>
      <c r="F14" s="86" t="s">
        <v>49</v>
      </c>
      <c r="G14" s="90" t="s">
        <v>212</v>
      </c>
      <c r="H14" s="90" t="str">
        <f>VLOOKUP(F14,'5. Geo'!$B$3:$F$26,5,0)</f>
        <v>Rest of Asia</v>
      </c>
      <c r="I14" s="365">
        <f>VLOOKUP(F14,'5. Geo'!$B$3:$F$26,2,0)</f>
        <v>2020</v>
      </c>
      <c r="J14" s="87">
        <v>43870</v>
      </c>
      <c r="K14" s="94">
        <f>'CF (Equity, Debt)'!E10</f>
        <v>-2.5</v>
      </c>
      <c r="L14" s="94">
        <f>'CF (Equity, Debt)'!F10</f>
        <v>0</v>
      </c>
      <c r="M14" s="94"/>
      <c r="N14" s="94">
        <f t="shared" si="0"/>
        <v>-2.5</v>
      </c>
      <c r="O14" s="345"/>
      <c r="P14" s="345">
        <f t="shared" si="1"/>
        <v>0</v>
      </c>
      <c r="Q14" s="86" t="s">
        <v>49</v>
      </c>
      <c r="R14" s="94">
        <f t="shared" si="2"/>
        <v>0</v>
      </c>
      <c r="S14" s="94">
        <f t="shared" si="3"/>
        <v>0</v>
      </c>
      <c r="T14" s="94">
        <f t="shared" si="4"/>
        <v>0</v>
      </c>
      <c r="U14" s="94">
        <f t="shared" si="5"/>
        <v>0</v>
      </c>
    </row>
    <row r="15" spans="2:33" ht="13" x14ac:dyDescent="0.3">
      <c r="B15" s="340" t="s">
        <v>24</v>
      </c>
      <c r="C15" s="340"/>
      <c r="F15" s="84" t="s">
        <v>47</v>
      </c>
      <c r="G15" s="89" t="s">
        <v>212</v>
      </c>
      <c r="H15" s="89" t="str">
        <f>VLOOKUP(F15,'5. Geo'!$B$3:$F$26,5,0)</f>
        <v>USA</v>
      </c>
      <c r="I15" s="364">
        <f>VLOOKUP(F15,'5. Geo'!$B$3:$F$26,2,0)</f>
        <v>2020</v>
      </c>
      <c r="J15" s="85">
        <v>43879</v>
      </c>
      <c r="K15" s="93">
        <f>'CF (Equity, Debt)'!E11</f>
        <v>-20</v>
      </c>
      <c r="L15" s="93">
        <f>'CF (Equity, Debt)'!F11</f>
        <v>0</v>
      </c>
      <c r="M15" s="93"/>
      <c r="N15" s="93">
        <f t="shared" si="0"/>
        <v>-20</v>
      </c>
      <c r="O15" s="345"/>
      <c r="P15" s="345">
        <f t="shared" si="1"/>
        <v>0</v>
      </c>
      <c r="Q15" s="84" t="s">
        <v>47</v>
      </c>
      <c r="R15" s="93">
        <f t="shared" si="2"/>
        <v>0</v>
      </c>
      <c r="S15" s="93">
        <f t="shared" si="3"/>
        <v>0</v>
      </c>
      <c r="T15" s="93">
        <f t="shared" si="4"/>
        <v>0</v>
      </c>
      <c r="U15" s="93">
        <f t="shared" si="5"/>
        <v>0</v>
      </c>
    </row>
    <row r="16" spans="2:33" ht="13" x14ac:dyDescent="0.3">
      <c r="B16" s="340" t="s">
        <v>50</v>
      </c>
      <c r="C16" s="340"/>
      <c r="F16" s="84" t="s">
        <v>47</v>
      </c>
      <c r="G16" s="89" t="s">
        <v>212</v>
      </c>
      <c r="H16" s="89" t="str">
        <f>VLOOKUP(F16,'5. Geo'!$B$3:$F$26,5,0)</f>
        <v>USA</v>
      </c>
      <c r="I16" s="364">
        <f>VLOOKUP(F16,'5. Geo'!$B$3:$F$26,2,0)</f>
        <v>2020</v>
      </c>
      <c r="J16" s="85">
        <v>43921</v>
      </c>
      <c r="K16" s="93">
        <f>'CF (Equity, Debt)'!E12</f>
        <v>-30</v>
      </c>
      <c r="L16" s="93">
        <f>'CF (Equity, Debt)'!F12</f>
        <v>0</v>
      </c>
      <c r="M16" s="93"/>
      <c r="N16" s="93">
        <f t="shared" si="0"/>
        <v>-30</v>
      </c>
      <c r="O16" s="345"/>
      <c r="P16" s="345">
        <f t="shared" si="1"/>
        <v>0</v>
      </c>
      <c r="Q16" s="84" t="s">
        <v>47</v>
      </c>
      <c r="R16" s="93">
        <f t="shared" si="2"/>
        <v>0</v>
      </c>
      <c r="S16" s="93">
        <f t="shared" si="3"/>
        <v>0</v>
      </c>
      <c r="T16" s="93">
        <f t="shared" si="4"/>
        <v>0</v>
      </c>
      <c r="U16" s="93">
        <f t="shared" si="5"/>
        <v>0</v>
      </c>
    </row>
    <row r="17" spans="2:21" ht="13" x14ac:dyDescent="0.3">
      <c r="B17" s="340" t="s">
        <v>51</v>
      </c>
      <c r="C17" s="340"/>
      <c r="F17" s="84" t="s">
        <v>47</v>
      </c>
      <c r="G17" s="89" t="s">
        <v>212</v>
      </c>
      <c r="H17" s="89" t="str">
        <f>VLOOKUP(F17,'5. Geo'!$B$3:$F$26,5,0)</f>
        <v>USA</v>
      </c>
      <c r="I17" s="364">
        <f>VLOOKUP(F17,'5. Geo'!$B$3:$F$26,2,0)</f>
        <v>2020</v>
      </c>
      <c r="J17" s="85">
        <v>43989</v>
      </c>
      <c r="K17" s="93">
        <f>'CF (Equity, Debt)'!E13</f>
        <v>-30</v>
      </c>
      <c r="L17" s="93">
        <f>'CF (Equity, Debt)'!F13</f>
        <v>0</v>
      </c>
      <c r="M17" s="93"/>
      <c r="N17" s="93">
        <f>SUM(K17:M17)</f>
        <v>-30</v>
      </c>
      <c r="O17" s="345"/>
      <c r="P17" s="345">
        <f t="shared" si="1"/>
        <v>0</v>
      </c>
      <c r="Q17" s="84" t="s">
        <v>47</v>
      </c>
      <c r="R17" s="93">
        <f t="shared" si="2"/>
        <v>0</v>
      </c>
      <c r="S17" s="93">
        <f t="shared" si="3"/>
        <v>0</v>
      </c>
      <c r="T17" s="93">
        <f t="shared" si="4"/>
        <v>0</v>
      </c>
      <c r="U17" s="93">
        <f t="shared" si="5"/>
        <v>0</v>
      </c>
    </row>
    <row r="18" spans="2:21" ht="13" x14ac:dyDescent="0.3">
      <c r="B18" s="340" t="s">
        <v>52</v>
      </c>
      <c r="C18" s="340"/>
      <c r="F18" s="84" t="s">
        <v>47</v>
      </c>
      <c r="G18" s="89" t="s">
        <v>212</v>
      </c>
      <c r="H18" s="89" t="str">
        <f>VLOOKUP(F18,'5. Geo'!$B$3:$F$26,5,0)</f>
        <v>USA</v>
      </c>
      <c r="I18" s="364">
        <f>VLOOKUP(F18,'5. Geo'!$B$3:$F$26,2,0)</f>
        <v>2020</v>
      </c>
      <c r="J18" s="85">
        <v>44103</v>
      </c>
      <c r="K18" s="93">
        <f>'CF (Equity, Debt)'!E14</f>
        <v>-10</v>
      </c>
      <c r="L18" s="93">
        <f>'CF (Equity, Debt)'!F14</f>
        <v>0</v>
      </c>
      <c r="M18" s="93"/>
      <c r="N18" s="93">
        <f t="shared" si="0"/>
        <v>-10</v>
      </c>
      <c r="O18" s="345"/>
      <c r="P18" s="345">
        <f t="shared" si="1"/>
        <v>0</v>
      </c>
      <c r="Q18" s="84" t="s">
        <v>47</v>
      </c>
      <c r="R18" s="93">
        <f t="shared" si="2"/>
        <v>0</v>
      </c>
      <c r="S18" s="93">
        <f t="shared" si="3"/>
        <v>0</v>
      </c>
      <c r="T18" s="93">
        <f t="shared" si="4"/>
        <v>0</v>
      </c>
      <c r="U18" s="93">
        <f t="shared" si="5"/>
        <v>0</v>
      </c>
    </row>
    <row r="19" spans="2:21" ht="13" x14ac:dyDescent="0.3">
      <c r="B19" s="340" t="s">
        <v>113</v>
      </c>
      <c r="C19" s="340"/>
      <c r="F19" s="86" t="s">
        <v>131</v>
      </c>
      <c r="G19" s="90" t="s">
        <v>212</v>
      </c>
      <c r="H19" s="90" t="str">
        <f>VLOOKUP(F19,'5. Geo'!$B$3:$F$26,5,0)</f>
        <v>Europe</v>
      </c>
      <c r="I19" s="365">
        <f>VLOOKUP(F19,'5. Geo'!$B$3:$F$26,2,0)</f>
        <v>2020</v>
      </c>
      <c r="J19" s="87">
        <v>43968</v>
      </c>
      <c r="K19" s="94">
        <f>'CF (Equity, Debt)'!E15</f>
        <v>-50</v>
      </c>
      <c r="L19" s="94">
        <f>'CF (Equity, Debt)'!F15</f>
        <v>0</v>
      </c>
      <c r="M19" s="94"/>
      <c r="N19" s="94">
        <f t="shared" si="0"/>
        <v>-50</v>
      </c>
      <c r="O19" s="345"/>
      <c r="P19" s="345">
        <f t="shared" si="1"/>
        <v>0</v>
      </c>
      <c r="Q19" s="86" t="s">
        <v>131</v>
      </c>
      <c r="R19" s="94">
        <f t="shared" si="2"/>
        <v>0</v>
      </c>
      <c r="S19" s="94">
        <f t="shared" si="3"/>
        <v>0</v>
      </c>
      <c r="T19" s="94">
        <f t="shared" si="4"/>
        <v>0</v>
      </c>
      <c r="U19" s="94">
        <f t="shared" si="5"/>
        <v>0</v>
      </c>
    </row>
    <row r="20" spans="2:21" ht="13" x14ac:dyDescent="0.3">
      <c r="B20" s="340" t="s">
        <v>25</v>
      </c>
      <c r="C20" s="340"/>
      <c r="F20" s="86" t="s">
        <v>131</v>
      </c>
      <c r="G20" s="90" t="s">
        <v>212</v>
      </c>
      <c r="H20" s="90" t="str">
        <f>VLOOKUP(F20,'5. Geo'!$B$3:$F$26,5,0)</f>
        <v>Europe</v>
      </c>
      <c r="I20" s="365">
        <f>VLOOKUP(F20,'5. Geo'!$B$3:$F$26,2,0)</f>
        <v>2020</v>
      </c>
      <c r="J20" s="87">
        <v>44006</v>
      </c>
      <c r="K20" s="94">
        <f>'CF (Equity, Debt)'!E16</f>
        <v>-27.268350856443721</v>
      </c>
      <c r="L20" s="94">
        <f>'CF (Equity, Debt)'!F16</f>
        <v>0</v>
      </c>
      <c r="M20" s="94"/>
      <c r="N20" s="94">
        <f t="shared" si="0"/>
        <v>-27.268350856443721</v>
      </c>
      <c r="O20" s="345"/>
      <c r="P20" s="345">
        <f t="shared" si="1"/>
        <v>0</v>
      </c>
      <c r="Q20" s="86" t="s">
        <v>131</v>
      </c>
      <c r="R20" s="94">
        <f t="shared" si="2"/>
        <v>0</v>
      </c>
      <c r="S20" s="94">
        <f t="shared" si="3"/>
        <v>0</v>
      </c>
      <c r="T20" s="94">
        <f t="shared" si="4"/>
        <v>0</v>
      </c>
      <c r="U20" s="94">
        <f t="shared" si="5"/>
        <v>0</v>
      </c>
    </row>
    <row r="21" spans="2:21" ht="13" x14ac:dyDescent="0.3">
      <c r="B21" s="340" t="s">
        <v>132</v>
      </c>
      <c r="C21" s="340"/>
      <c r="F21" s="86" t="s">
        <v>131</v>
      </c>
      <c r="G21" s="90" t="s">
        <v>212</v>
      </c>
      <c r="H21" s="90" t="str">
        <f>VLOOKUP(F21,'5. Geo'!$B$3:$F$26,5,0)</f>
        <v>Europe</v>
      </c>
      <c r="I21" s="365">
        <f>VLOOKUP(F21,'5. Geo'!$B$3:$F$26,2,0)</f>
        <v>2020</v>
      </c>
      <c r="J21" s="87">
        <v>43837</v>
      </c>
      <c r="K21" s="94">
        <f>'CF (Equity, Debt)'!E17</f>
        <v>-18.109441299619355</v>
      </c>
      <c r="L21" s="94">
        <f>'CF (Equity, Debt)'!F17</f>
        <v>0</v>
      </c>
      <c r="M21" s="94"/>
      <c r="N21" s="94">
        <f t="shared" si="0"/>
        <v>-18.109441299619355</v>
      </c>
      <c r="O21" s="345"/>
      <c r="P21" s="345">
        <f t="shared" si="1"/>
        <v>0</v>
      </c>
      <c r="Q21" s="86" t="s">
        <v>131</v>
      </c>
      <c r="R21" s="94">
        <f t="shared" si="2"/>
        <v>0</v>
      </c>
      <c r="S21" s="94">
        <f t="shared" si="3"/>
        <v>0</v>
      </c>
      <c r="T21" s="94">
        <f t="shared" si="4"/>
        <v>0</v>
      </c>
      <c r="U21" s="94">
        <f t="shared" si="5"/>
        <v>0</v>
      </c>
    </row>
    <row r="22" spans="2:21" ht="13" x14ac:dyDescent="0.3">
      <c r="B22" s="340" t="s">
        <v>44</v>
      </c>
      <c r="C22" s="340"/>
      <c r="F22" s="86" t="s">
        <v>131</v>
      </c>
      <c r="G22" s="90" t="s">
        <v>212</v>
      </c>
      <c r="H22" s="90" t="str">
        <f>VLOOKUP(F22,'5. Geo'!$B$3:$F$26,5,0)</f>
        <v>Europe</v>
      </c>
      <c r="I22" s="365">
        <f>VLOOKUP(F22,'5. Geo'!$B$3:$F$26,2,0)</f>
        <v>2020</v>
      </c>
      <c r="J22" s="87">
        <v>43990</v>
      </c>
      <c r="K22" s="94">
        <f>'CF (Equity, Debt)'!E18</f>
        <v>-34.851687094159864</v>
      </c>
      <c r="L22" s="94">
        <f>'CF (Equity, Debt)'!F18</f>
        <v>0</v>
      </c>
      <c r="M22" s="94"/>
      <c r="N22" s="94">
        <f t="shared" si="0"/>
        <v>-34.851687094159864</v>
      </c>
      <c r="O22" s="345"/>
      <c r="P22" s="345">
        <f t="shared" si="1"/>
        <v>0</v>
      </c>
      <c r="Q22" s="86" t="s">
        <v>131</v>
      </c>
      <c r="R22" s="94">
        <f t="shared" si="2"/>
        <v>0</v>
      </c>
      <c r="S22" s="94">
        <f t="shared" si="3"/>
        <v>0</v>
      </c>
      <c r="T22" s="94">
        <f t="shared" si="4"/>
        <v>0</v>
      </c>
      <c r="U22" s="94">
        <f t="shared" si="5"/>
        <v>0</v>
      </c>
    </row>
    <row r="23" spans="2:21" ht="13" x14ac:dyDescent="0.3">
      <c r="B23" s="340" t="s">
        <v>58</v>
      </c>
      <c r="C23" s="340"/>
      <c r="F23" s="86" t="s">
        <v>131</v>
      </c>
      <c r="G23" s="90" t="s">
        <v>212</v>
      </c>
      <c r="H23" s="90" t="str">
        <f>VLOOKUP(F23,'5. Geo'!$B$3:$F$26,5,0)</f>
        <v>Europe</v>
      </c>
      <c r="I23" s="365">
        <f>VLOOKUP(F23,'5. Geo'!$B$3:$F$26,2,0)</f>
        <v>2020</v>
      </c>
      <c r="J23" s="87">
        <v>44315</v>
      </c>
      <c r="K23" s="94">
        <f>'CF (Equity, Debt)'!E19</f>
        <v>-11.240780424143557</v>
      </c>
      <c r="L23" s="94">
        <f>'CF (Equity, Debt)'!F19</f>
        <v>0</v>
      </c>
      <c r="M23" s="94"/>
      <c r="N23" s="94">
        <f t="shared" si="0"/>
        <v>-11.240780424143557</v>
      </c>
      <c r="O23" s="345"/>
      <c r="P23" s="345">
        <f t="shared" si="1"/>
        <v>0</v>
      </c>
      <c r="Q23" s="86" t="s">
        <v>131</v>
      </c>
      <c r="R23" s="94">
        <f t="shared" si="2"/>
        <v>0</v>
      </c>
      <c r="S23" s="94">
        <f t="shared" si="3"/>
        <v>0</v>
      </c>
      <c r="T23" s="94">
        <f t="shared" si="4"/>
        <v>0</v>
      </c>
      <c r="U23" s="94">
        <f t="shared" si="5"/>
        <v>0</v>
      </c>
    </row>
    <row r="24" spans="2:21" ht="13" x14ac:dyDescent="0.3">
      <c r="B24" s="340" t="s">
        <v>0</v>
      </c>
      <c r="C24" s="340"/>
      <c r="F24" s="84" t="s">
        <v>11</v>
      </c>
      <c r="G24" s="89" t="s">
        <v>212</v>
      </c>
      <c r="H24" s="89" t="str">
        <f>VLOOKUP(F24,'5. Geo'!$B$3:$F$26,5,0)</f>
        <v>Asia-China</v>
      </c>
      <c r="I24" s="364">
        <f>VLOOKUP(F24,'5. Geo'!$B$3:$F$26,2,0)</f>
        <v>2020</v>
      </c>
      <c r="J24" s="85">
        <v>44166</v>
      </c>
      <c r="K24" s="93">
        <f>'CF (Equity, Debt)'!E20</f>
        <v>-60</v>
      </c>
      <c r="L24" s="93">
        <f>'CF (Equity, Debt)'!F20</f>
        <v>0</v>
      </c>
      <c r="M24" s="93"/>
      <c r="N24" s="93">
        <f t="shared" si="0"/>
        <v>-60</v>
      </c>
      <c r="O24" s="345"/>
      <c r="P24" s="345">
        <f t="shared" si="1"/>
        <v>1</v>
      </c>
      <c r="Q24" s="84" t="s">
        <v>11</v>
      </c>
      <c r="R24" s="93">
        <f t="shared" si="2"/>
        <v>-60</v>
      </c>
      <c r="S24" s="93">
        <f t="shared" si="3"/>
        <v>0</v>
      </c>
      <c r="T24" s="93">
        <f t="shared" si="4"/>
        <v>0</v>
      </c>
      <c r="U24" s="93">
        <f t="shared" si="5"/>
        <v>-60</v>
      </c>
    </row>
    <row r="25" spans="2:21" ht="13" x14ac:dyDescent="0.3">
      <c r="B25" s="340" t="s">
        <v>49</v>
      </c>
      <c r="C25" s="340"/>
      <c r="F25" s="86" t="s">
        <v>24</v>
      </c>
      <c r="G25" s="90" t="s">
        <v>212</v>
      </c>
      <c r="H25" s="90" t="str">
        <f>VLOOKUP(F25,'5. Geo'!$B$3:$F$26,5,0)</f>
        <v>Rest of Asia</v>
      </c>
      <c r="I25" s="365">
        <f>VLOOKUP(F25,'5. Geo'!$B$3:$F$26,2,0)</f>
        <v>2021</v>
      </c>
      <c r="J25" s="87">
        <v>44363</v>
      </c>
      <c r="K25" s="94">
        <f>'CF (Equity, Debt)'!E21</f>
        <v>-20</v>
      </c>
      <c r="L25" s="94">
        <f>'CF (Equity, Debt)'!F21</f>
        <v>0</v>
      </c>
      <c r="M25" s="94"/>
      <c r="N25" s="94">
        <f t="shared" si="0"/>
        <v>-20</v>
      </c>
      <c r="O25" s="345"/>
      <c r="P25" s="345">
        <f t="shared" si="1"/>
        <v>0</v>
      </c>
      <c r="Q25" s="86" t="s">
        <v>24</v>
      </c>
      <c r="R25" s="94">
        <f t="shared" si="2"/>
        <v>0</v>
      </c>
      <c r="S25" s="94">
        <f t="shared" si="3"/>
        <v>0</v>
      </c>
      <c r="T25" s="94">
        <f t="shared" si="4"/>
        <v>0</v>
      </c>
      <c r="U25" s="94">
        <f t="shared" si="5"/>
        <v>0</v>
      </c>
    </row>
    <row r="26" spans="2:21" ht="13" x14ac:dyDescent="0.3">
      <c r="B26" s="340" t="s">
        <v>31</v>
      </c>
      <c r="C26" s="340"/>
      <c r="F26" s="84" t="s">
        <v>50</v>
      </c>
      <c r="G26" s="89" t="s">
        <v>212</v>
      </c>
      <c r="H26" s="89" t="str">
        <f>VLOOKUP(F26,'5. Geo'!$B$3:$F$26,5,0)</f>
        <v>USA</v>
      </c>
      <c r="I26" s="364">
        <f>VLOOKUP(F26,'5. Geo'!$B$3:$F$26,2,0)</f>
        <v>2021</v>
      </c>
      <c r="J26" s="85">
        <v>44488</v>
      </c>
      <c r="K26" s="93">
        <f>'CF (Equity, Debt)'!E22</f>
        <v>-39.999983359999995</v>
      </c>
      <c r="L26" s="93">
        <f>'CF (Equity, Debt)'!F22</f>
        <v>0</v>
      </c>
      <c r="M26" s="93"/>
      <c r="N26" s="93">
        <f t="shared" si="0"/>
        <v>-39.999983359999995</v>
      </c>
      <c r="O26" s="345"/>
      <c r="P26" s="345">
        <f t="shared" si="1"/>
        <v>0</v>
      </c>
      <c r="Q26" s="84" t="s">
        <v>50</v>
      </c>
      <c r="R26" s="93">
        <f t="shared" si="2"/>
        <v>0</v>
      </c>
      <c r="S26" s="93">
        <f t="shared" si="3"/>
        <v>0</v>
      </c>
      <c r="T26" s="93">
        <f t="shared" si="4"/>
        <v>0</v>
      </c>
      <c r="U26" s="93">
        <f t="shared" si="5"/>
        <v>0</v>
      </c>
    </row>
    <row r="27" spans="2:21" ht="13" x14ac:dyDescent="0.3">
      <c r="B27" s="340" t="s">
        <v>31</v>
      </c>
      <c r="C27" s="340"/>
      <c r="F27" s="86" t="s">
        <v>51</v>
      </c>
      <c r="G27" s="90" t="s">
        <v>212</v>
      </c>
      <c r="H27" s="90" t="str">
        <f>VLOOKUP(F27,'5. Geo'!$B$3:$F$26,5,0)</f>
        <v>USA</v>
      </c>
      <c r="I27" s="365">
        <f>VLOOKUP(F27,'5. Geo'!$B$3:$F$26,2,0)</f>
        <v>2021</v>
      </c>
      <c r="J27" s="87">
        <v>44494</v>
      </c>
      <c r="K27" s="94">
        <f>'CF (Equity, Debt)'!E23</f>
        <v>-3</v>
      </c>
      <c r="L27" s="94">
        <f>'CF (Equity, Debt)'!F23</f>
        <v>0</v>
      </c>
      <c r="M27" s="94"/>
      <c r="N27" s="94">
        <f t="shared" si="0"/>
        <v>-3</v>
      </c>
      <c r="O27" s="345"/>
      <c r="P27" s="345">
        <f t="shared" si="1"/>
        <v>0</v>
      </c>
      <c r="Q27" s="86" t="s">
        <v>51</v>
      </c>
      <c r="R27" s="94">
        <f t="shared" si="2"/>
        <v>0</v>
      </c>
      <c r="S27" s="94">
        <f t="shared" si="3"/>
        <v>0</v>
      </c>
      <c r="T27" s="94">
        <f t="shared" si="4"/>
        <v>0</v>
      </c>
      <c r="U27" s="94">
        <f t="shared" si="5"/>
        <v>0</v>
      </c>
    </row>
    <row r="28" spans="2:21" ht="13" x14ac:dyDescent="0.3">
      <c r="B28" s="340" t="s">
        <v>1</v>
      </c>
      <c r="C28" s="340"/>
      <c r="F28" s="84" t="s">
        <v>52</v>
      </c>
      <c r="G28" s="89" t="s">
        <v>212</v>
      </c>
      <c r="H28" s="89" t="str">
        <f>VLOOKUP(F28,'5. Geo'!$B$3:$F$26,5,0)</f>
        <v>Europe</v>
      </c>
      <c r="I28" s="364">
        <f>VLOOKUP(F28,'5. Geo'!$B$3:$F$26,2,0)</f>
        <v>2021</v>
      </c>
      <c r="J28" s="85">
        <v>44550</v>
      </c>
      <c r="K28" s="93">
        <f>'CF (Equity, Debt)'!E24</f>
        <v>-5.0237201984774336</v>
      </c>
      <c r="L28" s="93">
        <f>'CF (Equity, Debt)'!F24</f>
        <v>0</v>
      </c>
      <c r="M28" s="93"/>
      <c r="N28" s="93">
        <f t="shared" si="0"/>
        <v>-5.0237201984774336</v>
      </c>
      <c r="O28" s="345"/>
      <c r="P28" s="345">
        <f t="shared" si="1"/>
        <v>0</v>
      </c>
      <c r="Q28" s="84" t="s">
        <v>52</v>
      </c>
      <c r="R28" s="93">
        <f t="shared" si="2"/>
        <v>0</v>
      </c>
      <c r="S28" s="93">
        <f t="shared" si="3"/>
        <v>0</v>
      </c>
      <c r="T28" s="93">
        <f t="shared" si="4"/>
        <v>0</v>
      </c>
      <c r="U28" s="93">
        <f t="shared" si="5"/>
        <v>0</v>
      </c>
    </row>
    <row r="29" spans="2:21" ht="13" x14ac:dyDescent="0.3">
      <c r="B29" s="340" t="s">
        <v>15</v>
      </c>
      <c r="C29" s="340"/>
      <c r="F29" s="86" t="s">
        <v>113</v>
      </c>
      <c r="G29" s="90" t="s">
        <v>212</v>
      </c>
      <c r="H29" s="90" t="str">
        <f>VLOOKUP(F29,'5. Geo'!$B$3:$F$26,5,0)</f>
        <v>Asia-China</v>
      </c>
      <c r="I29" s="365">
        <f>VLOOKUP(F29,'5. Geo'!$B$3:$F$26,2,0)</f>
        <v>2022</v>
      </c>
      <c r="J29" s="87">
        <v>44574</v>
      </c>
      <c r="K29" s="94">
        <f>'CF (Equity, Debt)'!E25</f>
        <v>-493.50095619999996</v>
      </c>
      <c r="L29" s="94">
        <f>'CF (Equity, Debt)'!F25</f>
        <v>0</v>
      </c>
      <c r="M29" s="94"/>
      <c r="N29" s="94">
        <f t="shared" si="0"/>
        <v>-493.50095619999996</v>
      </c>
      <c r="O29" s="345"/>
      <c r="P29" s="345">
        <f t="shared" si="1"/>
        <v>1</v>
      </c>
      <c r="Q29" s="86" t="s">
        <v>113</v>
      </c>
      <c r="R29" s="94">
        <f t="shared" si="2"/>
        <v>-493.50095619999996</v>
      </c>
      <c r="S29" s="94">
        <f t="shared" si="3"/>
        <v>0</v>
      </c>
      <c r="T29" s="94">
        <f t="shared" si="4"/>
        <v>0</v>
      </c>
      <c r="U29" s="94">
        <f t="shared" si="5"/>
        <v>-493.50095619999996</v>
      </c>
    </row>
    <row r="30" spans="2:21" ht="13" x14ac:dyDescent="0.3">
      <c r="B30" s="340" t="s">
        <v>229</v>
      </c>
      <c r="C30" s="340"/>
      <c r="F30" s="84" t="s">
        <v>25</v>
      </c>
      <c r="G30" s="89" t="s">
        <v>212</v>
      </c>
      <c r="H30" s="89" t="str">
        <f>VLOOKUP(F30,'5. Geo'!$B$3:$F$26,5,0)</f>
        <v>MiddleEast</v>
      </c>
      <c r="I30" s="364">
        <f>VLOOKUP(F30,'5. Geo'!$B$3:$F$26,2,0)</f>
        <v>2022</v>
      </c>
      <c r="J30" s="85">
        <v>44643</v>
      </c>
      <c r="K30" s="93">
        <f>'CF (Equity, Debt)'!E26</f>
        <v>-200</v>
      </c>
      <c r="L30" s="93">
        <f>'CF (Equity, Debt)'!F26</f>
        <v>0</v>
      </c>
      <c r="M30" s="93"/>
      <c r="N30" s="93">
        <f t="shared" si="0"/>
        <v>-200</v>
      </c>
      <c r="O30" s="345"/>
      <c r="P30" s="345">
        <f t="shared" si="1"/>
        <v>0</v>
      </c>
      <c r="Q30" s="84" t="s">
        <v>25</v>
      </c>
      <c r="R30" s="93">
        <f t="shared" si="2"/>
        <v>0</v>
      </c>
      <c r="S30" s="93">
        <f t="shared" si="3"/>
        <v>0</v>
      </c>
      <c r="T30" s="93">
        <f t="shared" si="4"/>
        <v>0</v>
      </c>
      <c r="U30" s="93">
        <f t="shared" si="5"/>
        <v>0</v>
      </c>
    </row>
    <row r="31" spans="2:21" ht="13" x14ac:dyDescent="0.3">
      <c r="B31" s="340"/>
      <c r="C31" s="340"/>
      <c r="F31" s="84" t="s">
        <v>25</v>
      </c>
      <c r="G31" s="89" t="s">
        <v>212</v>
      </c>
      <c r="H31" s="89" t="str">
        <f>VLOOKUP(F31,'5. Geo'!$B$3:$F$26,5,0)</f>
        <v>MiddleEast</v>
      </c>
      <c r="I31" s="364">
        <f>VLOOKUP(F31,'5. Geo'!$B$3:$F$26,2,0)</f>
        <v>2022</v>
      </c>
      <c r="J31" s="85">
        <v>44680</v>
      </c>
      <c r="K31" s="93">
        <f>'CF (Equity, Debt)'!E27</f>
        <v>-100</v>
      </c>
      <c r="L31" s="93">
        <f>'CF (Equity, Debt)'!F27</f>
        <v>0</v>
      </c>
      <c r="M31" s="93"/>
      <c r="N31" s="93">
        <f t="shared" si="0"/>
        <v>-100</v>
      </c>
      <c r="O31" s="345"/>
      <c r="P31" s="345">
        <f t="shared" si="1"/>
        <v>0</v>
      </c>
      <c r="Q31" s="84" t="s">
        <v>25</v>
      </c>
      <c r="R31" s="93">
        <f t="shared" si="2"/>
        <v>0</v>
      </c>
      <c r="S31" s="93">
        <f t="shared" si="3"/>
        <v>0</v>
      </c>
      <c r="T31" s="93">
        <f t="shared" si="4"/>
        <v>0</v>
      </c>
      <c r="U31" s="93">
        <f t="shared" si="5"/>
        <v>0</v>
      </c>
    </row>
    <row r="32" spans="2:21" ht="13" x14ac:dyDescent="0.3">
      <c r="B32" s="340"/>
      <c r="C32" s="340"/>
      <c r="F32" s="86" t="s">
        <v>49</v>
      </c>
      <c r="G32" s="90" t="s">
        <v>212</v>
      </c>
      <c r="H32" s="90" t="str">
        <f>VLOOKUP(F32,'5. Geo'!$B$3:$F$26,5,0)</f>
        <v>Rest of Asia</v>
      </c>
      <c r="I32" s="365">
        <f>VLOOKUP(F32,'5. Geo'!$B$3:$F$26,2,0)</f>
        <v>2020</v>
      </c>
      <c r="J32" s="87">
        <v>44691</v>
      </c>
      <c r="K32" s="94">
        <f>'CF (Equity, Debt)'!E28</f>
        <v>0</v>
      </c>
      <c r="L32" s="94">
        <f>'CF (Equity, Debt)'!F28</f>
        <v>5</v>
      </c>
      <c r="M32" s="94"/>
      <c r="N32" s="94">
        <f t="shared" si="0"/>
        <v>5</v>
      </c>
      <c r="O32" s="345"/>
      <c r="P32" s="345">
        <f t="shared" si="1"/>
        <v>0</v>
      </c>
      <c r="Q32" s="86" t="s">
        <v>49</v>
      </c>
      <c r="R32" s="94">
        <f t="shared" si="2"/>
        <v>0</v>
      </c>
      <c r="S32" s="94">
        <f t="shared" si="3"/>
        <v>0</v>
      </c>
      <c r="T32" s="94">
        <f t="shared" si="4"/>
        <v>0</v>
      </c>
      <c r="U32" s="94">
        <f t="shared" si="5"/>
        <v>0</v>
      </c>
    </row>
    <row r="33" spans="2:21" ht="13" x14ac:dyDescent="0.3">
      <c r="B33" s="340"/>
      <c r="C33" s="340"/>
      <c r="F33" s="86" t="s">
        <v>132</v>
      </c>
      <c r="G33" s="90" t="s">
        <v>212</v>
      </c>
      <c r="H33" s="90" t="str">
        <f>VLOOKUP(F33,'5. Geo'!$B$3:$F$26,5,0)</f>
        <v>USA</v>
      </c>
      <c r="I33" s="365">
        <f>VLOOKUP(F33,'5. Geo'!$B$3:$F$26,2,0)</f>
        <v>2022</v>
      </c>
      <c r="J33" s="87">
        <v>44712</v>
      </c>
      <c r="K33" s="94">
        <f>'CF (Equity, Debt)'!E29</f>
        <v>-12.5</v>
      </c>
      <c r="L33" s="94">
        <f>'CF (Equity, Debt)'!F29</f>
        <v>0</v>
      </c>
      <c r="M33" s="94"/>
      <c r="N33" s="94">
        <f t="shared" si="0"/>
        <v>-12.5</v>
      </c>
      <c r="O33" s="345"/>
      <c r="P33" s="345">
        <f t="shared" si="1"/>
        <v>0</v>
      </c>
      <c r="Q33" s="86" t="s">
        <v>132</v>
      </c>
      <c r="R33" s="94">
        <f t="shared" si="2"/>
        <v>0</v>
      </c>
      <c r="S33" s="94">
        <f t="shared" si="3"/>
        <v>0</v>
      </c>
      <c r="T33" s="94">
        <f t="shared" si="4"/>
        <v>0</v>
      </c>
      <c r="U33" s="94">
        <f t="shared" si="5"/>
        <v>0</v>
      </c>
    </row>
    <row r="34" spans="2:21" ht="13" x14ac:dyDescent="0.3">
      <c r="B34" s="340"/>
      <c r="C34" s="340"/>
      <c r="F34" s="84" t="s">
        <v>44</v>
      </c>
      <c r="G34" s="89" t="s">
        <v>212</v>
      </c>
      <c r="H34" s="89" t="str">
        <f>VLOOKUP(F34,'5. Geo'!$B$3:$F$26,5,0)</f>
        <v>Asia-China</v>
      </c>
      <c r="I34" s="364">
        <f>VLOOKUP(F34,'5. Geo'!$B$3:$F$26,2,0)</f>
        <v>2022</v>
      </c>
      <c r="J34" s="85">
        <v>44769</v>
      </c>
      <c r="K34" s="93">
        <f>'CF (Equity, Debt)'!E30</f>
        <v>-600</v>
      </c>
      <c r="L34" s="93">
        <f>'CF (Equity, Debt)'!F30</f>
        <v>0</v>
      </c>
      <c r="M34" s="93"/>
      <c r="N34" s="93">
        <f t="shared" si="0"/>
        <v>-600</v>
      </c>
      <c r="O34" s="345"/>
      <c r="P34" s="345">
        <f t="shared" si="1"/>
        <v>1</v>
      </c>
      <c r="Q34" s="84" t="s">
        <v>44</v>
      </c>
      <c r="R34" s="93">
        <f t="shared" si="2"/>
        <v>-600</v>
      </c>
      <c r="S34" s="93">
        <f t="shared" si="3"/>
        <v>0</v>
      </c>
      <c r="T34" s="93">
        <f t="shared" si="4"/>
        <v>0</v>
      </c>
      <c r="U34" s="93">
        <f t="shared" si="5"/>
        <v>-600</v>
      </c>
    </row>
    <row r="35" spans="2:21" ht="13" x14ac:dyDescent="0.3">
      <c r="B35" s="340"/>
      <c r="C35" s="340"/>
      <c r="F35" s="288" t="s">
        <v>58</v>
      </c>
      <c r="G35" s="289" t="s">
        <v>53</v>
      </c>
      <c r="H35" s="289" t="str">
        <f>VLOOKUP(F35,'5. Geo'!$B$3:$F$26,5,0)</f>
        <v>USA</v>
      </c>
      <c r="I35" s="366">
        <f>VLOOKUP(F35,'5. Geo'!$B$3:$F$26,2,0)</f>
        <v>2019</v>
      </c>
      <c r="J35" s="290">
        <v>43635</v>
      </c>
      <c r="K35" s="291">
        <f>'CF (Equity, Debt)'!E42</f>
        <v>-8</v>
      </c>
      <c r="L35" s="291">
        <f>'CF (Equity, Debt)'!F42</f>
        <v>0</v>
      </c>
      <c r="M35" s="291"/>
      <c r="N35" s="291">
        <f t="shared" si="0"/>
        <v>-8</v>
      </c>
      <c r="O35" s="345"/>
      <c r="P35" s="345">
        <f t="shared" si="1"/>
        <v>0</v>
      </c>
      <c r="Q35" s="288" t="s">
        <v>58</v>
      </c>
      <c r="R35" s="291">
        <f t="shared" si="2"/>
        <v>0</v>
      </c>
      <c r="S35" s="291">
        <f t="shared" si="3"/>
        <v>0</v>
      </c>
      <c r="T35" s="291">
        <f t="shared" si="4"/>
        <v>0</v>
      </c>
      <c r="U35" s="291">
        <f t="shared" si="5"/>
        <v>0</v>
      </c>
    </row>
    <row r="36" spans="2:21" ht="13" x14ac:dyDescent="0.3">
      <c r="B36" s="340"/>
      <c r="C36" s="340"/>
      <c r="F36" s="288" t="s">
        <v>0</v>
      </c>
      <c r="G36" s="289" t="s">
        <v>53</v>
      </c>
      <c r="H36" s="289" t="str">
        <f>VLOOKUP(F36,'5. Geo'!$B$3:$F$26,5,0)</f>
        <v>Asia-China</v>
      </c>
      <c r="I36" s="366">
        <f>VLOOKUP(F36,'5. Geo'!$B$3:$F$26,2,0)</f>
        <v>2019</v>
      </c>
      <c r="J36" s="290">
        <v>44293</v>
      </c>
      <c r="K36" s="291">
        <f>'CF (Equity, Debt)'!E43</f>
        <v>-2.3539819999999998</v>
      </c>
      <c r="L36" s="291">
        <f>'CF (Equity, Debt)'!F43</f>
        <v>0</v>
      </c>
      <c r="M36" s="291"/>
      <c r="N36" s="291">
        <f t="shared" si="0"/>
        <v>-2.3539819999999998</v>
      </c>
      <c r="O36" s="345"/>
      <c r="P36" s="345">
        <f t="shared" si="1"/>
        <v>1</v>
      </c>
      <c r="Q36" s="288" t="s">
        <v>0</v>
      </c>
      <c r="R36" s="291">
        <f t="shared" si="2"/>
        <v>-2.3539819999999998</v>
      </c>
      <c r="S36" s="291">
        <f t="shared" si="3"/>
        <v>0</v>
      </c>
      <c r="T36" s="291">
        <f t="shared" si="4"/>
        <v>0</v>
      </c>
      <c r="U36" s="291">
        <f t="shared" si="5"/>
        <v>-2.3539819999999998</v>
      </c>
    </row>
    <row r="37" spans="2:21" ht="13" x14ac:dyDescent="0.3">
      <c r="B37" s="340"/>
      <c r="C37" s="340"/>
      <c r="F37" s="288" t="s">
        <v>49</v>
      </c>
      <c r="G37" s="289" t="s">
        <v>53</v>
      </c>
      <c r="H37" s="289" t="str">
        <f>VLOOKUP(F37,'5. Geo'!$B$3:$F$26,5,0)</f>
        <v>Rest of Asia</v>
      </c>
      <c r="I37" s="366">
        <f>VLOOKUP(F37,'5. Geo'!$B$3:$F$26,2,0)</f>
        <v>2020</v>
      </c>
      <c r="J37" s="290">
        <v>44384</v>
      </c>
      <c r="K37" s="291">
        <f>'CF (Equity, Debt)'!E44</f>
        <v>-0.41176499999999999</v>
      </c>
      <c r="L37" s="291">
        <f>'CF (Equity, Debt)'!F44</f>
        <v>0</v>
      </c>
      <c r="M37" s="291"/>
      <c r="N37" s="291">
        <f t="shared" si="0"/>
        <v>-0.41176499999999999</v>
      </c>
      <c r="O37" s="345"/>
      <c r="P37" s="345">
        <f t="shared" si="1"/>
        <v>0</v>
      </c>
      <c r="Q37" s="288" t="s">
        <v>49</v>
      </c>
      <c r="R37" s="291">
        <f t="shared" si="2"/>
        <v>0</v>
      </c>
      <c r="S37" s="291">
        <f t="shared" si="3"/>
        <v>0</v>
      </c>
      <c r="T37" s="291">
        <f t="shared" si="4"/>
        <v>0</v>
      </c>
      <c r="U37" s="291">
        <f t="shared" si="5"/>
        <v>0</v>
      </c>
    </row>
    <row r="38" spans="2:21" ht="13" x14ac:dyDescent="0.3">
      <c r="B38" s="340"/>
      <c r="C38" s="340"/>
      <c r="F38" s="288" t="s">
        <v>15</v>
      </c>
      <c r="G38" s="289" t="s">
        <v>63</v>
      </c>
      <c r="H38" s="289" t="str">
        <f>VLOOKUP(F38,'5. Geo'!$B$3:$F$26,5,0)</f>
        <v>Asia-China</v>
      </c>
      <c r="I38" s="366">
        <f>VLOOKUP(F38,'5. Geo'!$B$3:$F$26,2,0)</f>
        <v>2020</v>
      </c>
      <c r="J38" s="289" t="s">
        <v>16</v>
      </c>
      <c r="K38" s="291">
        <f>'CF (Funds)'!D3</f>
        <v>-10.5</v>
      </c>
      <c r="L38" s="291">
        <f>'CF (Funds)'!E3</f>
        <v>0</v>
      </c>
      <c r="M38" s="291"/>
      <c r="N38" s="291">
        <f t="shared" si="0"/>
        <v>-10.5</v>
      </c>
      <c r="O38" s="345"/>
      <c r="P38" s="345">
        <f t="shared" si="1"/>
        <v>1</v>
      </c>
      <c r="Q38" s="288" t="s">
        <v>15</v>
      </c>
      <c r="R38" s="291">
        <f t="shared" si="2"/>
        <v>-10.5</v>
      </c>
      <c r="S38" s="291">
        <f t="shared" si="3"/>
        <v>0</v>
      </c>
      <c r="T38" s="291">
        <f t="shared" si="4"/>
        <v>0</v>
      </c>
      <c r="U38" s="291">
        <f t="shared" si="5"/>
        <v>-10.5</v>
      </c>
    </row>
    <row r="39" spans="2:21" ht="13" x14ac:dyDescent="0.3">
      <c r="B39" s="340"/>
      <c r="C39" s="340"/>
      <c r="F39" s="288" t="s">
        <v>15</v>
      </c>
      <c r="G39" s="289" t="s">
        <v>63</v>
      </c>
      <c r="H39" s="289" t="str">
        <f>VLOOKUP(F39,'5. Geo'!$B$3:$F$26,5,0)</f>
        <v>Asia-China</v>
      </c>
      <c r="I39" s="366">
        <f>VLOOKUP(F39,'5. Geo'!$B$3:$F$26,2,0)</f>
        <v>2020</v>
      </c>
      <c r="J39" s="290">
        <v>44238</v>
      </c>
      <c r="K39" s="291">
        <f>'CF (Funds)'!D4</f>
        <v>4.2140269999999997</v>
      </c>
      <c r="L39" s="291">
        <f>'CF (Funds)'!E4</f>
        <v>0</v>
      </c>
      <c r="M39" s="291"/>
      <c r="N39" s="291">
        <f t="shared" si="0"/>
        <v>4.2140269999999997</v>
      </c>
      <c r="O39" s="345"/>
      <c r="P39" s="345">
        <f t="shared" si="1"/>
        <v>1</v>
      </c>
      <c r="Q39" s="288" t="s">
        <v>15</v>
      </c>
      <c r="R39" s="291">
        <f t="shared" si="2"/>
        <v>4.2140269999999997</v>
      </c>
      <c r="S39" s="291">
        <f t="shared" si="3"/>
        <v>0</v>
      </c>
      <c r="T39" s="291">
        <f t="shared" si="4"/>
        <v>0</v>
      </c>
      <c r="U39" s="291">
        <f t="shared" si="5"/>
        <v>4.2140269999999997</v>
      </c>
    </row>
    <row r="40" spans="2:21" ht="13" x14ac:dyDescent="0.3">
      <c r="B40" s="340"/>
      <c r="C40" s="340"/>
      <c r="F40" s="288" t="s">
        <v>15</v>
      </c>
      <c r="G40" s="289" t="s">
        <v>63</v>
      </c>
      <c r="H40" s="289" t="str">
        <f>VLOOKUP(F40,'5. Geo'!$B$3:$F$26,5,0)</f>
        <v>Asia-China</v>
      </c>
      <c r="I40" s="366">
        <f>VLOOKUP(F40,'5. Geo'!$B$3:$F$26,2,0)</f>
        <v>2020</v>
      </c>
      <c r="J40" s="290">
        <v>44238</v>
      </c>
      <c r="K40" s="291">
        <f>'CF (Funds)'!D5</f>
        <v>0</v>
      </c>
      <c r="L40" s="291">
        <f>'CF (Funds)'!E5</f>
        <v>5.0448349999999996E-2</v>
      </c>
      <c r="M40" s="291"/>
      <c r="N40" s="291">
        <f t="shared" si="0"/>
        <v>5.0448349999999996E-2</v>
      </c>
      <c r="O40" s="345"/>
      <c r="P40" s="345">
        <f t="shared" si="1"/>
        <v>1</v>
      </c>
      <c r="Q40" s="288" t="s">
        <v>15</v>
      </c>
      <c r="R40" s="291">
        <f t="shared" si="2"/>
        <v>0</v>
      </c>
      <c r="S40" s="291">
        <f t="shared" si="3"/>
        <v>5.0448349999999996E-2</v>
      </c>
      <c r="T40" s="291">
        <f t="shared" si="4"/>
        <v>0</v>
      </c>
      <c r="U40" s="291">
        <f t="shared" si="5"/>
        <v>5.0448349999999996E-2</v>
      </c>
    </row>
    <row r="41" spans="2:21" ht="13" x14ac:dyDescent="0.3">
      <c r="B41" s="340"/>
      <c r="C41" s="340"/>
      <c r="F41" s="288" t="s">
        <v>15</v>
      </c>
      <c r="G41" s="289" t="s">
        <v>63</v>
      </c>
      <c r="H41" s="289" t="str">
        <f>VLOOKUP(F41,'5. Geo'!$B$3:$F$26,5,0)</f>
        <v>Asia-China</v>
      </c>
      <c r="I41" s="366">
        <f>VLOOKUP(F41,'5. Geo'!$B$3:$F$26,2,0)</f>
        <v>2020</v>
      </c>
      <c r="J41" s="290">
        <v>44285</v>
      </c>
      <c r="K41" s="291">
        <f>'CF (Funds)'!D6</f>
        <v>-6.4337459999999993</v>
      </c>
      <c r="L41" s="291">
        <f>'CF (Funds)'!E6</f>
        <v>0</v>
      </c>
      <c r="M41" s="291"/>
      <c r="N41" s="291">
        <f t="shared" si="0"/>
        <v>-6.4337459999999993</v>
      </c>
      <c r="O41" s="345"/>
      <c r="P41" s="345">
        <f t="shared" si="1"/>
        <v>1</v>
      </c>
      <c r="Q41" s="288" t="s">
        <v>15</v>
      </c>
      <c r="R41" s="291">
        <f t="shared" si="2"/>
        <v>-6.4337459999999993</v>
      </c>
      <c r="S41" s="291">
        <f t="shared" si="3"/>
        <v>0</v>
      </c>
      <c r="T41" s="291">
        <f t="shared" si="4"/>
        <v>0</v>
      </c>
      <c r="U41" s="291">
        <f t="shared" si="5"/>
        <v>-6.4337459999999993</v>
      </c>
    </row>
    <row r="42" spans="2:21" ht="13" x14ac:dyDescent="0.3">
      <c r="F42" s="288" t="s">
        <v>15</v>
      </c>
      <c r="G42" s="289" t="s">
        <v>63</v>
      </c>
      <c r="H42" s="289" t="str">
        <f>VLOOKUP(F42,'5. Geo'!$B$3:$F$26,5,0)</f>
        <v>Asia-China</v>
      </c>
      <c r="I42" s="366">
        <f>VLOOKUP(F42,'5. Geo'!$B$3:$F$26,2,0)</f>
        <v>2020</v>
      </c>
      <c r="J42" s="290">
        <v>44269</v>
      </c>
      <c r="K42" s="291">
        <f>'CF (Funds)'!D7</f>
        <v>1.1352073899999999</v>
      </c>
      <c r="L42" s="291">
        <f>'CF (Funds)'!E7</f>
        <v>0</v>
      </c>
      <c r="M42" s="291"/>
      <c r="N42" s="291">
        <f t="shared" si="0"/>
        <v>1.1352073899999999</v>
      </c>
      <c r="O42" s="345"/>
      <c r="P42" s="345">
        <f t="shared" si="1"/>
        <v>1</v>
      </c>
      <c r="Q42" s="288" t="s">
        <v>15</v>
      </c>
      <c r="R42" s="291">
        <f t="shared" si="2"/>
        <v>1.1352073899999999</v>
      </c>
      <c r="S42" s="291">
        <f t="shared" si="3"/>
        <v>0</v>
      </c>
      <c r="T42" s="291">
        <f t="shared" si="4"/>
        <v>0</v>
      </c>
      <c r="U42" s="291">
        <f t="shared" si="5"/>
        <v>1.1352073899999999</v>
      </c>
    </row>
    <row r="43" spans="2:21" ht="13" x14ac:dyDescent="0.3">
      <c r="F43" s="288" t="s">
        <v>15</v>
      </c>
      <c r="G43" s="289" t="s">
        <v>63</v>
      </c>
      <c r="H43" s="289" t="str">
        <f>VLOOKUP(F43,'5. Geo'!$B$3:$F$26,5,0)</f>
        <v>Asia-China</v>
      </c>
      <c r="I43" s="366">
        <f>VLOOKUP(F43,'5. Geo'!$B$3:$F$26,2,0)</f>
        <v>2020</v>
      </c>
      <c r="J43" s="290">
        <v>44269</v>
      </c>
      <c r="K43" s="291">
        <f>'CF (Funds)'!D8</f>
        <v>0</v>
      </c>
      <c r="L43" s="291">
        <f>'CF (Funds)'!E8</f>
        <v>2.5899999999999999E-2</v>
      </c>
      <c r="M43" s="291"/>
      <c r="N43" s="291">
        <f t="shared" si="0"/>
        <v>2.5899999999999999E-2</v>
      </c>
      <c r="O43" s="345"/>
      <c r="P43" s="345">
        <f t="shared" si="1"/>
        <v>1</v>
      </c>
      <c r="Q43" s="288" t="s">
        <v>15</v>
      </c>
      <c r="R43" s="291">
        <f t="shared" si="2"/>
        <v>0</v>
      </c>
      <c r="S43" s="291">
        <f t="shared" si="3"/>
        <v>2.5899999999999999E-2</v>
      </c>
      <c r="T43" s="291">
        <f t="shared" si="4"/>
        <v>0</v>
      </c>
      <c r="U43" s="291">
        <f t="shared" si="5"/>
        <v>2.5899999999999999E-2</v>
      </c>
    </row>
    <row r="44" spans="2:21" ht="13" x14ac:dyDescent="0.3">
      <c r="F44" s="288" t="s">
        <v>15</v>
      </c>
      <c r="G44" s="289" t="s">
        <v>63</v>
      </c>
      <c r="H44" s="289" t="str">
        <f>VLOOKUP(F44,'5. Geo'!$B$3:$F$26,5,0)</f>
        <v>Asia-China</v>
      </c>
      <c r="I44" s="366">
        <f>VLOOKUP(F44,'5. Geo'!$B$3:$F$26,2,0)</f>
        <v>2020</v>
      </c>
      <c r="J44" s="290">
        <v>44483</v>
      </c>
      <c r="K44" s="291">
        <f>'CF (Funds)'!D9</f>
        <v>-7.5671379999999999</v>
      </c>
      <c r="L44" s="291">
        <f>'CF (Funds)'!E9</f>
        <v>0</v>
      </c>
      <c r="M44" s="291"/>
      <c r="N44" s="291">
        <f t="shared" si="0"/>
        <v>-7.5671379999999999</v>
      </c>
      <c r="O44" s="345"/>
      <c r="P44" s="345">
        <f t="shared" si="1"/>
        <v>1</v>
      </c>
      <c r="Q44" s="288" t="s">
        <v>15</v>
      </c>
      <c r="R44" s="291">
        <f t="shared" si="2"/>
        <v>-7.5671379999999999</v>
      </c>
      <c r="S44" s="291">
        <f t="shared" si="3"/>
        <v>0</v>
      </c>
      <c r="T44" s="291">
        <f t="shared" si="4"/>
        <v>0</v>
      </c>
      <c r="U44" s="291">
        <f t="shared" si="5"/>
        <v>-7.5671379999999999</v>
      </c>
    </row>
    <row r="45" spans="2:21" ht="13" x14ac:dyDescent="0.3">
      <c r="F45" s="288" t="s">
        <v>15</v>
      </c>
      <c r="G45" s="289" t="s">
        <v>63</v>
      </c>
      <c r="H45" s="289" t="str">
        <f>VLOOKUP(F45,'5. Geo'!$B$3:$F$26,5,0)</f>
        <v>Asia-China</v>
      </c>
      <c r="I45" s="366">
        <f>VLOOKUP(F45,'5. Geo'!$B$3:$F$26,2,0)</f>
        <v>2020</v>
      </c>
      <c r="J45" s="290">
        <v>44554</v>
      </c>
      <c r="K45" s="291">
        <f>'CF (Funds)'!D10</f>
        <v>-7.3850159999999994</v>
      </c>
      <c r="L45" s="291">
        <f>'CF (Funds)'!E10</f>
        <v>0</v>
      </c>
      <c r="M45" s="291"/>
      <c r="N45" s="291">
        <f t="shared" si="0"/>
        <v>-7.3850159999999994</v>
      </c>
      <c r="O45" s="345"/>
      <c r="P45" s="345">
        <f t="shared" si="1"/>
        <v>1</v>
      </c>
      <c r="Q45" s="288" t="s">
        <v>15</v>
      </c>
      <c r="R45" s="291">
        <f t="shared" si="2"/>
        <v>-7.3850159999999994</v>
      </c>
      <c r="S45" s="291">
        <f t="shared" si="3"/>
        <v>0</v>
      </c>
      <c r="T45" s="291">
        <f t="shared" si="4"/>
        <v>0</v>
      </c>
      <c r="U45" s="291">
        <f t="shared" si="5"/>
        <v>-7.3850159999999994</v>
      </c>
    </row>
    <row r="46" spans="2:21" ht="13" x14ac:dyDescent="0.3">
      <c r="F46" s="288" t="s">
        <v>15</v>
      </c>
      <c r="G46" s="289" t="s">
        <v>63</v>
      </c>
      <c r="H46" s="289" t="str">
        <f>VLOOKUP(F46,'5. Geo'!$B$3:$F$26,5,0)</f>
        <v>Asia-China</v>
      </c>
      <c r="I46" s="366">
        <f>VLOOKUP(F46,'5. Geo'!$B$3:$F$26,2,0)</f>
        <v>2020</v>
      </c>
      <c r="J46" s="290">
        <v>44554</v>
      </c>
      <c r="K46" s="291">
        <f>'CF (Funds)'!D11</f>
        <v>4.0733456099999996</v>
      </c>
      <c r="L46" s="291">
        <f>'CF (Funds)'!E11</f>
        <v>0</v>
      </c>
      <c r="M46" s="291"/>
      <c r="N46" s="291">
        <f t="shared" si="0"/>
        <v>4.0733456099999996</v>
      </c>
      <c r="O46" s="345"/>
      <c r="P46" s="345">
        <f t="shared" si="1"/>
        <v>1</v>
      </c>
      <c r="Q46" s="288" t="s">
        <v>15</v>
      </c>
      <c r="R46" s="291">
        <f t="shared" si="2"/>
        <v>4.0733456099999996</v>
      </c>
      <c r="S46" s="291">
        <f t="shared" si="3"/>
        <v>0</v>
      </c>
      <c r="T46" s="291">
        <f t="shared" si="4"/>
        <v>0</v>
      </c>
      <c r="U46" s="291">
        <f t="shared" si="5"/>
        <v>4.0733456099999996</v>
      </c>
    </row>
    <row r="47" spans="2:21" ht="13" x14ac:dyDescent="0.3">
      <c r="F47" s="288" t="s">
        <v>15</v>
      </c>
      <c r="G47" s="289" t="s">
        <v>63</v>
      </c>
      <c r="H47" s="289" t="str">
        <f>VLOOKUP(F47,'5. Geo'!$B$3:$F$26,5,0)</f>
        <v>Asia-China</v>
      </c>
      <c r="I47" s="366">
        <f>VLOOKUP(F47,'5. Geo'!$B$3:$F$26,2,0)</f>
        <v>2020</v>
      </c>
      <c r="J47" s="290">
        <v>44554</v>
      </c>
      <c r="K47" s="291">
        <f>'CF (Funds)'!D12</f>
        <v>0</v>
      </c>
      <c r="L47" s="291">
        <f>'CF (Funds)'!E12</f>
        <v>0.13969399999999998</v>
      </c>
      <c r="M47" s="291"/>
      <c r="N47" s="291">
        <f t="shared" si="0"/>
        <v>0.13969399999999998</v>
      </c>
      <c r="O47" s="345"/>
      <c r="P47" s="345">
        <f t="shared" si="1"/>
        <v>1</v>
      </c>
      <c r="Q47" s="288" t="s">
        <v>15</v>
      </c>
      <c r="R47" s="291">
        <f t="shared" si="2"/>
        <v>0</v>
      </c>
      <c r="S47" s="291">
        <f t="shared" si="3"/>
        <v>0.13969399999999998</v>
      </c>
      <c r="T47" s="291">
        <f t="shared" si="4"/>
        <v>0</v>
      </c>
      <c r="U47" s="291">
        <f t="shared" si="5"/>
        <v>0.13969399999999998</v>
      </c>
    </row>
    <row r="48" spans="2:21" ht="13" x14ac:dyDescent="0.3">
      <c r="F48" s="288" t="s">
        <v>15</v>
      </c>
      <c r="G48" s="289" t="s">
        <v>63</v>
      </c>
      <c r="H48" s="289" t="str">
        <f>VLOOKUP(F48,'5. Geo'!$B$3:$F$26,5,0)</f>
        <v>Asia-China</v>
      </c>
      <c r="I48" s="366">
        <f>VLOOKUP(F48,'5. Geo'!$B$3:$F$26,2,0)</f>
        <v>2020</v>
      </c>
      <c r="J48" s="290">
        <v>44703</v>
      </c>
      <c r="K48" s="291">
        <f>'CF (Funds)'!D13</f>
        <v>5.6730739999999997</v>
      </c>
      <c r="L48" s="291">
        <f>'CF (Funds)'!E13</f>
        <v>0</v>
      </c>
      <c r="M48" s="291"/>
      <c r="N48" s="291">
        <f t="shared" si="0"/>
        <v>5.6730739999999997</v>
      </c>
      <c r="O48" s="345"/>
      <c r="P48" s="345">
        <f t="shared" si="1"/>
        <v>1</v>
      </c>
      <c r="Q48" s="288" t="s">
        <v>15</v>
      </c>
      <c r="R48" s="291">
        <f t="shared" si="2"/>
        <v>5.6730739999999997</v>
      </c>
      <c r="S48" s="291">
        <f t="shared" si="3"/>
        <v>0</v>
      </c>
      <c r="T48" s="291">
        <f t="shared" si="4"/>
        <v>0</v>
      </c>
      <c r="U48" s="291">
        <f t="shared" si="5"/>
        <v>5.6730739999999997</v>
      </c>
    </row>
    <row r="49" spans="6:21" ht="13" x14ac:dyDescent="0.3">
      <c r="F49" s="288" t="s">
        <v>15</v>
      </c>
      <c r="G49" s="289" t="s">
        <v>63</v>
      </c>
      <c r="H49" s="289" t="str">
        <f>VLOOKUP(F49,'5. Geo'!$B$3:$F$26,5,0)</f>
        <v>Asia-China</v>
      </c>
      <c r="I49" s="366">
        <f>VLOOKUP(F49,'5. Geo'!$B$3:$F$26,2,0)</f>
        <v>2020</v>
      </c>
      <c r="J49" s="290">
        <v>44703</v>
      </c>
      <c r="K49" s="291">
        <f>'CF (Funds)'!D14</f>
        <v>0</v>
      </c>
      <c r="L49" s="291">
        <f>'CF (Funds)'!E14</f>
        <v>0.22778599999999999</v>
      </c>
      <c r="M49" s="291"/>
      <c r="N49" s="291">
        <f t="shared" si="0"/>
        <v>0.22778599999999999</v>
      </c>
      <c r="O49" s="345"/>
      <c r="P49" s="345">
        <f t="shared" si="1"/>
        <v>1</v>
      </c>
      <c r="Q49" s="288" t="s">
        <v>15</v>
      </c>
      <c r="R49" s="291">
        <f t="shared" si="2"/>
        <v>0</v>
      </c>
      <c r="S49" s="291">
        <f t="shared" si="3"/>
        <v>0.22778599999999999</v>
      </c>
      <c r="T49" s="291">
        <f t="shared" si="4"/>
        <v>0</v>
      </c>
      <c r="U49" s="291">
        <f t="shared" si="5"/>
        <v>0.22778599999999999</v>
      </c>
    </row>
    <row r="50" spans="6:21" ht="13" x14ac:dyDescent="0.3">
      <c r="F50" s="292" t="s">
        <v>1</v>
      </c>
      <c r="G50" s="293" t="s">
        <v>63</v>
      </c>
      <c r="H50" s="293" t="str">
        <f>VLOOKUP(F50,'5. Geo'!$B$3:$F$26,5,0)</f>
        <v>Asia-China</v>
      </c>
      <c r="I50" s="367">
        <f>VLOOKUP(F50,'5. Geo'!$B$3:$F$26,2,0)</f>
        <v>2020</v>
      </c>
      <c r="J50" s="294" t="s">
        <v>22</v>
      </c>
      <c r="K50" s="295">
        <f>'CF (Funds)'!D18</f>
        <v>-3</v>
      </c>
      <c r="L50" s="295">
        <f>'CF (Funds)'!E18</f>
        <v>0</v>
      </c>
      <c r="M50" s="295"/>
      <c r="N50" s="295">
        <f t="shared" si="0"/>
        <v>-3</v>
      </c>
      <c r="O50" s="345"/>
      <c r="P50" s="345">
        <f t="shared" si="1"/>
        <v>1</v>
      </c>
      <c r="Q50" s="292" t="s">
        <v>1</v>
      </c>
      <c r="R50" s="295">
        <f t="shared" si="2"/>
        <v>-3</v>
      </c>
      <c r="S50" s="295">
        <f t="shared" si="3"/>
        <v>0</v>
      </c>
      <c r="T50" s="295">
        <f t="shared" si="4"/>
        <v>0</v>
      </c>
      <c r="U50" s="295">
        <f t="shared" si="5"/>
        <v>-3</v>
      </c>
    </row>
    <row r="51" spans="6:21" ht="13" x14ac:dyDescent="0.3">
      <c r="F51" s="292" t="s">
        <v>1</v>
      </c>
      <c r="G51" s="293" t="s">
        <v>63</v>
      </c>
      <c r="H51" s="293" t="str">
        <f>VLOOKUP(F51,'5. Geo'!$B$3:$F$26,5,0)</f>
        <v>Asia-China</v>
      </c>
      <c r="I51" s="367">
        <f>VLOOKUP(F51,'5. Geo'!$B$3:$F$26,2,0)</f>
        <v>2020</v>
      </c>
      <c r="J51" s="294">
        <v>43983</v>
      </c>
      <c r="K51" s="295">
        <f>'CF (Funds)'!D19</f>
        <v>-4.4849999999999994</v>
      </c>
      <c r="L51" s="295">
        <f>'CF (Funds)'!E19</f>
        <v>0</v>
      </c>
      <c r="M51" s="295"/>
      <c r="N51" s="295">
        <f t="shared" si="0"/>
        <v>-4.4849999999999994</v>
      </c>
      <c r="O51" s="345"/>
      <c r="P51" s="345">
        <f t="shared" si="1"/>
        <v>1</v>
      </c>
      <c r="Q51" s="292" t="s">
        <v>1</v>
      </c>
      <c r="R51" s="295">
        <f t="shared" si="2"/>
        <v>-4.4849999999999994</v>
      </c>
      <c r="S51" s="295">
        <f t="shared" si="3"/>
        <v>0</v>
      </c>
      <c r="T51" s="295">
        <f t="shared" si="4"/>
        <v>0</v>
      </c>
      <c r="U51" s="295">
        <f t="shared" si="5"/>
        <v>-4.4849999999999994</v>
      </c>
    </row>
    <row r="52" spans="6:21" ht="13" x14ac:dyDescent="0.3">
      <c r="F52" s="292" t="s">
        <v>1</v>
      </c>
      <c r="G52" s="293" t="s">
        <v>63</v>
      </c>
      <c r="H52" s="293" t="str">
        <f>VLOOKUP(F52,'5. Geo'!$B$3:$F$26,5,0)</f>
        <v>Asia-China</v>
      </c>
      <c r="I52" s="367">
        <f>VLOOKUP(F52,'5. Geo'!$B$3:$F$26,2,0)</f>
        <v>2020</v>
      </c>
      <c r="J52" s="294" t="s">
        <v>10</v>
      </c>
      <c r="K52" s="295">
        <f>'CF (Funds)'!D20</f>
        <v>-9.5097500000000004</v>
      </c>
      <c r="L52" s="295">
        <f>'CF (Funds)'!E20</f>
        <v>0</v>
      </c>
      <c r="M52" s="295"/>
      <c r="N52" s="295">
        <f t="shared" si="0"/>
        <v>-9.5097500000000004</v>
      </c>
      <c r="O52" s="345"/>
      <c r="P52" s="345">
        <f t="shared" si="1"/>
        <v>1</v>
      </c>
      <c r="Q52" s="292" t="s">
        <v>1</v>
      </c>
      <c r="R52" s="295">
        <f t="shared" si="2"/>
        <v>-9.5097500000000004</v>
      </c>
      <c r="S52" s="295">
        <f t="shared" si="3"/>
        <v>0</v>
      </c>
      <c r="T52" s="295">
        <f t="shared" si="4"/>
        <v>0</v>
      </c>
      <c r="U52" s="295">
        <f t="shared" si="5"/>
        <v>-9.5097500000000004</v>
      </c>
    </row>
    <row r="53" spans="6:21" ht="13" x14ac:dyDescent="0.3">
      <c r="F53" s="292" t="s">
        <v>1</v>
      </c>
      <c r="G53" s="293" t="s">
        <v>63</v>
      </c>
      <c r="H53" s="293" t="str">
        <f>VLOOKUP(F53,'5. Geo'!$B$3:$F$26,5,0)</f>
        <v>Asia-China</v>
      </c>
      <c r="I53" s="367">
        <f>VLOOKUP(F53,'5. Geo'!$B$3:$F$26,2,0)</f>
        <v>2020</v>
      </c>
      <c r="J53" s="294" t="s">
        <v>23</v>
      </c>
      <c r="K53" s="295">
        <f>'CF (Funds)'!D21</f>
        <v>-41.3</v>
      </c>
      <c r="L53" s="295">
        <f>'CF (Funds)'!E21</f>
        <v>0</v>
      </c>
      <c r="M53" s="295"/>
      <c r="N53" s="295">
        <f t="shared" si="0"/>
        <v>-41.3</v>
      </c>
      <c r="O53" s="345"/>
      <c r="P53" s="345">
        <f t="shared" si="1"/>
        <v>1</v>
      </c>
      <c r="Q53" s="292" t="s">
        <v>1</v>
      </c>
      <c r="R53" s="295">
        <f t="shared" si="2"/>
        <v>-41.3</v>
      </c>
      <c r="S53" s="295">
        <f t="shared" si="3"/>
        <v>0</v>
      </c>
      <c r="T53" s="295">
        <f t="shared" si="4"/>
        <v>0</v>
      </c>
      <c r="U53" s="295">
        <f t="shared" si="5"/>
        <v>-41.3</v>
      </c>
    </row>
    <row r="54" spans="6:21" ht="13" x14ac:dyDescent="0.3">
      <c r="F54" s="292" t="s">
        <v>1</v>
      </c>
      <c r="G54" s="293" t="s">
        <v>63</v>
      </c>
      <c r="H54" s="293" t="str">
        <f>VLOOKUP(F54,'5. Geo'!$B$3:$F$26,5,0)</f>
        <v>Asia-China</v>
      </c>
      <c r="I54" s="367">
        <f>VLOOKUP(F54,'5. Geo'!$B$3:$F$26,2,0)</f>
        <v>2020</v>
      </c>
      <c r="J54" s="294" t="s">
        <v>157</v>
      </c>
      <c r="K54" s="295">
        <f>'CF (Funds)'!D22</f>
        <v>9.9499999999999993</v>
      </c>
      <c r="L54" s="295">
        <f>'CF (Funds)'!E22</f>
        <v>0</v>
      </c>
      <c r="M54" s="295"/>
      <c r="N54" s="295">
        <f t="shared" si="0"/>
        <v>9.9499999999999993</v>
      </c>
      <c r="O54" s="345"/>
      <c r="P54" s="345">
        <f t="shared" si="1"/>
        <v>1</v>
      </c>
      <c r="Q54" s="292" t="s">
        <v>1</v>
      </c>
      <c r="R54" s="295">
        <f t="shared" si="2"/>
        <v>9.9499999999999993</v>
      </c>
      <c r="S54" s="295">
        <f t="shared" si="3"/>
        <v>0</v>
      </c>
      <c r="T54" s="295">
        <f t="shared" si="4"/>
        <v>0</v>
      </c>
      <c r="U54" s="295">
        <f t="shared" si="5"/>
        <v>9.9499999999999993</v>
      </c>
    </row>
    <row r="55" spans="6:21" ht="13" x14ac:dyDescent="0.3">
      <c r="F55" s="292" t="s">
        <v>1</v>
      </c>
      <c r="G55" s="293" t="s">
        <v>63</v>
      </c>
      <c r="H55" s="293" t="str">
        <f>VLOOKUP(F55,'5. Geo'!$B$3:$F$26,5,0)</f>
        <v>Asia-China</v>
      </c>
      <c r="I55" s="367">
        <f>VLOOKUP(F55,'5. Geo'!$B$3:$F$26,2,0)</f>
        <v>2020</v>
      </c>
      <c r="J55" s="294" t="s">
        <v>157</v>
      </c>
      <c r="K55" s="295">
        <f>'CF (Funds)'!D23</f>
        <v>-10.455</v>
      </c>
      <c r="L55" s="295">
        <f>'CF (Funds)'!E23</f>
        <v>0</v>
      </c>
      <c r="M55" s="295"/>
      <c r="N55" s="295">
        <f t="shared" si="0"/>
        <v>-10.455</v>
      </c>
      <c r="O55" s="345"/>
      <c r="P55" s="345">
        <f t="shared" si="1"/>
        <v>1</v>
      </c>
      <c r="Q55" s="292" t="s">
        <v>1</v>
      </c>
      <c r="R55" s="295">
        <f t="shared" si="2"/>
        <v>-10.455</v>
      </c>
      <c r="S55" s="295">
        <f t="shared" si="3"/>
        <v>0</v>
      </c>
      <c r="T55" s="295">
        <f t="shared" si="4"/>
        <v>0</v>
      </c>
      <c r="U55" s="295">
        <f t="shared" si="5"/>
        <v>-10.455</v>
      </c>
    </row>
    <row r="56" spans="6:21" ht="13" x14ac:dyDescent="0.3">
      <c r="F56" s="292" t="s">
        <v>1</v>
      </c>
      <c r="G56" s="293" t="s">
        <v>63</v>
      </c>
      <c r="H56" s="293" t="str">
        <f>VLOOKUP(F56,'5. Geo'!$B$3:$F$26,5,0)</f>
        <v>Asia-China</v>
      </c>
      <c r="I56" s="367">
        <f>VLOOKUP(F56,'5. Geo'!$B$3:$F$26,2,0)</f>
        <v>2020</v>
      </c>
      <c r="J56" s="294" t="s">
        <v>26</v>
      </c>
      <c r="K56" s="295">
        <f>'CF (Funds)'!D24</f>
        <v>4.9749999999999996</v>
      </c>
      <c r="L56" s="295">
        <f>'CF (Funds)'!E24</f>
        <v>0</v>
      </c>
      <c r="M56" s="295"/>
      <c r="N56" s="295">
        <f t="shared" si="0"/>
        <v>4.9749999999999996</v>
      </c>
      <c r="O56" s="345"/>
      <c r="P56" s="345">
        <f t="shared" si="1"/>
        <v>1</v>
      </c>
      <c r="Q56" s="292" t="s">
        <v>1</v>
      </c>
      <c r="R56" s="295">
        <f t="shared" si="2"/>
        <v>4.9749999999999996</v>
      </c>
      <c r="S56" s="295">
        <f t="shared" si="3"/>
        <v>0</v>
      </c>
      <c r="T56" s="295">
        <f t="shared" si="4"/>
        <v>0</v>
      </c>
      <c r="U56" s="295">
        <f t="shared" si="5"/>
        <v>4.9749999999999996</v>
      </c>
    </row>
    <row r="57" spans="6:21" ht="13" x14ac:dyDescent="0.3">
      <c r="F57" s="292" t="s">
        <v>1</v>
      </c>
      <c r="G57" s="293" t="s">
        <v>63</v>
      </c>
      <c r="H57" s="293" t="str">
        <f>VLOOKUP(F57,'5. Geo'!$B$3:$F$26,5,0)</f>
        <v>Asia-China</v>
      </c>
      <c r="I57" s="367">
        <f>VLOOKUP(F57,'5. Geo'!$B$3:$F$26,2,0)</f>
        <v>2020</v>
      </c>
      <c r="J57" s="294" t="s">
        <v>26</v>
      </c>
      <c r="K57" s="295">
        <f>'CF (Funds)'!D25</f>
        <v>-3.4522930000000001</v>
      </c>
      <c r="L57" s="295">
        <f>'CF (Funds)'!E25</f>
        <v>0</v>
      </c>
      <c r="M57" s="295"/>
      <c r="N57" s="295">
        <f t="shared" si="0"/>
        <v>-3.4522930000000001</v>
      </c>
      <c r="O57" s="345"/>
      <c r="P57" s="345">
        <f t="shared" si="1"/>
        <v>1</v>
      </c>
      <c r="Q57" s="292" t="s">
        <v>1</v>
      </c>
      <c r="R57" s="295">
        <f t="shared" si="2"/>
        <v>-3.4522930000000001</v>
      </c>
      <c r="S57" s="295">
        <f t="shared" si="3"/>
        <v>0</v>
      </c>
      <c r="T57" s="295">
        <f t="shared" si="4"/>
        <v>0</v>
      </c>
      <c r="U57" s="295">
        <f t="shared" si="5"/>
        <v>-3.4522930000000001</v>
      </c>
    </row>
    <row r="58" spans="6:21" ht="13" x14ac:dyDescent="0.3">
      <c r="F58" s="292" t="s">
        <v>1</v>
      </c>
      <c r="G58" s="293" t="s">
        <v>63</v>
      </c>
      <c r="H58" s="293" t="str">
        <f>VLOOKUP(F58,'5. Geo'!$B$3:$F$26,5,0)</f>
        <v>Asia-China</v>
      </c>
      <c r="I58" s="367">
        <f>VLOOKUP(F58,'5. Geo'!$B$3:$F$26,2,0)</f>
        <v>2020</v>
      </c>
      <c r="J58" s="294" t="s">
        <v>26</v>
      </c>
      <c r="K58" s="295">
        <f>'CF (Funds)'!D26</f>
        <v>0</v>
      </c>
      <c r="L58" s="295">
        <f>'CF (Funds)'!E26</f>
        <v>0.58290199999999992</v>
      </c>
      <c r="M58" s="295"/>
      <c r="N58" s="295">
        <f t="shared" si="0"/>
        <v>0.58290199999999992</v>
      </c>
      <c r="O58" s="345"/>
      <c r="P58" s="345">
        <f t="shared" si="1"/>
        <v>1</v>
      </c>
      <c r="Q58" s="292" t="s">
        <v>1</v>
      </c>
      <c r="R58" s="295">
        <f t="shared" si="2"/>
        <v>0</v>
      </c>
      <c r="S58" s="295">
        <f t="shared" si="3"/>
        <v>0.58290199999999992</v>
      </c>
      <c r="T58" s="295">
        <f t="shared" si="4"/>
        <v>0</v>
      </c>
      <c r="U58" s="295">
        <f t="shared" si="5"/>
        <v>0.58290199999999992</v>
      </c>
    </row>
    <row r="59" spans="6:21" ht="13" x14ac:dyDescent="0.3">
      <c r="F59" s="292" t="s">
        <v>1</v>
      </c>
      <c r="G59" s="293" t="s">
        <v>63</v>
      </c>
      <c r="H59" s="293" t="str">
        <f>VLOOKUP(F59,'5. Geo'!$B$3:$F$26,5,0)</f>
        <v>Asia-China</v>
      </c>
      <c r="I59" s="367">
        <f>VLOOKUP(F59,'5. Geo'!$B$3:$F$26,2,0)</f>
        <v>2020</v>
      </c>
      <c r="J59" s="294">
        <v>44370</v>
      </c>
      <c r="K59" s="295">
        <f>'CF (Funds)'!D27</f>
        <v>-5.97</v>
      </c>
      <c r="L59" s="295">
        <f>'CF (Funds)'!E27</f>
        <v>0</v>
      </c>
      <c r="M59" s="295"/>
      <c r="N59" s="295">
        <f t="shared" si="0"/>
        <v>-5.97</v>
      </c>
      <c r="O59" s="345"/>
      <c r="P59" s="345">
        <f t="shared" si="1"/>
        <v>1</v>
      </c>
      <c r="Q59" s="292" t="s">
        <v>1</v>
      </c>
      <c r="R59" s="295">
        <f t="shared" si="2"/>
        <v>-5.97</v>
      </c>
      <c r="S59" s="295">
        <f t="shared" si="3"/>
        <v>0</v>
      </c>
      <c r="T59" s="295">
        <f t="shared" si="4"/>
        <v>0</v>
      </c>
      <c r="U59" s="295">
        <f t="shared" si="5"/>
        <v>-5.97</v>
      </c>
    </row>
    <row r="60" spans="6:21" ht="13" x14ac:dyDescent="0.3">
      <c r="F60" s="292" t="s">
        <v>1</v>
      </c>
      <c r="G60" s="293" t="s">
        <v>63</v>
      </c>
      <c r="H60" s="293" t="str">
        <f>VLOOKUP(F60,'5. Geo'!$B$3:$F$26,5,0)</f>
        <v>Asia-China</v>
      </c>
      <c r="I60" s="367">
        <f>VLOOKUP(F60,'5. Geo'!$B$3:$F$26,2,0)</f>
        <v>2020</v>
      </c>
      <c r="J60" s="294">
        <v>44400</v>
      </c>
      <c r="K60" s="295">
        <f>'CF (Funds)'!D28</f>
        <v>-0.75</v>
      </c>
      <c r="L60" s="295">
        <f>'CF (Funds)'!E28</f>
        <v>0</v>
      </c>
      <c r="M60" s="295"/>
      <c r="N60" s="295">
        <f t="shared" si="0"/>
        <v>-0.75</v>
      </c>
      <c r="O60" s="345"/>
      <c r="P60" s="345">
        <f t="shared" si="1"/>
        <v>1</v>
      </c>
      <c r="Q60" s="292" t="s">
        <v>1</v>
      </c>
      <c r="R60" s="295">
        <f t="shared" si="2"/>
        <v>-0.75</v>
      </c>
      <c r="S60" s="295">
        <f t="shared" si="3"/>
        <v>0</v>
      </c>
      <c r="T60" s="295">
        <f t="shared" si="4"/>
        <v>0</v>
      </c>
      <c r="U60" s="295">
        <f t="shared" si="5"/>
        <v>-0.75</v>
      </c>
    </row>
    <row r="61" spans="6:21" ht="13" x14ac:dyDescent="0.3">
      <c r="F61" s="292" t="s">
        <v>1</v>
      </c>
      <c r="G61" s="293" t="s">
        <v>63</v>
      </c>
      <c r="H61" s="293" t="str">
        <f>VLOOKUP(F61,'5. Geo'!$B$3:$F$26,5,0)</f>
        <v>Asia-China</v>
      </c>
      <c r="I61" s="367">
        <f>VLOOKUP(F61,'5. Geo'!$B$3:$F$26,2,0)</f>
        <v>2020</v>
      </c>
      <c r="J61" s="294">
        <v>44400</v>
      </c>
      <c r="K61" s="295">
        <f>'CF (Funds)'!D29</f>
        <v>0</v>
      </c>
      <c r="L61" s="295">
        <f>'CF (Funds)'!E29</f>
        <v>0.44505899999999998</v>
      </c>
      <c r="M61" s="295"/>
      <c r="N61" s="295">
        <f t="shared" si="0"/>
        <v>0.44505899999999998</v>
      </c>
      <c r="O61" s="345"/>
      <c r="P61" s="345">
        <f t="shared" si="1"/>
        <v>1</v>
      </c>
      <c r="Q61" s="292" t="s">
        <v>1</v>
      </c>
      <c r="R61" s="295">
        <f t="shared" si="2"/>
        <v>0</v>
      </c>
      <c r="S61" s="295">
        <f t="shared" si="3"/>
        <v>0.44505899999999998</v>
      </c>
      <c r="T61" s="295">
        <f t="shared" si="4"/>
        <v>0</v>
      </c>
      <c r="U61" s="295">
        <f t="shared" si="5"/>
        <v>0.44505899999999998</v>
      </c>
    </row>
    <row r="62" spans="6:21" ht="13" x14ac:dyDescent="0.3">
      <c r="F62" s="292" t="s">
        <v>1</v>
      </c>
      <c r="G62" s="293" t="s">
        <v>63</v>
      </c>
      <c r="H62" s="293" t="str">
        <f>VLOOKUP(F62,'5. Geo'!$B$3:$F$26,5,0)</f>
        <v>Asia-China</v>
      </c>
      <c r="I62" s="367">
        <f>VLOOKUP(F62,'5. Geo'!$B$3:$F$26,2,0)</f>
        <v>2020</v>
      </c>
      <c r="J62" s="294">
        <v>44554</v>
      </c>
      <c r="K62" s="295">
        <f>'CF (Funds)'!D30</f>
        <v>1.7823899999999999</v>
      </c>
      <c r="L62" s="295">
        <f>'CF (Funds)'!E30</f>
        <v>0</v>
      </c>
      <c r="M62" s="295"/>
      <c r="N62" s="295">
        <f t="shared" si="0"/>
        <v>1.7823899999999999</v>
      </c>
      <c r="O62" s="345"/>
      <c r="P62" s="345">
        <f t="shared" si="1"/>
        <v>1</v>
      </c>
      <c r="Q62" s="292" t="s">
        <v>1</v>
      </c>
      <c r="R62" s="295">
        <f t="shared" si="2"/>
        <v>1.7823899999999999</v>
      </c>
      <c r="S62" s="295">
        <f t="shared" si="3"/>
        <v>0</v>
      </c>
      <c r="T62" s="295">
        <f t="shared" si="4"/>
        <v>0</v>
      </c>
      <c r="U62" s="295">
        <f t="shared" si="5"/>
        <v>1.7823899999999999</v>
      </c>
    </row>
    <row r="63" spans="6:21" ht="13" x14ac:dyDescent="0.3">
      <c r="F63" s="292" t="s">
        <v>1</v>
      </c>
      <c r="G63" s="293" t="s">
        <v>63</v>
      </c>
      <c r="H63" s="293" t="str">
        <f>VLOOKUP(F63,'5. Geo'!$B$3:$F$26,5,0)</f>
        <v>Asia-China</v>
      </c>
      <c r="I63" s="367">
        <f>VLOOKUP(F63,'5. Geo'!$B$3:$F$26,2,0)</f>
        <v>2020</v>
      </c>
      <c r="J63" s="294">
        <v>44676</v>
      </c>
      <c r="K63" s="295">
        <f>'CF (Funds)'!D31</f>
        <v>-21</v>
      </c>
      <c r="L63" s="295">
        <f>'CF (Funds)'!E31</f>
        <v>0</v>
      </c>
      <c r="M63" s="295"/>
      <c r="N63" s="295">
        <f t="shared" si="0"/>
        <v>-21</v>
      </c>
      <c r="O63" s="345"/>
      <c r="P63" s="345">
        <f t="shared" si="1"/>
        <v>1</v>
      </c>
      <c r="Q63" s="292" t="s">
        <v>1</v>
      </c>
      <c r="R63" s="295">
        <f t="shared" si="2"/>
        <v>-21</v>
      </c>
      <c r="S63" s="295">
        <f t="shared" si="3"/>
        <v>0</v>
      </c>
      <c r="T63" s="295">
        <f t="shared" si="4"/>
        <v>0</v>
      </c>
      <c r="U63" s="295">
        <f t="shared" si="5"/>
        <v>-21</v>
      </c>
    </row>
    <row r="64" spans="6:21" ht="13" x14ac:dyDescent="0.3">
      <c r="F64" s="288" t="s">
        <v>171</v>
      </c>
      <c r="G64" s="289" t="s">
        <v>63</v>
      </c>
      <c r="H64" s="289" t="str">
        <f>VLOOKUP(F64,'5. Geo'!$B$3:$F$26,5,0)</f>
        <v>Europe</v>
      </c>
      <c r="I64" s="366">
        <f>VLOOKUP(F64,'5. Geo'!$B$3:$F$26,2,0)</f>
        <v>2020</v>
      </c>
      <c r="J64" s="290">
        <v>44087</v>
      </c>
      <c r="K64" s="291">
        <f>'CF (Funds)'!D32</f>
        <v>-20.917552997000001</v>
      </c>
      <c r="L64" s="296">
        <f>'CF (Funds)'!E32</f>
        <v>0</v>
      </c>
      <c r="M64" s="291"/>
      <c r="N64" s="291">
        <f t="shared" si="0"/>
        <v>-20.917552997000001</v>
      </c>
      <c r="O64" s="345"/>
      <c r="P64" s="345">
        <f t="shared" si="1"/>
        <v>0</v>
      </c>
      <c r="Q64" s="288" t="s">
        <v>171</v>
      </c>
      <c r="R64" s="296">
        <f t="shared" si="2"/>
        <v>0</v>
      </c>
      <c r="S64" s="296">
        <f t="shared" si="3"/>
        <v>0</v>
      </c>
      <c r="T64" s="296">
        <f t="shared" si="4"/>
        <v>0</v>
      </c>
      <c r="U64" s="296">
        <f t="shared" si="5"/>
        <v>0</v>
      </c>
    </row>
    <row r="65" spans="6:21" ht="13" x14ac:dyDescent="0.3">
      <c r="F65" s="288" t="s">
        <v>171</v>
      </c>
      <c r="G65" s="289" t="s">
        <v>63</v>
      </c>
      <c r="H65" s="289" t="str">
        <f>VLOOKUP(F65,'5. Geo'!$B$3:$F$26,5,0)</f>
        <v>Europe</v>
      </c>
      <c r="I65" s="366">
        <f>VLOOKUP(F65,'5. Geo'!$B$3:$F$26,2,0)</f>
        <v>2020</v>
      </c>
      <c r="J65" s="290">
        <v>44287</v>
      </c>
      <c r="K65" s="291">
        <f>'CF (Funds)'!D33</f>
        <v>-0.21103182000000001</v>
      </c>
      <c r="L65" s="296">
        <f>'CF (Funds)'!E33</f>
        <v>0</v>
      </c>
      <c r="M65" s="291"/>
      <c r="N65" s="291">
        <f t="shared" si="0"/>
        <v>-0.21103182000000001</v>
      </c>
      <c r="O65" s="345"/>
      <c r="P65" s="345">
        <f t="shared" si="1"/>
        <v>0</v>
      </c>
      <c r="Q65" s="288" t="s">
        <v>171</v>
      </c>
      <c r="R65" s="296">
        <f t="shared" si="2"/>
        <v>0</v>
      </c>
      <c r="S65" s="296">
        <f t="shared" si="3"/>
        <v>0</v>
      </c>
      <c r="T65" s="296">
        <f t="shared" si="4"/>
        <v>0</v>
      </c>
      <c r="U65" s="296">
        <f t="shared" si="5"/>
        <v>0</v>
      </c>
    </row>
    <row r="66" spans="6:21" ht="13" x14ac:dyDescent="0.3">
      <c r="F66" s="288" t="s">
        <v>171</v>
      </c>
      <c r="G66" s="289" t="s">
        <v>63</v>
      </c>
      <c r="H66" s="289" t="str">
        <f>VLOOKUP(F66,'5. Geo'!$B$3:$F$26,5,0)</f>
        <v>Europe</v>
      </c>
      <c r="I66" s="366">
        <f>VLOOKUP(F66,'5. Geo'!$B$3:$F$26,2,0)</f>
        <v>2020</v>
      </c>
      <c r="J66" s="290">
        <v>44442</v>
      </c>
      <c r="K66" s="291">
        <f>'CF (Funds)'!D34</f>
        <v>-0.23965473139999999</v>
      </c>
      <c r="L66" s="296">
        <f>'CF (Funds)'!E34</f>
        <v>0</v>
      </c>
      <c r="M66" s="291"/>
      <c r="N66" s="291">
        <f t="shared" si="0"/>
        <v>-0.23965473139999999</v>
      </c>
      <c r="O66" s="345"/>
      <c r="P66" s="345">
        <f t="shared" si="1"/>
        <v>0</v>
      </c>
      <c r="Q66" s="288" t="s">
        <v>171</v>
      </c>
      <c r="R66" s="296">
        <f t="shared" si="2"/>
        <v>0</v>
      </c>
      <c r="S66" s="296">
        <f t="shared" si="3"/>
        <v>0</v>
      </c>
      <c r="T66" s="296">
        <f t="shared" si="4"/>
        <v>0</v>
      </c>
      <c r="U66" s="296">
        <f t="shared" si="5"/>
        <v>0</v>
      </c>
    </row>
    <row r="67" spans="6:21" ht="13" x14ac:dyDescent="0.3">
      <c r="F67" s="288" t="s">
        <v>171</v>
      </c>
      <c r="G67" s="289" t="s">
        <v>63</v>
      </c>
      <c r="H67" s="289" t="str">
        <f>VLOOKUP(F67,'5. Geo'!$B$3:$F$26,5,0)</f>
        <v>Europe</v>
      </c>
      <c r="I67" s="366">
        <f>VLOOKUP(F67,'5. Geo'!$B$3:$F$26,2,0)</f>
        <v>2020</v>
      </c>
      <c r="J67" s="290">
        <v>44623</v>
      </c>
      <c r="K67" s="291">
        <f>'CF (Funds)'!D35</f>
        <v>-0.25893584940000003</v>
      </c>
      <c r="L67" s="296">
        <f>'CF (Funds)'!E35</f>
        <v>0</v>
      </c>
      <c r="M67" s="291"/>
      <c r="N67" s="291">
        <f t="shared" si="0"/>
        <v>-0.25893584940000003</v>
      </c>
      <c r="O67" s="345"/>
      <c r="P67" s="345">
        <f t="shared" si="1"/>
        <v>0</v>
      </c>
      <c r="Q67" s="288" t="s">
        <v>171</v>
      </c>
      <c r="R67" s="296">
        <f t="shared" si="2"/>
        <v>0</v>
      </c>
      <c r="S67" s="296">
        <f t="shared" si="3"/>
        <v>0</v>
      </c>
      <c r="T67" s="296">
        <f t="shared" si="4"/>
        <v>0</v>
      </c>
      <c r="U67" s="296">
        <f t="shared" si="5"/>
        <v>0</v>
      </c>
    </row>
    <row r="68" spans="6:21" ht="13" x14ac:dyDescent="0.3">
      <c r="F68" s="288" t="s">
        <v>171</v>
      </c>
      <c r="G68" s="289" t="s">
        <v>63</v>
      </c>
      <c r="H68" s="289" t="str">
        <f>VLOOKUP(F68,'5. Geo'!$B$3:$F$26,5,0)</f>
        <v>Europe</v>
      </c>
      <c r="I68" s="366">
        <f>VLOOKUP(F68,'5. Geo'!$B$3:$F$26,2,0)</f>
        <v>2020</v>
      </c>
      <c r="J68" s="290">
        <v>44784</v>
      </c>
      <c r="K68" s="291">
        <f>'CF (Funds)'!D36</f>
        <v>1.5224656599999999E-2</v>
      </c>
      <c r="L68" s="296">
        <f>'CF (Funds)'!E36</f>
        <v>0</v>
      </c>
      <c r="M68" s="291"/>
      <c r="N68" s="291">
        <f t="shared" si="0"/>
        <v>1.5224656599999999E-2</v>
      </c>
      <c r="O68" s="345"/>
      <c r="P68" s="345">
        <f t="shared" si="1"/>
        <v>0</v>
      </c>
      <c r="Q68" s="288" t="s">
        <v>171</v>
      </c>
      <c r="R68" s="296">
        <f t="shared" si="2"/>
        <v>0</v>
      </c>
      <c r="S68" s="296">
        <f t="shared" si="3"/>
        <v>0</v>
      </c>
      <c r="T68" s="296">
        <f t="shared" si="4"/>
        <v>0</v>
      </c>
      <c r="U68" s="296">
        <f t="shared" si="5"/>
        <v>0</v>
      </c>
    </row>
    <row r="69" spans="6:21" ht="13" x14ac:dyDescent="0.3">
      <c r="F69" s="288" t="s">
        <v>153</v>
      </c>
      <c r="G69" s="289" t="s">
        <v>63</v>
      </c>
      <c r="H69" s="289" t="str">
        <f>VLOOKUP(F69,'5. Geo'!$B$3:$F$26,5,0)</f>
        <v>Europe</v>
      </c>
      <c r="I69" s="366">
        <f>VLOOKUP(F69,'5. Geo'!$B$3:$F$26,2,0)</f>
        <v>2020</v>
      </c>
      <c r="J69" s="290">
        <v>44087</v>
      </c>
      <c r="K69" s="291">
        <f>'CF (Funds)'!D39</f>
        <v>-2.7058823529411762</v>
      </c>
      <c r="L69" s="296">
        <f>'CF (Funds)'!E39</f>
        <v>0</v>
      </c>
      <c r="M69" s="291"/>
      <c r="N69" s="291">
        <f t="shared" si="0"/>
        <v>-2.7058823529411762</v>
      </c>
      <c r="O69" s="345"/>
      <c r="P69" s="345">
        <f t="shared" si="1"/>
        <v>0</v>
      </c>
      <c r="Q69" s="288" t="s">
        <v>153</v>
      </c>
      <c r="R69" s="296">
        <f t="shared" si="2"/>
        <v>0</v>
      </c>
      <c r="S69" s="296">
        <f t="shared" si="3"/>
        <v>0</v>
      </c>
      <c r="T69" s="296">
        <f t="shared" si="4"/>
        <v>0</v>
      </c>
      <c r="U69" s="296">
        <f t="shared" si="5"/>
        <v>0</v>
      </c>
    </row>
    <row r="70" spans="6:21" ht="13" x14ac:dyDescent="0.3">
      <c r="F70" s="292" t="s">
        <v>229</v>
      </c>
      <c r="G70" s="293" t="s">
        <v>63</v>
      </c>
      <c r="H70" s="293" t="str">
        <f>VLOOKUP(F70,'5. Geo'!$B$3:$F$26,5,0)</f>
        <v>USA</v>
      </c>
      <c r="I70" s="367">
        <f>VLOOKUP(F70,'5. Geo'!$B$3:$F$26,2,0)</f>
        <v>2021</v>
      </c>
      <c r="J70" s="294">
        <v>44540</v>
      </c>
      <c r="K70" s="295">
        <f>'CF (Funds)'!D40</f>
        <v>-2.8053124999999999</v>
      </c>
      <c r="L70" s="295">
        <f>'CF (Funds)'!E40</f>
        <v>0</v>
      </c>
      <c r="M70" s="295"/>
      <c r="N70" s="295">
        <f t="shared" si="0"/>
        <v>-2.8053124999999999</v>
      </c>
      <c r="O70" s="345"/>
      <c r="P70" s="345">
        <f t="shared" si="1"/>
        <v>0</v>
      </c>
      <c r="Q70" s="292" t="s">
        <v>229</v>
      </c>
      <c r="R70" s="295">
        <f t="shared" si="2"/>
        <v>0</v>
      </c>
      <c r="S70" s="295">
        <f t="shared" si="3"/>
        <v>0</v>
      </c>
      <c r="T70" s="295">
        <f t="shared" si="4"/>
        <v>0</v>
      </c>
      <c r="U70" s="295">
        <f t="shared" si="5"/>
        <v>0</v>
      </c>
    </row>
    <row r="71" spans="6:21" ht="13" x14ac:dyDescent="0.3">
      <c r="F71" s="292" t="s">
        <v>229</v>
      </c>
      <c r="G71" s="293" t="s">
        <v>63</v>
      </c>
      <c r="H71" s="293" t="str">
        <f>VLOOKUP(F71,'5. Geo'!$B$3:$F$26,5,0)</f>
        <v>USA</v>
      </c>
      <c r="I71" s="367">
        <f>VLOOKUP(F71,'5. Geo'!$B$3:$F$26,2,0)</f>
        <v>2021</v>
      </c>
      <c r="J71" s="294">
        <v>44602</v>
      </c>
      <c r="K71" s="295">
        <f>'CF (Funds)'!D41</f>
        <v>-3.4074999999999998</v>
      </c>
      <c r="L71" s="295">
        <f>'CF (Funds)'!E41</f>
        <v>0</v>
      </c>
      <c r="M71" s="295"/>
      <c r="N71" s="295">
        <f t="shared" si="0"/>
        <v>-3.4074999999999998</v>
      </c>
      <c r="O71" s="345"/>
      <c r="P71" s="345">
        <f t="shared" si="1"/>
        <v>0</v>
      </c>
      <c r="Q71" s="292" t="s">
        <v>229</v>
      </c>
      <c r="R71" s="295">
        <f t="shared" si="2"/>
        <v>0</v>
      </c>
      <c r="S71" s="295">
        <f t="shared" si="3"/>
        <v>0</v>
      </c>
      <c r="T71" s="295">
        <f t="shared" si="4"/>
        <v>0</v>
      </c>
      <c r="U71" s="295">
        <f t="shared" si="5"/>
        <v>0</v>
      </c>
    </row>
    <row r="72" spans="6:21" ht="13" x14ac:dyDescent="0.3">
      <c r="F72" s="292" t="s">
        <v>229</v>
      </c>
      <c r="G72" s="293" t="s">
        <v>63</v>
      </c>
      <c r="H72" s="293" t="str">
        <f>VLOOKUP(F72,'5. Geo'!$B$3:$F$26,5,0)</f>
        <v>USA</v>
      </c>
      <c r="I72" s="367">
        <f>VLOOKUP(F72,'5. Geo'!$B$3:$F$26,2,0)</f>
        <v>2021</v>
      </c>
      <c r="J72" s="294">
        <v>44683</v>
      </c>
      <c r="K72" s="295">
        <f>'CF (Funds)'!D42</f>
        <v>-1.0257749999999999</v>
      </c>
      <c r="L72" s="295">
        <f>'CF (Funds)'!E42</f>
        <v>0</v>
      </c>
      <c r="M72" s="295"/>
      <c r="N72" s="295">
        <f t="shared" si="0"/>
        <v>-1.0257749999999999</v>
      </c>
      <c r="O72" s="345"/>
      <c r="P72" s="345">
        <f t="shared" si="1"/>
        <v>0</v>
      </c>
      <c r="Q72" s="292" t="s">
        <v>229</v>
      </c>
      <c r="R72" s="295">
        <f t="shared" si="2"/>
        <v>0</v>
      </c>
      <c r="S72" s="295">
        <f t="shared" si="3"/>
        <v>0</v>
      </c>
      <c r="T72" s="295">
        <f t="shared" si="4"/>
        <v>0</v>
      </c>
      <c r="U72" s="295">
        <f t="shared" si="5"/>
        <v>0</v>
      </c>
    </row>
    <row r="73" spans="6:21" ht="13" x14ac:dyDescent="0.3">
      <c r="F73" s="292" t="s">
        <v>229</v>
      </c>
      <c r="G73" s="293" t="s">
        <v>63</v>
      </c>
      <c r="H73" s="293" t="str">
        <f>VLOOKUP(F73,'5. Geo'!$B$3:$F$26,5,0)</f>
        <v>USA</v>
      </c>
      <c r="I73" s="367">
        <f>VLOOKUP(F73,'5. Geo'!$B$3:$F$26,2,0)</f>
        <v>2021</v>
      </c>
      <c r="J73" s="294">
        <v>44707</v>
      </c>
      <c r="K73" s="295">
        <f>'CF (Funds)'!D43</f>
        <v>-3.3882749999999997</v>
      </c>
      <c r="L73" s="295">
        <f>'CF (Funds)'!E43</f>
        <v>0</v>
      </c>
      <c r="M73" s="295"/>
      <c r="N73" s="295">
        <f t="shared" ref="N73:N96" si="6">SUM(K73:M73)</f>
        <v>-3.3882749999999997</v>
      </c>
      <c r="O73" s="345"/>
      <c r="P73" s="345">
        <f t="shared" ref="P73:P96" si="7">IF($C$8=H73,1,0)</f>
        <v>0</v>
      </c>
      <c r="Q73" s="292" t="s">
        <v>229</v>
      </c>
      <c r="R73" s="295">
        <f t="shared" ref="R73:R96" si="8">$P73*K73</f>
        <v>0</v>
      </c>
      <c r="S73" s="295">
        <f t="shared" ref="S73:S96" si="9">$P73*L73</f>
        <v>0</v>
      </c>
      <c r="T73" s="295">
        <f t="shared" ref="T73:T96" si="10">$P73*M73</f>
        <v>0</v>
      </c>
      <c r="U73" s="295">
        <f t="shared" ref="U73:U96" si="11">$P73*N73</f>
        <v>0</v>
      </c>
    </row>
    <row r="74" spans="6:21" ht="13" x14ac:dyDescent="0.3">
      <c r="F74" s="288" t="s">
        <v>57</v>
      </c>
      <c r="G74" s="289"/>
      <c r="H74" s="289" t="str">
        <f>VLOOKUP(F74,'5. Geo'!$B$3:$F$26,5,0)</f>
        <v>Asia-China</v>
      </c>
      <c r="I74" s="366">
        <f>VLOOKUP(F74,'5. Geo'!$B$3:$F$26,2,0)</f>
        <v>2019</v>
      </c>
      <c r="J74" s="290">
        <f>$G$4</f>
        <v>45138</v>
      </c>
      <c r="K74" s="291"/>
      <c r="L74" s="291"/>
      <c r="M74" s="291" t="str">
        <f>VLOOKUP(F74,NAV!$B$9:$E$43,3,0)</f>
        <v>C+ Prefs</v>
      </c>
      <c r="N74" s="291">
        <f t="shared" si="6"/>
        <v>0</v>
      </c>
      <c r="O74" s="345"/>
      <c r="P74" s="345">
        <f t="shared" si="7"/>
        <v>1</v>
      </c>
      <c r="Q74" s="288" t="s">
        <v>57</v>
      </c>
      <c r="R74" s="291">
        <f t="shared" si="8"/>
        <v>0</v>
      </c>
      <c r="S74" s="291">
        <f t="shared" si="9"/>
        <v>0</v>
      </c>
      <c r="T74" s="291" t="e">
        <f t="shared" si="10"/>
        <v>#VALUE!</v>
      </c>
      <c r="U74" s="291">
        <f t="shared" si="11"/>
        <v>0</v>
      </c>
    </row>
    <row r="75" spans="6:21" ht="13" x14ac:dyDescent="0.3">
      <c r="F75" s="288" t="s">
        <v>0</v>
      </c>
      <c r="G75" s="289"/>
      <c r="H75" s="289" t="str">
        <f>VLOOKUP(F75,'5. Geo'!$B$3:$F$26,5,0)</f>
        <v>Asia-China</v>
      </c>
      <c r="I75" s="366">
        <f>VLOOKUP(F75,'5. Geo'!$B$3:$F$26,2,0)</f>
        <v>2019</v>
      </c>
      <c r="J75" s="290">
        <f t="shared" ref="J75:J96" si="12">$G$4</f>
        <v>45138</v>
      </c>
      <c r="K75" s="291"/>
      <c r="L75" s="291"/>
      <c r="M75" s="291" t="str">
        <f>VLOOKUP(F75,NAV!$B$9:$E$43,3,0)</f>
        <v>B Prefs</v>
      </c>
      <c r="N75" s="291">
        <f t="shared" si="6"/>
        <v>0</v>
      </c>
      <c r="O75" s="345"/>
      <c r="P75" s="345">
        <f t="shared" si="7"/>
        <v>1</v>
      </c>
      <c r="Q75" s="288" t="s">
        <v>0</v>
      </c>
      <c r="R75" s="291">
        <f t="shared" si="8"/>
        <v>0</v>
      </c>
      <c r="S75" s="291">
        <f t="shared" si="9"/>
        <v>0</v>
      </c>
      <c r="T75" s="291" t="e">
        <f t="shared" si="10"/>
        <v>#VALUE!</v>
      </c>
      <c r="U75" s="291">
        <f t="shared" si="11"/>
        <v>0</v>
      </c>
    </row>
    <row r="76" spans="6:21" ht="13" x14ac:dyDescent="0.3">
      <c r="F76" s="288" t="s">
        <v>48</v>
      </c>
      <c r="G76" s="289"/>
      <c r="H76" s="289" t="str">
        <f>VLOOKUP(F76,'5. Geo'!$B$3:$F$26,5,0)</f>
        <v>USA</v>
      </c>
      <c r="I76" s="366">
        <f>VLOOKUP(F76,'5. Geo'!$B$3:$F$26,2,0)</f>
        <v>2019</v>
      </c>
      <c r="J76" s="290">
        <f t="shared" si="12"/>
        <v>45138</v>
      </c>
      <c r="K76" s="291"/>
      <c r="L76" s="291"/>
      <c r="M76" s="291" t="str">
        <f>VLOOKUP(F76,NAV!$B$9:$E$43,3,0)</f>
        <v>B-1,2 Prefs</v>
      </c>
      <c r="N76" s="291">
        <f t="shared" si="6"/>
        <v>0</v>
      </c>
      <c r="O76" s="345"/>
      <c r="P76" s="345">
        <f t="shared" si="7"/>
        <v>0</v>
      </c>
      <c r="Q76" s="288" t="s">
        <v>48</v>
      </c>
      <c r="R76" s="291">
        <f t="shared" si="8"/>
        <v>0</v>
      </c>
      <c r="S76" s="291">
        <f t="shared" si="9"/>
        <v>0</v>
      </c>
      <c r="T76" s="291" t="e">
        <f t="shared" si="10"/>
        <v>#VALUE!</v>
      </c>
      <c r="U76" s="291">
        <f t="shared" si="11"/>
        <v>0</v>
      </c>
    </row>
    <row r="77" spans="6:21" ht="13" x14ac:dyDescent="0.3">
      <c r="F77" s="288" t="s">
        <v>49</v>
      </c>
      <c r="G77" s="289"/>
      <c r="H77" s="289" t="str">
        <f>VLOOKUP(F77,'5. Geo'!$B$3:$F$26,5,0)</f>
        <v>Rest of Asia</v>
      </c>
      <c r="I77" s="366">
        <f>VLOOKUP(F77,'5. Geo'!$B$3:$F$26,2,0)</f>
        <v>2020</v>
      </c>
      <c r="J77" s="290">
        <f t="shared" si="12"/>
        <v>45138</v>
      </c>
      <c r="K77" s="291"/>
      <c r="L77" s="291"/>
      <c r="M77" s="291" t="str">
        <f>VLOOKUP(F77,NAV!$B$9:$E$43,3,0)</f>
        <v>Convertible Note</v>
      </c>
      <c r="N77" s="291">
        <f t="shared" si="6"/>
        <v>0</v>
      </c>
      <c r="O77" s="345"/>
      <c r="P77" s="345">
        <f t="shared" si="7"/>
        <v>0</v>
      </c>
      <c r="Q77" s="288" t="s">
        <v>49</v>
      </c>
      <c r="R77" s="291">
        <f t="shared" si="8"/>
        <v>0</v>
      </c>
      <c r="S77" s="291">
        <f t="shared" si="9"/>
        <v>0</v>
      </c>
      <c r="T77" s="291" t="e">
        <f t="shared" si="10"/>
        <v>#VALUE!</v>
      </c>
      <c r="U77" s="291">
        <f t="shared" si="11"/>
        <v>0</v>
      </c>
    </row>
    <row r="78" spans="6:21" ht="13" x14ac:dyDescent="0.3">
      <c r="F78" s="288" t="s">
        <v>47</v>
      </c>
      <c r="G78" s="289"/>
      <c r="H78" s="289" t="str">
        <f>VLOOKUP(F78,'5. Geo'!$B$3:$F$26,5,0)</f>
        <v>USA</v>
      </c>
      <c r="I78" s="366">
        <f>VLOOKUP(F78,'5. Geo'!$B$3:$F$26,2,0)</f>
        <v>2020</v>
      </c>
      <c r="J78" s="290">
        <f t="shared" si="12"/>
        <v>45138</v>
      </c>
      <c r="K78" s="291"/>
      <c r="L78" s="291"/>
      <c r="M78" s="291" t="str">
        <f>VLOOKUP(F78,NAV!$B$9:$E$43,3,0)</f>
        <v>C Prefs</v>
      </c>
      <c r="N78" s="291">
        <f t="shared" si="6"/>
        <v>0</v>
      </c>
      <c r="O78" s="345"/>
      <c r="P78" s="345">
        <f t="shared" si="7"/>
        <v>0</v>
      </c>
      <c r="Q78" s="288" t="s">
        <v>47</v>
      </c>
      <c r="R78" s="291">
        <f t="shared" si="8"/>
        <v>0</v>
      </c>
      <c r="S78" s="291">
        <f t="shared" si="9"/>
        <v>0</v>
      </c>
      <c r="T78" s="291" t="e">
        <f t="shared" si="10"/>
        <v>#VALUE!</v>
      </c>
      <c r="U78" s="291">
        <f t="shared" si="11"/>
        <v>0</v>
      </c>
    </row>
    <row r="79" spans="6:21" ht="13" x14ac:dyDescent="0.3">
      <c r="F79" s="288" t="s">
        <v>131</v>
      </c>
      <c r="G79" s="289"/>
      <c r="H79" s="289" t="str">
        <f>VLOOKUP(F79,'5. Geo'!$B$3:$F$26,5,0)</f>
        <v>Europe</v>
      </c>
      <c r="I79" s="366">
        <f>VLOOKUP(F79,'5. Geo'!$B$3:$F$26,2,0)</f>
        <v>2020</v>
      </c>
      <c r="J79" s="290">
        <f t="shared" si="12"/>
        <v>45138</v>
      </c>
      <c r="K79" s="291"/>
      <c r="L79" s="291"/>
      <c r="M79" s="291" t="str">
        <f>VLOOKUP(F79,NAV!$B$9:$E$43,3,0)</f>
        <v>Ordinary Shares</v>
      </c>
      <c r="N79" s="291">
        <f t="shared" si="6"/>
        <v>0</v>
      </c>
      <c r="O79" s="345"/>
      <c r="P79" s="345">
        <f t="shared" si="7"/>
        <v>0</v>
      </c>
      <c r="Q79" s="288" t="s">
        <v>131</v>
      </c>
      <c r="R79" s="291">
        <f t="shared" si="8"/>
        <v>0</v>
      </c>
      <c r="S79" s="291">
        <f t="shared" si="9"/>
        <v>0</v>
      </c>
      <c r="T79" s="291" t="e">
        <f t="shared" si="10"/>
        <v>#VALUE!</v>
      </c>
      <c r="U79" s="291">
        <f t="shared" si="11"/>
        <v>0</v>
      </c>
    </row>
    <row r="80" spans="6:21" ht="13" x14ac:dyDescent="0.3">
      <c r="F80" s="288" t="s">
        <v>11</v>
      </c>
      <c r="G80" s="289"/>
      <c r="H80" s="289" t="str">
        <f>VLOOKUP(F80,'5. Geo'!$B$3:$F$26,5,0)</f>
        <v>Asia-China</v>
      </c>
      <c r="I80" s="366">
        <f>VLOOKUP(F80,'5. Geo'!$B$3:$F$26,2,0)</f>
        <v>2020</v>
      </c>
      <c r="J80" s="290">
        <f t="shared" si="12"/>
        <v>45138</v>
      </c>
      <c r="K80" s="291"/>
      <c r="L80" s="291"/>
      <c r="M80" s="291" t="str">
        <f>VLOOKUP(F80,NAV!$B$9:$E$43,3,0)</f>
        <v>Registered Capital</v>
      </c>
      <c r="N80" s="291">
        <f t="shared" si="6"/>
        <v>0</v>
      </c>
      <c r="O80" s="345"/>
      <c r="P80" s="345">
        <f t="shared" si="7"/>
        <v>1</v>
      </c>
      <c r="Q80" s="288" t="s">
        <v>11</v>
      </c>
      <c r="R80" s="291">
        <f t="shared" si="8"/>
        <v>0</v>
      </c>
      <c r="S80" s="291">
        <f t="shared" si="9"/>
        <v>0</v>
      </c>
      <c r="T80" s="291" t="e">
        <f t="shared" si="10"/>
        <v>#VALUE!</v>
      </c>
      <c r="U80" s="291">
        <f t="shared" si="11"/>
        <v>0</v>
      </c>
    </row>
    <row r="81" spans="6:21" ht="13" x14ac:dyDescent="0.3">
      <c r="F81" s="288" t="s">
        <v>24</v>
      </c>
      <c r="G81" s="289"/>
      <c r="H81" s="289" t="str">
        <f>VLOOKUP(F81,'5. Geo'!$B$3:$F$26,5,0)</f>
        <v>Rest of Asia</v>
      </c>
      <c r="I81" s="366">
        <f>VLOOKUP(F81,'5. Geo'!$B$3:$F$26,2,0)</f>
        <v>2021</v>
      </c>
      <c r="J81" s="290">
        <f t="shared" si="12"/>
        <v>45138</v>
      </c>
      <c r="K81" s="291"/>
      <c r="L81" s="291"/>
      <c r="M81" s="291" t="str">
        <f>VLOOKUP(F81,NAV!$B$9:$E$43,3,0)</f>
        <v>A (Ordinary Shares)</v>
      </c>
      <c r="N81" s="291">
        <f t="shared" si="6"/>
        <v>0</v>
      </c>
      <c r="O81" s="345"/>
      <c r="P81" s="345">
        <f t="shared" si="7"/>
        <v>0</v>
      </c>
      <c r="Q81" s="288" t="s">
        <v>24</v>
      </c>
      <c r="R81" s="291">
        <f t="shared" si="8"/>
        <v>0</v>
      </c>
      <c r="S81" s="291">
        <f t="shared" si="9"/>
        <v>0</v>
      </c>
      <c r="T81" s="291" t="e">
        <f t="shared" si="10"/>
        <v>#VALUE!</v>
      </c>
      <c r="U81" s="291">
        <f t="shared" si="11"/>
        <v>0</v>
      </c>
    </row>
    <row r="82" spans="6:21" ht="13" x14ac:dyDescent="0.3">
      <c r="F82" s="288" t="s">
        <v>50</v>
      </c>
      <c r="G82" s="289"/>
      <c r="H82" s="289" t="str">
        <f>VLOOKUP(F82,'5. Geo'!$B$3:$F$26,5,0)</f>
        <v>USA</v>
      </c>
      <c r="I82" s="366">
        <f>VLOOKUP(F82,'5. Geo'!$B$3:$F$26,2,0)</f>
        <v>2021</v>
      </c>
      <c r="J82" s="290">
        <f t="shared" si="12"/>
        <v>45138</v>
      </c>
      <c r="K82" s="291"/>
      <c r="L82" s="291"/>
      <c r="M82" s="291" t="str">
        <f>VLOOKUP(F82,NAV!$B$9:$E$43,3,0)</f>
        <v>F Prefs</v>
      </c>
      <c r="N82" s="291">
        <f t="shared" si="6"/>
        <v>0</v>
      </c>
      <c r="O82" s="345"/>
      <c r="P82" s="345">
        <f t="shared" si="7"/>
        <v>0</v>
      </c>
      <c r="Q82" s="288" t="s">
        <v>50</v>
      </c>
      <c r="R82" s="291">
        <f t="shared" si="8"/>
        <v>0</v>
      </c>
      <c r="S82" s="291">
        <f t="shared" si="9"/>
        <v>0</v>
      </c>
      <c r="T82" s="291" t="e">
        <f t="shared" si="10"/>
        <v>#VALUE!</v>
      </c>
      <c r="U82" s="291">
        <f t="shared" si="11"/>
        <v>0</v>
      </c>
    </row>
    <row r="83" spans="6:21" ht="13" x14ac:dyDescent="0.3">
      <c r="F83" s="288" t="s">
        <v>51</v>
      </c>
      <c r="G83" s="289"/>
      <c r="H83" s="289" t="str">
        <f>VLOOKUP(F83,'5. Geo'!$B$3:$F$26,5,0)</f>
        <v>USA</v>
      </c>
      <c r="I83" s="366">
        <f>VLOOKUP(F83,'5. Geo'!$B$3:$F$26,2,0)</f>
        <v>2021</v>
      </c>
      <c r="J83" s="290">
        <f t="shared" si="12"/>
        <v>45138</v>
      </c>
      <c r="K83" s="291"/>
      <c r="L83" s="291"/>
      <c r="M83" s="291" t="str">
        <f>VLOOKUP(F83,NAV!$B$9:$E$43,3,0)</f>
        <v>A Pref Units</v>
      </c>
      <c r="N83" s="291">
        <f t="shared" si="6"/>
        <v>0</v>
      </c>
      <c r="O83" s="345"/>
      <c r="P83" s="345">
        <f t="shared" si="7"/>
        <v>0</v>
      </c>
      <c r="Q83" s="288" t="s">
        <v>51</v>
      </c>
      <c r="R83" s="291">
        <f t="shared" si="8"/>
        <v>0</v>
      </c>
      <c r="S83" s="291">
        <f t="shared" si="9"/>
        <v>0</v>
      </c>
      <c r="T83" s="291" t="e">
        <f t="shared" si="10"/>
        <v>#VALUE!</v>
      </c>
      <c r="U83" s="291">
        <f t="shared" si="11"/>
        <v>0</v>
      </c>
    </row>
    <row r="84" spans="6:21" ht="13" x14ac:dyDescent="0.3">
      <c r="F84" s="288" t="s">
        <v>52</v>
      </c>
      <c r="G84" s="289"/>
      <c r="H84" s="289" t="str">
        <f>VLOOKUP(F84,'5. Geo'!$B$3:$F$26,5,0)</f>
        <v>Europe</v>
      </c>
      <c r="I84" s="366">
        <f>VLOOKUP(F84,'5. Geo'!$B$3:$F$26,2,0)</f>
        <v>2021</v>
      </c>
      <c r="J84" s="290">
        <f t="shared" si="12"/>
        <v>45138</v>
      </c>
      <c r="K84" s="291"/>
      <c r="L84" s="291"/>
      <c r="M84" s="291" t="str">
        <f>VLOOKUP(F84,NAV!$B$9:$E$43,3,0)</f>
        <v xml:space="preserve">B Prefs </v>
      </c>
      <c r="N84" s="291">
        <f t="shared" si="6"/>
        <v>0</v>
      </c>
      <c r="O84" s="345"/>
      <c r="P84" s="345">
        <f t="shared" si="7"/>
        <v>0</v>
      </c>
      <c r="Q84" s="288" t="s">
        <v>52</v>
      </c>
      <c r="R84" s="291">
        <f t="shared" si="8"/>
        <v>0</v>
      </c>
      <c r="S84" s="291">
        <f t="shared" si="9"/>
        <v>0</v>
      </c>
      <c r="T84" s="291" t="e">
        <f t="shared" si="10"/>
        <v>#VALUE!</v>
      </c>
      <c r="U84" s="291">
        <f t="shared" si="11"/>
        <v>0</v>
      </c>
    </row>
    <row r="85" spans="6:21" ht="13" x14ac:dyDescent="0.3">
      <c r="F85" s="288" t="s">
        <v>113</v>
      </c>
      <c r="G85" s="289"/>
      <c r="H85" s="289" t="str">
        <f>VLOOKUP(F85,'5. Geo'!$B$3:$F$26,5,0)</f>
        <v>Asia-China</v>
      </c>
      <c r="I85" s="366">
        <f>VLOOKUP(F85,'5. Geo'!$B$3:$F$26,2,0)</f>
        <v>2022</v>
      </c>
      <c r="J85" s="290">
        <f t="shared" si="12"/>
        <v>45138</v>
      </c>
      <c r="K85" s="291"/>
      <c r="L85" s="291"/>
      <c r="M85" s="291" t="str">
        <f>VLOOKUP(F85,NAV!$B$9:$E$43,3,0)</f>
        <v>Equity-TBC</v>
      </c>
      <c r="N85" s="291">
        <f t="shared" si="6"/>
        <v>0</v>
      </c>
      <c r="O85" s="345"/>
      <c r="P85" s="345">
        <f t="shared" si="7"/>
        <v>1</v>
      </c>
      <c r="Q85" s="288" t="s">
        <v>113</v>
      </c>
      <c r="R85" s="291">
        <f t="shared" si="8"/>
        <v>0</v>
      </c>
      <c r="S85" s="291">
        <f t="shared" si="9"/>
        <v>0</v>
      </c>
      <c r="T85" s="291" t="e">
        <f t="shared" si="10"/>
        <v>#VALUE!</v>
      </c>
      <c r="U85" s="291">
        <f t="shared" si="11"/>
        <v>0</v>
      </c>
    </row>
    <row r="86" spans="6:21" ht="13" x14ac:dyDescent="0.3">
      <c r="F86" s="288" t="s">
        <v>25</v>
      </c>
      <c r="G86" s="289"/>
      <c r="H86" s="289" t="str">
        <f>VLOOKUP(F86,'5. Geo'!$B$3:$F$26,5,0)</f>
        <v>MiddleEast</v>
      </c>
      <c r="I86" s="366">
        <f>VLOOKUP(F86,'5. Geo'!$B$3:$F$26,2,0)</f>
        <v>2022</v>
      </c>
      <c r="J86" s="290">
        <f t="shared" si="12"/>
        <v>45138</v>
      </c>
      <c r="K86" s="291"/>
      <c r="L86" s="291"/>
      <c r="M86" s="291" t="str">
        <f>VLOOKUP(F86,NAV!$B$9:$E$43,3,0)</f>
        <v>Equity-TBC</v>
      </c>
      <c r="N86" s="291">
        <f t="shared" si="6"/>
        <v>0</v>
      </c>
      <c r="O86" s="345"/>
      <c r="P86" s="345">
        <f t="shared" si="7"/>
        <v>0</v>
      </c>
      <c r="Q86" s="288" t="s">
        <v>25</v>
      </c>
      <c r="R86" s="291">
        <f t="shared" si="8"/>
        <v>0</v>
      </c>
      <c r="S86" s="291">
        <f t="shared" si="9"/>
        <v>0</v>
      </c>
      <c r="T86" s="291" t="e">
        <f t="shared" si="10"/>
        <v>#VALUE!</v>
      </c>
      <c r="U86" s="291">
        <f t="shared" si="11"/>
        <v>0</v>
      </c>
    </row>
    <row r="87" spans="6:21" ht="13" x14ac:dyDescent="0.3">
      <c r="F87" s="288" t="s">
        <v>132</v>
      </c>
      <c r="G87" s="289"/>
      <c r="H87" s="289" t="str">
        <f>VLOOKUP(F87,'5. Geo'!$B$3:$F$26,5,0)</f>
        <v>USA</v>
      </c>
      <c r="I87" s="366">
        <f>VLOOKUP(F87,'5. Geo'!$B$3:$F$26,2,0)</f>
        <v>2022</v>
      </c>
      <c r="J87" s="290">
        <f t="shared" si="12"/>
        <v>45138</v>
      </c>
      <c r="K87" s="291"/>
      <c r="L87" s="291"/>
      <c r="M87" s="291" t="str">
        <f>VLOOKUP(F87,NAV!$B$9:$E$43,3,0)</f>
        <v>Ordinary Shares</v>
      </c>
      <c r="N87" s="291">
        <f t="shared" si="6"/>
        <v>0</v>
      </c>
      <c r="O87" s="345"/>
      <c r="P87" s="345">
        <f t="shared" si="7"/>
        <v>0</v>
      </c>
      <c r="Q87" s="288" t="s">
        <v>132</v>
      </c>
      <c r="R87" s="291">
        <f t="shared" si="8"/>
        <v>0</v>
      </c>
      <c r="S87" s="291">
        <f t="shared" si="9"/>
        <v>0</v>
      </c>
      <c r="T87" s="291" t="e">
        <f t="shared" si="10"/>
        <v>#VALUE!</v>
      </c>
      <c r="U87" s="291">
        <f t="shared" si="11"/>
        <v>0</v>
      </c>
    </row>
    <row r="88" spans="6:21" ht="13" x14ac:dyDescent="0.3">
      <c r="F88" s="288" t="s">
        <v>44</v>
      </c>
      <c r="G88" s="289"/>
      <c r="H88" s="289" t="str">
        <f>VLOOKUP(F88,'5. Geo'!$B$3:$F$26,5,0)</f>
        <v>Asia-China</v>
      </c>
      <c r="I88" s="366">
        <f>VLOOKUP(F88,'5. Geo'!$B$3:$F$26,2,0)</f>
        <v>2022</v>
      </c>
      <c r="J88" s="290">
        <f t="shared" si="12"/>
        <v>45138</v>
      </c>
      <c r="K88" s="291"/>
      <c r="L88" s="291"/>
      <c r="M88" s="291" t="str">
        <f>VLOOKUP(F88,NAV!$B$9:$E$43,3,0)</f>
        <v>Equity-TBC</v>
      </c>
      <c r="N88" s="291">
        <f t="shared" si="6"/>
        <v>0</v>
      </c>
      <c r="O88" s="345"/>
      <c r="P88" s="345">
        <f t="shared" si="7"/>
        <v>1</v>
      </c>
      <c r="Q88" s="288" t="s">
        <v>44</v>
      </c>
      <c r="R88" s="291">
        <f t="shared" si="8"/>
        <v>0</v>
      </c>
      <c r="S88" s="291">
        <f t="shared" si="9"/>
        <v>0</v>
      </c>
      <c r="T88" s="291" t="e">
        <f t="shared" si="10"/>
        <v>#VALUE!</v>
      </c>
      <c r="U88" s="291">
        <f t="shared" si="11"/>
        <v>0</v>
      </c>
    </row>
    <row r="89" spans="6:21" ht="13" x14ac:dyDescent="0.3">
      <c r="F89" s="288" t="s">
        <v>58</v>
      </c>
      <c r="G89" s="289"/>
      <c r="H89" s="289" t="str">
        <f>VLOOKUP(F89,'5. Geo'!$B$3:$F$26,5,0)</f>
        <v>USA</v>
      </c>
      <c r="I89" s="366">
        <f>VLOOKUP(F89,'5. Geo'!$B$3:$F$26,2,0)</f>
        <v>2019</v>
      </c>
      <c r="J89" s="290">
        <f t="shared" si="12"/>
        <v>45138</v>
      </c>
      <c r="K89" s="291"/>
      <c r="L89" s="291"/>
      <c r="M89" s="291" t="str">
        <f>VLOOKUP(F89,NAV!$B$9:$E$43,3,0)</f>
        <v>Promissory Note</v>
      </c>
      <c r="N89" s="291">
        <f t="shared" si="6"/>
        <v>0</v>
      </c>
      <c r="O89" s="345"/>
      <c r="P89" s="345">
        <f t="shared" si="7"/>
        <v>0</v>
      </c>
      <c r="Q89" s="288" t="s">
        <v>58</v>
      </c>
      <c r="R89" s="291">
        <f t="shared" si="8"/>
        <v>0</v>
      </c>
      <c r="S89" s="291">
        <f t="shared" si="9"/>
        <v>0</v>
      </c>
      <c r="T89" s="291" t="e">
        <f t="shared" si="10"/>
        <v>#VALUE!</v>
      </c>
      <c r="U89" s="291">
        <f t="shared" si="11"/>
        <v>0</v>
      </c>
    </row>
    <row r="90" spans="6:21" ht="13" x14ac:dyDescent="0.3">
      <c r="F90" s="288" t="s">
        <v>0</v>
      </c>
      <c r="G90" s="289"/>
      <c r="H90" s="289" t="str">
        <f>VLOOKUP(F90,'5. Geo'!$B$3:$F$26,5,0)</f>
        <v>Asia-China</v>
      </c>
      <c r="I90" s="366">
        <f>VLOOKUP(F90,'5. Geo'!$B$3:$F$26,2,0)</f>
        <v>2019</v>
      </c>
      <c r="J90" s="290">
        <f t="shared" si="12"/>
        <v>45138</v>
      </c>
      <c r="K90" s="291"/>
      <c r="L90" s="291"/>
      <c r="M90" s="291" t="str">
        <f>VLOOKUP(F90,NAV!$B$9:$E$43,3,0)</f>
        <v>B Prefs</v>
      </c>
      <c r="N90" s="291">
        <f t="shared" si="6"/>
        <v>0</v>
      </c>
      <c r="O90" s="345"/>
      <c r="P90" s="345">
        <f t="shared" si="7"/>
        <v>1</v>
      </c>
      <c r="Q90" s="288" t="s">
        <v>0</v>
      </c>
      <c r="R90" s="291">
        <f t="shared" si="8"/>
        <v>0</v>
      </c>
      <c r="S90" s="291">
        <f t="shared" si="9"/>
        <v>0</v>
      </c>
      <c r="T90" s="291" t="e">
        <f t="shared" si="10"/>
        <v>#VALUE!</v>
      </c>
      <c r="U90" s="291">
        <f t="shared" si="11"/>
        <v>0</v>
      </c>
    </row>
    <row r="91" spans="6:21" ht="13" x14ac:dyDescent="0.3">
      <c r="F91" s="288" t="s">
        <v>49</v>
      </c>
      <c r="G91" s="289"/>
      <c r="H91" s="289" t="str">
        <f>VLOOKUP(F91,'5. Geo'!$B$3:$F$26,5,0)</f>
        <v>Rest of Asia</v>
      </c>
      <c r="I91" s="366">
        <f>VLOOKUP(F91,'5. Geo'!$B$3:$F$26,2,0)</f>
        <v>2020</v>
      </c>
      <c r="J91" s="290">
        <f t="shared" si="12"/>
        <v>45138</v>
      </c>
      <c r="K91" s="291"/>
      <c r="L91" s="291"/>
      <c r="M91" s="291" t="str">
        <f>VLOOKUP(F91,NAV!$B$9:$E$43,3,0)</f>
        <v>Convertible Note</v>
      </c>
      <c r="N91" s="291">
        <f t="shared" si="6"/>
        <v>0</v>
      </c>
      <c r="O91" s="345"/>
      <c r="P91" s="345">
        <f t="shared" si="7"/>
        <v>0</v>
      </c>
      <c r="Q91" s="288" t="s">
        <v>49</v>
      </c>
      <c r="R91" s="291">
        <f t="shared" si="8"/>
        <v>0</v>
      </c>
      <c r="S91" s="291">
        <f t="shared" si="9"/>
        <v>0</v>
      </c>
      <c r="T91" s="291" t="e">
        <f t="shared" si="10"/>
        <v>#VALUE!</v>
      </c>
      <c r="U91" s="291">
        <f t="shared" si="11"/>
        <v>0</v>
      </c>
    </row>
    <row r="92" spans="6:21" ht="13" x14ac:dyDescent="0.3">
      <c r="F92" s="288" t="s">
        <v>171</v>
      </c>
      <c r="G92" s="289"/>
      <c r="H92" s="289" t="str">
        <f>VLOOKUP(F92,'5. Geo'!$B$3:$F$26,5,0)</f>
        <v>Europe</v>
      </c>
      <c r="I92" s="366">
        <f>VLOOKUP(F92,'5. Geo'!$B$3:$F$26,2,0)</f>
        <v>2020</v>
      </c>
      <c r="J92" s="290">
        <f t="shared" si="12"/>
        <v>45138</v>
      </c>
      <c r="K92" s="291"/>
      <c r="L92" s="291"/>
      <c r="M92" s="291" t="str">
        <f>VLOOKUP(F92,NAV!$B$9:$E$43,3,0)</f>
        <v xml:space="preserve">LP </v>
      </c>
      <c r="N92" s="291">
        <f t="shared" si="6"/>
        <v>0</v>
      </c>
      <c r="O92" s="345"/>
      <c r="P92" s="345">
        <f t="shared" si="7"/>
        <v>0</v>
      </c>
      <c r="Q92" s="288" t="s">
        <v>31</v>
      </c>
      <c r="R92" s="291">
        <f t="shared" si="8"/>
        <v>0</v>
      </c>
      <c r="S92" s="291">
        <f t="shared" si="9"/>
        <v>0</v>
      </c>
      <c r="T92" s="291" t="e">
        <f t="shared" si="10"/>
        <v>#VALUE!</v>
      </c>
      <c r="U92" s="291">
        <f t="shared" si="11"/>
        <v>0</v>
      </c>
    </row>
    <row r="93" spans="6:21" ht="13" x14ac:dyDescent="0.3">
      <c r="F93" s="288" t="s">
        <v>153</v>
      </c>
      <c r="G93" s="289"/>
      <c r="H93" s="289" t="str">
        <f>VLOOKUP(F93,'5. Geo'!$B$3:$F$26,5,0)</f>
        <v>Europe</v>
      </c>
      <c r="I93" s="366">
        <f>VLOOKUP(F93,'5. Geo'!$B$3:$F$26,2,0)</f>
        <v>2020</v>
      </c>
      <c r="J93" s="290">
        <f t="shared" si="12"/>
        <v>45138</v>
      </c>
      <c r="K93" s="291"/>
      <c r="L93" s="291"/>
      <c r="M93" s="291" t="e">
        <f>VLOOKUP(F93,NAV!$B$9:$E$43,3,0)</f>
        <v>#N/A</v>
      </c>
      <c r="N93" s="291" t="e">
        <f t="shared" si="6"/>
        <v>#N/A</v>
      </c>
      <c r="O93" s="345"/>
      <c r="P93" s="345">
        <f t="shared" si="7"/>
        <v>0</v>
      </c>
      <c r="Q93" s="288" t="s">
        <v>31</v>
      </c>
      <c r="R93" s="291">
        <f t="shared" si="8"/>
        <v>0</v>
      </c>
      <c r="S93" s="291">
        <f t="shared" si="9"/>
        <v>0</v>
      </c>
      <c r="T93" s="291" t="e">
        <f t="shared" si="10"/>
        <v>#N/A</v>
      </c>
      <c r="U93" s="291" t="e">
        <f t="shared" si="11"/>
        <v>#N/A</v>
      </c>
    </row>
    <row r="94" spans="6:21" ht="13" x14ac:dyDescent="0.3">
      <c r="F94" s="288" t="s">
        <v>1</v>
      </c>
      <c r="G94" s="289"/>
      <c r="H94" s="289" t="str">
        <f>VLOOKUP(F94,'5. Geo'!$B$3:$F$26,5,0)</f>
        <v>Asia-China</v>
      </c>
      <c r="I94" s="366">
        <f>VLOOKUP(F94,'5. Geo'!$B$3:$F$26,2,0)</f>
        <v>2020</v>
      </c>
      <c r="J94" s="290">
        <f t="shared" si="12"/>
        <v>45138</v>
      </c>
      <c r="K94" s="291"/>
      <c r="L94" s="291"/>
      <c r="M94" s="291" t="str">
        <f>VLOOKUP(F94,NAV!$B$9:$E$43,3,0)</f>
        <v xml:space="preserve">LP </v>
      </c>
      <c r="N94" s="291">
        <f t="shared" si="6"/>
        <v>0</v>
      </c>
      <c r="O94" s="345"/>
      <c r="P94" s="345">
        <f t="shared" si="7"/>
        <v>1</v>
      </c>
      <c r="Q94" s="288" t="s">
        <v>1</v>
      </c>
      <c r="R94" s="291">
        <f t="shared" si="8"/>
        <v>0</v>
      </c>
      <c r="S94" s="291">
        <f t="shared" si="9"/>
        <v>0</v>
      </c>
      <c r="T94" s="291" t="e">
        <f t="shared" si="10"/>
        <v>#VALUE!</v>
      </c>
      <c r="U94" s="291">
        <f t="shared" si="11"/>
        <v>0</v>
      </c>
    </row>
    <row r="95" spans="6:21" ht="13" x14ac:dyDescent="0.3">
      <c r="F95" s="288" t="s">
        <v>15</v>
      </c>
      <c r="G95" s="289"/>
      <c r="H95" s="289" t="str">
        <f>VLOOKUP(F95,'5. Geo'!$B$3:$F$26,5,0)</f>
        <v>Asia-China</v>
      </c>
      <c r="I95" s="366">
        <f>VLOOKUP(F95,'5. Geo'!$B$3:$F$26,2,0)</f>
        <v>2020</v>
      </c>
      <c r="J95" s="290">
        <f t="shared" si="12"/>
        <v>45138</v>
      </c>
      <c r="K95" s="291"/>
      <c r="L95" s="291"/>
      <c r="M95" s="291" t="str">
        <f>VLOOKUP(F95,NAV!$B$9:$E$43,3,0)</f>
        <v xml:space="preserve">LP </v>
      </c>
      <c r="N95" s="291">
        <f t="shared" si="6"/>
        <v>0</v>
      </c>
      <c r="O95" s="345"/>
      <c r="P95" s="345">
        <f t="shared" si="7"/>
        <v>1</v>
      </c>
      <c r="Q95" s="288" t="s">
        <v>15</v>
      </c>
      <c r="R95" s="291">
        <f t="shared" si="8"/>
        <v>0</v>
      </c>
      <c r="S95" s="291">
        <f t="shared" si="9"/>
        <v>0</v>
      </c>
      <c r="T95" s="291" t="e">
        <f t="shared" si="10"/>
        <v>#VALUE!</v>
      </c>
      <c r="U95" s="291">
        <f t="shared" si="11"/>
        <v>0</v>
      </c>
    </row>
    <row r="96" spans="6:21" ht="13" x14ac:dyDescent="0.3">
      <c r="F96" s="288" t="s">
        <v>229</v>
      </c>
      <c r="G96" s="289"/>
      <c r="H96" s="289" t="str">
        <f>VLOOKUP(F96,'5. Geo'!$B$3:$F$26,5,0)</f>
        <v>USA</v>
      </c>
      <c r="I96" s="366">
        <f>VLOOKUP(F96,'5. Geo'!$B$3:$F$26,2,0)</f>
        <v>2021</v>
      </c>
      <c r="J96" s="290">
        <f t="shared" si="12"/>
        <v>45138</v>
      </c>
      <c r="K96" s="291"/>
      <c r="L96" s="291"/>
      <c r="M96" s="291" t="str">
        <f>VLOOKUP(F96,NAV!$B$9:$E$43,3,0)</f>
        <v xml:space="preserve">LP </v>
      </c>
      <c r="N96" s="291">
        <f t="shared" si="6"/>
        <v>0</v>
      </c>
      <c r="O96" s="345"/>
      <c r="P96" s="345">
        <f t="shared" si="7"/>
        <v>0</v>
      </c>
      <c r="Q96" s="288" t="s">
        <v>229</v>
      </c>
      <c r="R96" s="291">
        <f t="shared" si="8"/>
        <v>0</v>
      </c>
      <c r="S96" s="291">
        <f t="shared" si="9"/>
        <v>0</v>
      </c>
      <c r="T96" s="291" t="e">
        <f t="shared" si="10"/>
        <v>#VALUE!</v>
      </c>
      <c r="U96" s="291">
        <f t="shared" si="11"/>
        <v>0</v>
      </c>
    </row>
  </sheetData>
  <pageMargins left="0.7" right="0.7" top="0.75" bottom="0.75" header="0.3" footer="0.3"/>
  <pageSetup paperSize="9" orientation="portrait" verticalDpi="0" r:id="rId1"/>
  <ignoredErrors>
    <ignoredError sqref="N8:N17 N18:N96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8924-F322-4BDB-B724-E39256CF374B}">
  <sheetPr>
    <tabColor theme="4" tint="-0.499984740745262"/>
  </sheetPr>
  <dimension ref="B2:X73"/>
  <sheetViews>
    <sheetView zoomScale="85" zoomScaleNormal="85" workbookViewId="0">
      <pane xSplit="3" ySplit="21" topLeftCell="D22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ColWidth="9.1796875" defaultRowHeight="12" x14ac:dyDescent="0.3"/>
  <cols>
    <col min="1" max="1" width="5" style="83" customWidth="1"/>
    <col min="2" max="2" width="9.1796875" style="83"/>
    <col min="3" max="3" width="25.54296875" style="83" bestFit="1" customWidth="1"/>
    <col min="4" max="4" width="16.54296875" style="83" customWidth="1"/>
    <col min="5" max="6" width="13.7265625" style="83" customWidth="1"/>
    <col min="7" max="7" width="17.26953125" style="83" bestFit="1" customWidth="1"/>
    <col min="8" max="9" width="28.54296875" style="88" customWidth="1"/>
    <col min="10" max="12" width="21.26953125" style="88" customWidth="1"/>
    <col min="13" max="13" width="9.1796875" style="83"/>
    <col min="14" max="14" width="13.54296875" style="83" bestFit="1" customWidth="1"/>
    <col min="15" max="15" width="16" style="83" customWidth="1"/>
    <col min="16" max="16" width="20.453125" style="83" customWidth="1"/>
    <col min="17" max="21" width="17" style="83" customWidth="1"/>
    <col min="22" max="26" width="14.26953125" style="83" customWidth="1"/>
    <col min="27" max="16384" width="9.1796875" style="83"/>
  </cols>
  <sheetData>
    <row r="2" spans="2:12" s="162" customFormat="1" ht="43.5" customHeight="1" x14ac:dyDescent="0.65">
      <c r="B2" s="331" t="s">
        <v>281</v>
      </c>
      <c r="C2" s="332"/>
      <c r="D2" s="332"/>
      <c r="E2" s="332"/>
      <c r="F2" s="339"/>
      <c r="G2" s="339"/>
      <c r="H2" s="339"/>
      <c r="I2" s="339"/>
      <c r="J2" s="333"/>
      <c r="K2" s="334"/>
      <c r="L2" s="333"/>
    </row>
    <row r="3" spans="2:12" ht="14.5" x14ac:dyDescent="0.35">
      <c r="C3" s="92" t="s">
        <v>265</v>
      </c>
    </row>
    <row r="4" spans="2:12" ht="14.5" x14ac:dyDescent="0.35">
      <c r="C4" s="92"/>
    </row>
    <row r="5" spans="2:12" ht="14.5" x14ac:dyDescent="0.35">
      <c r="C5" s="92"/>
    </row>
    <row r="6" spans="2:12" ht="14.5" x14ac:dyDescent="0.35">
      <c r="C6" s="92"/>
    </row>
    <row r="8" spans="2:12" x14ac:dyDescent="0.3">
      <c r="C8" s="97" t="s">
        <v>138</v>
      </c>
      <c r="H8" s="314" t="s">
        <v>268</v>
      </c>
      <c r="I8" s="314" t="s">
        <v>267</v>
      </c>
      <c r="J8" s="314"/>
      <c r="K8" s="314"/>
      <c r="L8" s="314"/>
    </row>
    <row r="9" spans="2:12" s="98" customFormat="1" x14ac:dyDescent="0.3">
      <c r="C9" s="95" t="s">
        <v>6</v>
      </c>
      <c r="D9" s="96" t="s">
        <v>7</v>
      </c>
      <c r="E9" s="96" t="s">
        <v>139</v>
      </c>
      <c r="F9" s="96" t="s">
        <v>42</v>
      </c>
      <c r="G9" s="97" t="s">
        <v>137</v>
      </c>
      <c r="H9" s="96" t="s">
        <v>24</v>
      </c>
      <c r="I9" s="96" t="s">
        <v>57</v>
      </c>
      <c r="J9" s="96"/>
      <c r="K9" s="96"/>
      <c r="L9" s="96"/>
    </row>
    <row r="10" spans="2:12" s="98" customFormat="1" x14ac:dyDescent="0.3">
      <c r="C10" s="95"/>
      <c r="D10" s="96"/>
      <c r="E10" s="96"/>
      <c r="F10" s="96"/>
      <c r="G10" s="97"/>
      <c r="H10" s="96" t="s">
        <v>50</v>
      </c>
      <c r="I10" s="96" t="s">
        <v>0</v>
      </c>
      <c r="J10" s="96"/>
      <c r="K10" s="96"/>
      <c r="L10" s="96"/>
    </row>
    <row r="11" spans="2:12" s="98" customFormat="1" x14ac:dyDescent="0.3">
      <c r="C11" s="95"/>
      <c r="D11" s="96"/>
      <c r="E11" s="96"/>
      <c r="F11" s="96"/>
      <c r="G11" s="97"/>
      <c r="H11" s="96" t="s">
        <v>113</v>
      </c>
      <c r="I11" s="96" t="s">
        <v>48</v>
      </c>
      <c r="J11" s="96"/>
      <c r="K11" s="96"/>
      <c r="L11" s="96"/>
    </row>
    <row r="12" spans="2:12" s="98" customFormat="1" x14ac:dyDescent="0.3">
      <c r="C12" s="95"/>
      <c r="D12" s="96"/>
      <c r="E12" s="96"/>
      <c r="F12" s="96"/>
      <c r="G12" s="97"/>
      <c r="H12" s="96" t="s">
        <v>25</v>
      </c>
      <c r="I12" s="96" t="s">
        <v>49</v>
      </c>
      <c r="J12" s="96"/>
      <c r="K12" s="96"/>
      <c r="L12" s="96"/>
    </row>
    <row r="13" spans="2:12" s="98" customFormat="1" x14ac:dyDescent="0.3">
      <c r="C13" s="95"/>
      <c r="D13" s="96"/>
      <c r="E13" s="96"/>
      <c r="F13" s="96"/>
      <c r="G13" s="97"/>
      <c r="H13" s="96" t="s">
        <v>132</v>
      </c>
      <c r="I13" s="96" t="s">
        <v>47</v>
      </c>
      <c r="J13" s="96"/>
      <c r="K13" s="96"/>
      <c r="L13" s="96"/>
    </row>
    <row r="14" spans="2:12" s="98" customFormat="1" x14ac:dyDescent="0.3">
      <c r="C14" s="95"/>
      <c r="D14" s="96"/>
      <c r="E14" s="96"/>
      <c r="F14" s="96"/>
      <c r="G14" s="97"/>
      <c r="H14" s="96" t="s">
        <v>44</v>
      </c>
      <c r="I14" s="96" t="s">
        <v>131</v>
      </c>
      <c r="J14" s="96"/>
      <c r="K14" s="96"/>
      <c r="L14" s="96"/>
    </row>
    <row r="15" spans="2:12" s="98" customFormat="1" x14ac:dyDescent="0.3">
      <c r="C15" s="95"/>
      <c r="D15" s="96"/>
      <c r="E15" s="96"/>
      <c r="F15" s="96"/>
      <c r="G15" s="97"/>
      <c r="H15" s="96"/>
      <c r="I15" s="96" t="s">
        <v>11</v>
      </c>
      <c r="J15" s="96"/>
      <c r="K15" s="96"/>
      <c r="L15" s="96"/>
    </row>
    <row r="16" spans="2:12" s="98" customFormat="1" x14ac:dyDescent="0.3">
      <c r="C16" s="95"/>
      <c r="D16" s="96"/>
      <c r="E16" s="96"/>
      <c r="F16" s="96"/>
      <c r="G16" s="97"/>
      <c r="H16" s="96"/>
      <c r="I16" s="96" t="s">
        <v>51</v>
      </c>
      <c r="J16" s="96"/>
      <c r="K16" s="96"/>
      <c r="L16" s="96"/>
    </row>
    <row r="17" spans="3:24" s="98" customFormat="1" x14ac:dyDescent="0.3">
      <c r="C17" s="95"/>
      <c r="D17" s="96"/>
      <c r="E17" s="96"/>
      <c r="F17" s="96"/>
      <c r="G17" s="97"/>
      <c r="H17" s="96"/>
      <c r="I17" s="96" t="s">
        <v>52</v>
      </c>
      <c r="J17" s="96"/>
      <c r="K17" s="96"/>
      <c r="L17" s="96"/>
    </row>
    <row r="18" spans="3:24" s="98" customFormat="1" x14ac:dyDescent="0.3">
      <c r="C18" s="95"/>
      <c r="D18" s="96"/>
      <c r="E18" s="96"/>
      <c r="F18" s="96"/>
      <c r="G18" s="97"/>
      <c r="H18" s="96"/>
      <c r="I18" s="96"/>
      <c r="J18" s="96"/>
      <c r="K18" s="96"/>
      <c r="L18" s="96"/>
    </row>
    <row r="19" spans="3:24" s="98" customFormat="1" x14ac:dyDescent="0.3"/>
    <row r="21" spans="3:24" ht="26" x14ac:dyDescent="0.35">
      <c r="C21" s="95"/>
      <c r="D21" s="96"/>
      <c r="E21" s="96"/>
      <c r="F21" s="96"/>
      <c r="G21" s="97"/>
      <c r="H21" s="96"/>
      <c r="I21" s="96" t="s">
        <v>139</v>
      </c>
      <c r="J21" s="96" t="s">
        <v>269</v>
      </c>
      <c r="K21" s="96" t="s">
        <v>137</v>
      </c>
      <c r="L21" s="96" t="s">
        <v>217</v>
      </c>
      <c r="N21" s="303"/>
      <c r="O21" s="304" t="s">
        <v>239</v>
      </c>
      <c r="P21" s="304" t="s">
        <v>41</v>
      </c>
      <c r="Q21" s="305" t="s">
        <v>2</v>
      </c>
      <c r="R21" s="305" t="s">
        <v>60</v>
      </c>
      <c r="S21" s="305" t="s">
        <v>42</v>
      </c>
      <c r="T21" s="305" t="s">
        <v>215</v>
      </c>
      <c r="U21" s="305" t="s">
        <v>32</v>
      </c>
      <c r="V21" s="305" t="s">
        <v>43</v>
      </c>
      <c r="W21" s="305" t="s">
        <v>228</v>
      </c>
      <c r="X21" s="305" t="s">
        <v>140</v>
      </c>
    </row>
    <row r="22" spans="3:24" ht="14.5" x14ac:dyDescent="0.35">
      <c r="C22" s="84" t="str">
        <f>'CF (Equity, Debt)'!C4</f>
        <v>Jollychic Holding Limited</v>
      </c>
      <c r="D22" s="85">
        <f>'CF (Equity, Debt)'!D4</f>
        <v>43470</v>
      </c>
      <c r="E22" s="93">
        <f>'CF (Equity, Debt)'!E4</f>
        <v>-30</v>
      </c>
      <c r="F22" s="93"/>
      <c r="I22" s="93">
        <f>IF(ISERROR(VLOOKUP($C22,$I$9:$I$18,1,0)),0,1)*E22</f>
        <v>-30</v>
      </c>
      <c r="J22" s="93">
        <f>IF(ISERROR(VLOOKUP($C22,$I$9:$I$18,1,0)),0,1)*F22</f>
        <v>0</v>
      </c>
      <c r="K22" s="93">
        <f>IF(ISERROR(VLOOKUP($C22,$I$9:$I$18,1,0)),0,1)*G22</f>
        <v>0</v>
      </c>
      <c r="L22" s="93">
        <f>SUM(I22:K22)</f>
        <v>-30</v>
      </c>
      <c r="N22" s="303"/>
      <c r="O22" s="175"/>
      <c r="P22" s="175"/>
      <c r="Q22" s="175"/>
      <c r="R22" s="175"/>
      <c r="S22" s="175"/>
      <c r="T22" s="175"/>
      <c r="U22" s="175"/>
      <c r="V22" s="175"/>
      <c r="W22" s="175"/>
      <c r="X22" s="175"/>
    </row>
    <row r="23" spans="3:24" ht="14.5" x14ac:dyDescent="0.35">
      <c r="C23" s="84" t="str">
        <f>'CF (Equity, Debt)'!C5</f>
        <v>Jollychic Holding Limited</v>
      </c>
      <c r="D23" s="85">
        <f>'CF (Equity, Debt)'!D5</f>
        <v>43724</v>
      </c>
      <c r="E23" s="93">
        <f>'CF (Equity, Debt)'!E5</f>
        <v>-20</v>
      </c>
      <c r="F23" s="93"/>
      <c r="I23" s="93">
        <f t="shared" ref="I23:I64" si="0">IF(ISERROR(VLOOKUP($C23,$I$9:$I$18,1,0)),0,1)*E23</f>
        <v>-20</v>
      </c>
      <c r="J23" s="93">
        <f t="shared" ref="J23:J64" si="1">IF(ISERROR(VLOOKUP($C23,$I$9:$I$18,1,0)),0,1)*F23</f>
        <v>0</v>
      </c>
      <c r="K23" s="93">
        <f t="shared" ref="K23:K64" si="2">IF(ISERROR(VLOOKUP($C23,$I$9:$I$18,1,0)),0,1)*G23</f>
        <v>0</v>
      </c>
      <c r="L23" s="93">
        <f t="shared" ref="L23:L64" si="3">SUM(I23:K23)</f>
        <v>-20</v>
      </c>
      <c r="N23" s="310"/>
      <c r="O23" s="175">
        <f>COUNTIF(I9:I17,"*")</f>
        <v>9</v>
      </c>
      <c r="P23" s="315">
        <f>Q23</f>
        <v>379.99397987284391</v>
      </c>
      <c r="Q23" s="315">
        <f>-SUM(I22:I64)</f>
        <v>379.99397987284391</v>
      </c>
      <c r="R23" s="317">
        <f>P23-Q23</f>
        <v>0</v>
      </c>
      <c r="S23" s="315">
        <f>SUM(J22:J64)</f>
        <v>5</v>
      </c>
      <c r="T23" s="315" t="e">
        <f>SUM(K22:K64)</f>
        <v>#VALUE!</v>
      </c>
      <c r="U23" s="318" t="e">
        <f>J70</f>
        <v>#VALUE!</v>
      </c>
      <c r="V23" s="319" t="e">
        <f>J71</f>
        <v>#VALUE!</v>
      </c>
      <c r="W23" s="319" t="e">
        <f>J72</f>
        <v>#VALUE!</v>
      </c>
      <c r="X23" s="319">
        <f>J73</f>
        <v>1.3158103193300939E-2</v>
      </c>
    </row>
    <row r="24" spans="3:24" x14ac:dyDescent="0.3">
      <c r="C24" s="84" t="str">
        <f>'CF (Equity, Debt)'!C6</f>
        <v>Jollychic Holding Limited</v>
      </c>
      <c r="D24" s="85">
        <f>'CF (Equity, Debt)'!D6</f>
        <v>43724</v>
      </c>
      <c r="E24" s="93">
        <f>'CF (Equity, Debt)'!E6</f>
        <v>-15</v>
      </c>
      <c r="F24" s="93"/>
      <c r="I24" s="93">
        <f t="shared" si="0"/>
        <v>-15</v>
      </c>
      <c r="J24" s="93">
        <f t="shared" si="1"/>
        <v>0</v>
      </c>
      <c r="K24" s="93">
        <f t="shared" si="2"/>
        <v>0</v>
      </c>
      <c r="L24" s="93">
        <f t="shared" si="3"/>
        <v>-15</v>
      </c>
    </row>
    <row r="25" spans="3:24" x14ac:dyDescent="0.3">
      <c r="C25" s="86" t="str">
        <f>'CF (Equity, Debt)'!C7</f>
        <v>Mena Mobile Inc</v>
      </c>
      <c r="D25" s="87">
        <f>'CF (Equity, Debt)'!D7</f>
        <v>43563</v>
      </c>
      <c r="E25" s="94">
        <f>'CF (Equity, Debt)'!E7</f>
        <v>-8</v>
      </c>
      <c r="F25" s="94"/>
      <c r="I25" s="93">
        <f t="shared" si="0"/>
        <v>-8</v>
      </c>
      <c r="J25" s="93">
        <f t="shared" si="1"/>
        <v>0</v>
      </c>
      <c r="K25" s="93">
        <f t="shared" si="2"/>
        <v>0</v>
      </c>
      <c r="L25" s="93">
        <f t="shared" si="3"/>
        <v>-8</v>
      </c>
    </row>
    <row r="26" spans="3:24" x14ac:dyDescent="0.3">
      <c r="C26" s="84" t="str">
        <f>'CF (Equity, Debt)'!C8</f>
        <v>Flyr Inc</v>
      </c>
      <c r="D26" s="85">
        <f>'CF (Equity, Debt)'!D8</f>
        <v>43570</v>
      </c>
      <c r="E26" s="93">
        <f>'CF (Equity, Debt)'!E8</f>
        <v>-4.9999980900000001</v>
      </c>
      <c r="F26" s="93"/>
      <c r="H26" s="83"/>
      <c r="I26" s="93">
        <f t="shared" si="0"/>
        <v>-4.9999980900000001</v>
      </c>
      <c r="J26" s="93">
        <f t="shared" si="1"/>
        <v>0</v>
      </c>
      <c r="K26" s="93">
        <f t="shared" si="2"/>
        <v>0</v>
      </c>
      <c r="L26" s="93">
        <f t="shared" si="3"/>
        <v>-4.9999980900000001</v>
      </c>
    </row>
    <row r="27" spans="3:24" x14ac:dyDescent="0.3">
      <c r="C27" s="84" t="str">
        <f>'CF (Equity, Debt)'!C9</f>
        <v>Flyr Inc</v>
      </c>
      <c r="D27" s="85">
        <f>'CF (Equity, Debt)'!D9</f>
        <v>43915</v>
      </c>
      <c r="E27" s="93">
        <f>'CF (Equity, Debt)'!E9</f>
        <v>-5.0000019099999999</v>
      </c>
      <c r="F27" s="93"/>
      <c r="H27" s="83"/>
      <c r="I27" s="93">
        <f t="shared" si="0"/>
        <v>-5.0000019099999999</v>
      </c>
      <c r="J27" s="93">
        <f t="shared" si="1"/>
        <v>0</v>
      </c>
      <c r="K27" s="93">
        <f t="shared" si="2"/>
        <v>0</v>
      </c>
      <c r="L27" s="93">
        <f t="shared" si="3"/>
        <v>-5.0000019099999999</v>
      </c>
    </row>
    <row r="28" spans="3:24" x14ac:dyDescent="0.3">
      <c r="C28" s="86" t="str">
        <f>'CF (Equity, Debt)'!C10</f>
        <v xml:space="preserve">Esyasoft Holding </v>
      </c>
      <c r="D28" s="87">
        <f>'CF (Equity, Debt)'!D10</f>
        <v>43870</v>
      </c>
      <c r="E28" s="94">
        <f>'CF (Equity, Debt)'!E10</f>
        <v>-2.5</v>
      </c>
      <c r="F28" s="94"/>
      <c r="I28" s="93">
        <f t="shared" si="0"/>
        <v>-2.5</v>
      </c>
      <c r="J28" s="93">
        <f t="shared" si="1"/>
        <v>0</v>
      </c>
      <c r="K28" s="93">
        <f t="shared" si="2"/>
        <v>0</v>
      </c>
      <c r="L28" s="93">
        <f t="shared" si="3"/>
        <v>-2.5</v>
      </c>
    </row>
    <row r="29" spans="3:24" x14ac:dyDescent="0.3">
      <c r="C29" s="84" t="str">
        <f>'CF (Equity, Debt)'!C11</f>
        <v>Beyond Limits</v>
      </c>
      <c r="D29" s="85">
        <f>'CF (Equity, Debt)'!D11</f>
        <v>43879</v>
      </c>
      <c r="E29" s="93">
        <f>'CF (Equity, Debt)'!E11</f>
        <v>-20</v>
      </c>
      <c r="F29" s="93"/>
      <c r="I29" s="93">
        <f t="shared" si="0"/>
        <v>-20</v>
      </c>
      <c r="J29" s="93">
        <f t="shared" si="1"/>
        <v>0</v>
      </c>
      <c r="K29" s="93">
        <f t="shared" si="2"/>
        <v>0</v>
      </c>
      <c r="L29" s="93">
        <f t="shared" si="3"/>
        <v>-20</v>
      </c>
    </row>
    <row r="30" spans="3:24" x14ac:dyDescent="0.3">
      <c r="C30" s="84" t="str">
        <f>'CF (Equity, Debt)'!C12</f>
        <v>Beyond Limits</v>
      </c>
      <c r="D30" s="85">
        <f>'CF (Equity, Debt)'!D12</f>
        <v>43921</v>
      </c>
      <c r="E30" s="93">
        <f>'CF (Equity, Debt)'!E12</f>
        <v>-30</v>
      </c>
      <c r="F30" s="93"/>
      <c r="I30" s="93">
        <f t="shared" si="0"/>
        <v>-30</v>
      </c>
      <c r="J30" s="93">
        <f t="shared" si="1"/>
        <v>0</v>
      </c>
      <c r="K30" s="93">
        <f t="shared" si="2"/>
        <v>0</v>
      </c>
      <c r="L30" s="93">
        <f t="shared" si="3"/>
        <v>-30</v>
      </c>
    </row>
    <row r="31" spans="3:24" x14ac:dyDescent="0.3">
      <c r="C31" s="84" t="str">
        <f>'CF (Equity, Debt)'!C13</f>
        <v>Beyond Limits</v>
      </c>
      <c r="D31" s="85">
        <f>'CF (Equity, Debt)'!D13</f>
        <v>43989</v>
      </c>
      <c r="E31" s="93">
        <f>'CF (Equity, Debt)'!E13</f>
        <v>-30</v>
      </c>
      <c r="F31" s="93"/>
      <c r="I31" s="93">
        <f t="shared" si="0"/>
        <v>-30</v>
      </c>
      <c r="J31" s="93">
        <f t="shared" si="1"/>
        <v>0</v>
      </c>
      <c r="K31" s="93">
        <f t="shared" si="2"/>
        <v>0</v>
      </c>
      <c r="L31" s="93">
        <f t="shared" si="3"/>
        <v>-30</v>
      </c>
    </row>
    <row r="32" spans="3:24" s="88" customFormat="1" x14ac:dyDescent="0.3">
      <c r="C32" s="84" t="str">
        <f>'CF (Equity, Debt)'!C14</f>
        <v>Beyond Limits</v>
      </c>
      <c r="D32" s="85">
        <f>'CF (Equity, Debt)'!D14</f>
        <v>44103</v>
      </c>
      <c r="E32" s="93">
        <f>'CF (Equity, Debt)'!E14</f>
        <v>-10</v>
      </c>
      <c r="F32" s="93"/>
      <c r="G32" s="83"/>
      <c r="I32" s="93">
        <f t="shared" si="0"/>
        <v>-10</v>
      </c>
      <c r="J32" s="93">
        <f t="shared" si="1"/>
        <v>0</v>
      </c>
      <c r="K32" s="93">
        <f t="shared" si="2"/>
        <v>0</v>
      </c>
      <c r="L32" s="93">
        <f t="shared" si="3"/>
        <v>-10</v>
      </c>
    </row>
    <row r="33" spans="3:12" s="88" customFormat="1" x14ac:dyDescent="0.3">
      <c r="C33" s="86" t="str">
        <f>'CF (Equity, Debt)'!C15</f>
        <v>ONT plc</v>
      </c>
      <c r="D33" s="87">
        <f>'CF (Equity, Debt)'!D15</f>
        <v>43968</v>
      </c>
      <c r="E33" s="94">
        <f>'CF (Equity, Debt)'!E15</f>
        <v>-50</v>
      </c>
      <c r="F33" s="94"/>
      <c r="G33" s="83"/>
      <c r="I33" s="93">
        <f t="shared" si="0"/>
        <v>-50</v>
      </c>
      <c r="J33" s="93">
        <f t="shared" si="1"/>
        <v>0</v>
      </c>
      <c r="K33" s="93">
        <f t="shared" si="2"/>
        <v>0</v>
      </c>
      <c r="L33" s="93">
        <f t="shared" si="3"/>
        <v>-50</v>
      </c>
    </row>
    <row r="34" spans="3:12" s="88" customFormat="1" x14ac:dyDescent="0.3">
      <c r="C34" s="86" t="str">
        <f>'CF (Equity, Debt)'!C16</f>
        <v>ONT plc</v>
      </c>
      <c r="D34" s="87">
        <f>'CF (Equity, Debt)'!D16</f>
        <v>44006</v>
      </c>
      <c r="E34" s="94">
        <f>'CF (Equity, Debt)'!E16</f>
        <v>-27.268350856443721</v>
      </c>
      <c r="F34" s="94"/>
      <c r="G34" s="83"/>
      <c r="I34" s="93">
        <f t="shared" si="0"/>
        <v>-27.268350856443721</v>
      </c>
      <c r="J34" s="93">
        <f t="shared" si="1"/>
        <v>0</v>
      </c>
      <c r="K34" s="93">
        <f t="shared" si="2"/>
        <v>0</v>
      </c>
      <c r="L34" s="93">
        <f t="shared" si="3"/>
        <v>-27.268350856443721</v>
      </c>
    </row>
    <row r="35" spans="3:12" s="88" customFormat="1" x14ac:dyDescent="0.3">
      <c r="C35" s="86" t="str">
        <f>'CF (Equity, Debt)'!C17</f>
        <v>ONT plc</v>
      </c>
      <c r="D35" s="87">
        <f>'CF (Equity, Debt)'!D17</f>
        <v>43837</v>
      </c>
      <c r="E35" s="94">
        <f>'CF (Equity, Debt)'!E17</f>
        <v>-18.109441299619355</v>
      </c>
      <c r="F35" s="94"/>
      <c r="G35" s="83"/>
      <c r="I35" s="93">
        <f t="shared" si="0"/>
        <v>-18.109441299619355</v>
      </c>
      <c r="J35" s="93">
        <f t="shared" si="1"/>
        <v>0</v>
      </c>
      <c r="K35" s="93">
        <f t="shared" si="2"/>
        <v>0</v>
      </c>
      <c r="L35" s="93">
        <f t="shared" si="3"/>
        <v>-18.109441299619355</v>
      </c>
    </row>
    <row r="36" spans="3:12" s="88" customFormat="1" x14ac:dyDescent="0.3">
      <c r="C36" s="86" t="str">
        <f>'CF (Equity, Debt)'!C18</f>
        <v>ONT plc</v>
      </c>
      <c r="D36" s="87">
        <f>'CF (Equity, Debt)'!D18</f>
        <v>43990</v>
      </c>
      <c r="E36" s="94">
        <f>'CF (Equity, Debt)'!E18</f>
        <v>-34.851687094159864</v>
      </c>
      <c r="F36" s="94"/>
      <c r="G36" s="83"/>
      <c r="I36" s="93">
        <f t="shared" si="0"/>
        <v>-34.851687094159864</v>
      </c>
      <c r="J36" s="93">
        <f t="shared" si="1"/>
        <v>0</v>
      </c>
      <c r="K36" s="93">
        <f t="shared" si="2"/>
        <v>0</v>
      </c>
      <c r="L36" s="93">
        <f t="shared" si="3"/>
        <v>-34.851687094159864</v>
      </c>
    </row>
    <row r="37" spans="3:12" s="88" customFormat="1" x14ac:dyDescent="0.3">
      <c r="C37" s="86" t="str">
        <f>'CF (Equity, Debt)'!C19</f>
        <v>ONT plc</v>
      </c>
      <c r="D37" s="87">
        <f>'CF (Equity, Debt)'!D19</f>
        <v>44315</v>
      </c>
      <c r="E37" s="94">
        <f>'CF (Equity, Debt)'!E19</f>
        <v>-11.240780424143557</v>
      </c>
      <c r="F37" s="94"/>
      <c r="G37" s="83"/>
      <c r="I37" s="93">
        <f t="shared" si="0"/>
        <v>-11.240780424143557</v>
      </c>
      <c r="J37" s="93">
        <f t="shared" si="1"/>
        <v>0</v>
      </c>
      <c r="K37" s="93">
        <f t="shared" si="2"/>
        <v>0</v>
      </c>
      <c r="L37" s="93">
        <f t="shared" si="3"/>
        <v>-11.240780424143557</v>
      </c>
    </row>
    <row r="38" spans="3:12" s="88" customFormat="1" x14ac:dyDescent="0.3">
      <c r="C38" s="84" t="str">
        <f>'CF (Equity, Debt)'!C20</f>
        <v>Heygears</v>
      </c>
      <c r="D38" s="85">
        <f>'CF (Equity, Debt)'!D20</f>
        <v>44166</v>
      </c>
      <c r="E38" s="93">
        <f>'CF (Equity, Debt)'!E20</f>
        <v>-60</v>
      </c>
      <c r="F38" s="93"/>
      <c r="G38" s="83"/>
      <c r="I38" s="93">
        <f t="shared" si="0"/>
        <v>-60</v>
      </c>
      <c r="J38" s="93">
        <f t="shared" si="1"/>
        <v>0</v>
      </c>
      <c r="K38" s="93">
        <f t="shared" si="2"/>
        <v>0</v>
      </c>
      <c r="L38" s="93">
        <f t="shared" si="3"/>
        <v>-60</v>
      </c>
    </row>
    <row r="39" spans="3:12" s="88" customFormat="1" x14ac:dyDescent="0.3">
      <c r="C39" s="86" t="str">
        <f>'CF (Equity, Debt)'!C21</f>
        <v>Jysan Technologies</v>
      </c>
      <c r="D39" s="87">
        <f>'CF (Equity, Debt)'!D21</f>
        <v>44363</v>
      </c>
      <c r="E39" s="94">
        <f>'CF (Equity, Debt)'!E21</f>
        <v>-20</v>
      </c>
      <c r="F39" s="94"/>
      <c r="G39" s="83"/>
      <c r="H39" s="94">
        <f>E39</f>
        <v>-20</v>
      </c>
      <c r="I39" s="93">
        <f t="shared" si="0"/>
        <v>0</v>
      </c>
      <c r="J39" s="93">
        <f t="shared" si="1"/>
        <v>0</v>
      </c>
      <c r="K39" s="93">
        <f t="shared" si="2"/>
        <v>0</v>
      </c>
      <c r="L39" s="93">
        <f t="shared" si="3"/>
        <v>0</v>
      </c>
    </row>
    <row r="40" spans="3:12" s="88" customFormat="1" x14ac:dyDescent="0.3">
      <c r="C40" s="84" t="str">
        <f>'CF (Equity, Debt)'!C22</f>
        <v>Cerebras Systems Inc</v>
      </c>
      <c r="D40" s="85">
        <f>'CF (Equity, Debt)'!D22</f>
        <v>44488</v>
      </c>
      <c r="E40" s="93">
        <f>'CF (Equity, Debt)'!E22</f>
        <v>-39.999983359999995</v>
      </c>
      <c r="F40" s="93"/>
      <c r="G40" s="83"/>
      <c r="H40" s="93">
        <f>E40</f>
        <v>-39.999983359999995</v>
      </c>
      <c r="I40" s="93">
        <f t="shared" si="0"/>
        <v>0</v>
      </c>
      <c r="J40" s="93">
        <f t="shared" si="1"/>
        <v>0</v>
      </c>
      <c r="K40" s="93">
        <f t="shared" si="2"/>
        <v>0</v>
      </c>
      <c r="L40" s="93">
        <f t="shared" si="3"/>
        <v>0</v>
      </c>
    </row>
    <row r="41" spans="3:12" s="88" customFormat="1" x14ac:dyDescent="0.3">
      <c r="C41" s="86" t="str">
        <f>'CF (Equity, Debt)'!C23</f>
        <v>Endless Studios LLC</v>
      </c>
      <c r="D41" s="87">
        <f>'CF (Equity, Debt)'!D23</f>
        <v>44494</v>
      </c>
      <c r="E41" s="94">
        <f>'CF (Equity, Debt)'!E23</f>
        <v>-3</v>
      </c>
      <c r="F41" s="94"/>
      <c r="G41" s="83"/>
      <c r="H41" s="93"/>
      <c r="I41" s="93">
        <f t="shared" si="0"/>
        <v>-3</v>
      </c>
      <c r="J41" s="93">
        <f t="shared" si="1"/>
        <v>0</v>
      </c>
      <c r="K41" s="93">
        <f t="shared" si="2"/>
        <v>0</v>
      </c>
      <c r="L41" s="93">
        <f>SUM(I41:K41)</f>
        <v>-3</v>
      </c>
    </row>
    <row r="42" spans="3:12" s="88" customFormat="1" x14ac:dyDescent="0.3">
      <c r="C42" s="84" t="str">
        <f>'CF (Equity, Debt)'!C24</f>
        <v>Instadeep Limited</v>
      </c>
      <c r="D42" s="85">
        <f>'CF (Equity, Debt)'!D24</f>
        <v>44550</v>
      </c>
      <c r="E42" s="93">
        <f>'CF (Equity, Debt)'!E24</f>
        <v>-5.0237201984774336</v>
      </c>
      <c r="F42" s="93"/>
      <c r="G42" s="83"/>
      <c r="H42" s="93"/>
      <c r="I42" s="93">
        <f t="shared" si="0"/>
        <v>-5.0237201984774336</v>
      </c>
      <c r="J42" s="93">
        <f t="shared" si="1"/>
        <v>0</v>
      </c>
      <c r="K42" s="93">
        <f t="shared" si="2"/>
        <v>0</v>
      </c>
      <c r="L42" s="93">
        <f>SUM(I42:K42)</f>
        <v>-5.0237201984774336</v>
      </c>
    </row>
    <row r="43" spans="3:12" s="88" customFormat="1" x14ac:dyDescent="0.3">
      <c r="C43" s="86" t="str">
        <f>'CF (Equity, Debt)'!C25</f>
        <v>X-fusion</v>
      </c>
      <c r="D43" s="87">
        <f>'CF (Equity, Debt)'!D25</f>
        <v>44574</v>
      </c>
      <c r="E43" s="94">
        <f>'CF (Equity, Debt)'!E25</f>
        <v>-493.50095619999996</v>
      </c>
      <c r="F43" s="94"/>
      <c r="G43" s="83"/>
      <c r="H43" s="94">
        <f>E43</f>
        <v>-493.50095619999996</v>
      </c>
      <c r="I43" s="93">
        <f t="shared" si="0"/>
        <v>0</v>
      </c>
      <c r="J43" s="93">
        <f t="shared" si="1"/>
        <v>0</v>
      </c>
      <c r="K43" s="93">
        <f t="shared" si="2"/>
        <v>0</v>
      </c>
      <c r="L43" s="93">
        <f t="shared" si="3"/>
        <v>0</v>
      </c>
    </row>
    <row r="44" spans="3:12" s="88" customFormat="1" x14ac:dyDescent="0.3">
      <c r="C44" s="84" t="str">
        <f>'CF (Equity, Debt)'!C26</f>
        <v>DriveNets</v>
      </c>
      <c r="D44" s="85">
        <f>'CF (Equity, Debt)'!D26</f>
        <v>44643</v>
      </c>
      <c r="E44" s="93">
        <f>'CF (Equity, Debt)'!E26</f>
        <v>-200</v>
      </c>
      <c r="F44" s="93"/>
      <c r="G44" s="83"/>
      <c r="H44" s="93">
        <f>E44</f>
        <v>-200</v>
      </c>
      <c r="I44" s="93">
        <f t="shared" si="0"/>
        <v>0</v>
      </c>
      <c r="J44" s="93">
        <f t="shared" si="1"/>
        <v>0</v>
      </c>
      <c r="K44" s="93">
        <f t="shared" si="2"/>
        <v>0</v>
      </c>
      <c r="L44" s="93">
        <f t="shared" si="3"/>
        <v>0</v>
      </c>
    </row>
    <row r="45" spans="3:12" s="88" customFormat="1" x14ac:dyDescent="0.3">
      <c r="C45" s="84" t="str">
        <f>'CF (Equity, Debt)'!C27</f>
        <v>DriveNets</v>
      </c>
      <c r="D45" s="85">
        <f>'CF (Equity, Debt)'!D27</f>
        <v>44680</v>
      </c>
      <c r="E45" s="93">
        <f>'CF (Equity, Debt)'!E27</f>
        <v>-100</v>
      </c>
      <c r="F45" s="93"/>
      <c r="G45" s="83"/>
      <c r="H45" s="93">
        <f>E45</f>
        <v>-100</v>
      </c>
      <c r="I45" s="93">
        <f t="shared" si="0"/>
        <v>0</v>
      </c>
      <c r="J45" s="93">
        <f t="shared" si="1"/>
        <v>0</v>
      </c>
      <c r="K45" s="93">
        <f t="shared" si="2"/>
        <v>0</v>
      </c>
      <c r="L45" s="93">
        <f t="shared" si="3"/>
        <v>0</v>
      </c>
    </row>
    <row r="46" spans="3:12" s="88" customFormat="1" x14ac:dyDescent="0.3">
      <c r="C46" s="86" t="str">
        <f>'CF (Equity, Debt)'!C28</f>
        <v xml:space="preserve">Esyasoft Holding </v>
      </c>
      <c r="D46" s="87">
        <f>'CF (Equity, Debt)'!D28</f>
        <v>44691</v>
      </c>
      <c r="E46" s="94">
        <f>'CF (Equity, Debt)'!E28</f>
        <v>0</v>
      </c>
      <c r="F46" s="94">
        <v>5</v>
      </c>
      <c r="G46" s="83"/>
      <c r="I46" s="93">
        <f>IF(ISERROR(VLOOKUP($C46,$I$9:$I$18,1,0)),0,1)*F46</f>
        <v>5</v>
      </c>
      <c r="J46" s="93">
        <f t="shared" si="1"/>
        <v>5</v>
      </c>
      <c r="K46" s="93">
        <f t="shared" si="2"/>
        <v>0</v>
      </c>
      <c r="L46" s="93">
        <f t="shared" si="3"/>
        <v>10</v>
      </c>
    </row>
    <row r="47" spans="3:12" s="88" customFormat="1" x14ac:dyDescent="0.3">
      <c r="C47" s="86" t="str">
        <f>'CF (Equity, Debt)'!C29</f>
        <v>vTv Therapeutics Inc.</v>
      </c>
      <c r="D47" s="87">
        <f>'CF (Equity, Debt)'!D29</f>
        <v>44712</v>
      </c>
      <c r="E47" s="94">
        <f>'CF (Equity, Debt)'!E29</f>
        <v>-12.5</v>
      </c>
      <c r="F47" s="94"/>
      <c r="G47" s="83"/>
      <c r="H47" s="94">
        <f>E47</f>
        <v>-12.5</v>
      </c>
      <c r="I47" s="93">
        <f t="shared" si="0"/>
        <v>0</v>
      </c>
      <c r="J47" s="93">
        <f t="shared" si="1"/>
        <v>0</v>
      </c>
      <c r="K47" s="93">
        <f t="shared" si="2"/>
        <v>0</v>
      </c>
      <c r="L47" s="93">
        <f t="shared" si="3"/>
        <v>0</v>
      </c>
    </row>
    <row r="48" spans="3:12" x14ac:dyDescent="0.3">
      <c r="C48" s="84" t="str">
        <f>'CF (Equity, Debt)'!C30</f>
        <v>Honor Device Co Ltd</v>
      </c>
      <c r="D48" s="85">
        <f>'CF (Equity, Debt)'!D30</f>
        <v>44769</v>
      </c>
      <c r="E48" s="93">
        <f>'CF (Equity, Debt)'!E30</f>
        <v>-600</v>
      </c>
      <c r="F48" s="93"/>
      <c r="H48" s="93">
        <f>E48</f>
        <v>-600</v>
      </c>
      <c r="I48" s="93">
        <f t="shared" si="0"/>
        <v>0</v>
      </c>
      <c r="J48" s="93">
        <f t="shared" si="1"/>
        <v>0</v>
      </c>
      <c r="K48" s="93">
        <f t="shared" si="2"/>
        <v>0</v>
      </c>
      <c r="L48" s="93">
        <f t="shared" si="3"/>
        <v>0</v>
      </c>
    </row>
    <row r="49" spans="2:12" x14ac:dyDescent="0.3">
      <c r="I49" s="93">
        <f t="shared" si="0"/>
        <v>0</v>
      </c>
      <c r="J49" s="93">
        <f t="shared" si="1"/>
        <v>0</v>
      </c>
      <c r="K49" s="93">
        <f t="shared" si="2"/>
        <v>0</v>
      </c>
      <c r="L49" s="93">
        <f t="shared" si="3"/>
        <v>0</v>
      </c>
    </row>
    <row r="50" spans="2:12" x14ac:dyDescent="0.3">
      <c r="B50" s="88">
        <v>1</v>
      </c>
      <c r="C50" s="86" t="s">
        <v>57</v>
      </c>
      <c r="D50" s="87">
        <v>44742</v>
      </c>
      <c r="G50" s="94" t="str">
        <f>VLOOKUP(C50,NAV!$B$9:$E$43,3,0)</f>
        <v>C+ Prefs</v>
      </c>
      <c r="I50" s="93">
        <f t="shared" si="0"/>
        <v>0</v>
      </c>
      <c r="J50" s="93">
        <f t="shared" si="1"/>
        <v>0</v>
      </c>
      <c r="K50" s="93" t="e">
        <f t="shared" si="2"/>
        <v>#VALUE!</v>
      </c>
      <c r="L50" s="93" t="e">
        <f t="shared" si="3"/>
        <v>#VALUE!</v>
      </c>
    </row>
    <row r="51" spans="2:12" x14ac:dyDescent="0.3">
      <c r="B51" s="88">
        <v>1</v>
      </c>
      <c r="C51" s="84" t="s">
        <v>0</v>
      </c>
      <c r="D51" s="85">
        <v>44742</v>
      </c>
      <c r="G51" s="93" t="str">
        <f>VLOOKUP(C51,NAV!$B$9:$E$43,3,0)</f>
        <v>B Prefs</v>
      </c>
      <c r="I51" s="93">
        <f t="shared" si="0"/>
        <v>0</v>
      </c>
      <c r="J51" s="93">
        <f t="shared" si="1"/>
        <v>0</v>
      </c>
      <c r="K51" s="93" t="e">
        <f t="shared" si="2"/>
        <v>#VALUE!</v>
      </c>
      <c r="L51" s="93" t="e">
        <f t="shared" si="3"/>
        <v>#VALUE!</v>
      </c>
    </row>
    <row r="52" spans="2:12" x14ac:dyDescent="0.3">
      <c r="B52" s="88">
        <v>1</v>
      </c>
      <c r="C52" s="86" t="s">
        <v>48</v>
      </c>
      <c r="D52" s="87">
        <v>44742</v>
      </c>
      <c r="G52" s="94" t="str">
        <f>VLOOKUP(C52,NAV!$B$9:$E$43,3,0)</f>
        <v>B-1,2 Prefs</v>
      </c>
      <c r="H52" s="83"/>
      <c r="I52" s="93">
        <f t="shared" si="0"/>
        <v>0</v>
      </c>
      <c r="J52" s="93">
        <f t="shared" si="1"/>
        <v>0</v>
      </c>
      <c r="K52" s="93" t="e">
        <f t="shared" si="2"/>
        <v>#VALUE!</v>
      </c>
      <c r="L52" s="93" t="e">
        <f t="shared" si="3"/>
        <v>#VALUE!</v>
      </c>
    </row>
    <row r="53" spans="2:12" x14ac:dyDescent="0.3">
      <c r="B53" s="88">
        <v>1</v>
      </c>
      <c r="C53" s="84" t="s">
        <v>49</v>
      </c>
      <c r="D53" s="85">
        <v>44742</v>
      </c>
      <c r="G53" s="93" t="str">
        <f>VLOOKUP(C53,NAV!$B$9:$E$43,3,0)</f>
        <v>Convertible Note</v>
      </c>
      <c r="I53" s="93">
        <f t="shared" si="0"/>
        <v>0</v>
      </c>
      <c r="J53" s="93">
        <f t="shared" si="1"/>
        <v>0</v>
      </c>
      <c r="K53" s="93" t="e">
        <f t="shared" si="2"/>
        <v>#VALUE!</v>
      </c>
      <c r="L53" s="93" t="e">
        <f t="shared" si="3"/>
        <v>#VALUE!</v>
      </c>
    </row>
    <row r="54" spans="2:12" x14ac:dyDescent="0.3">
      <c r="B54" s="88">
        <v>1</v>
      </c>
      <c r="C54" s="86" t="s">
        <v>47</v>
      </c>
      <c r="D54" s="87">
        <v>44742</v>
      </c>
      <c r="G54" s="94" t="str">
        <f>VLOOKUP(C54,NAV!$B$9:$E$43,3,0)</f>
        <v>C Prefs</v>
      </c>
      <c r="I54" s="93">
        <f t="shared" si="0"/>
        <v>0</v>
      </c>
      <c r="J54" s="93">
        <f t="shared" si="1"/>
        <v>0</v>
      </c>
      <c r="K54" s="93" t="e">
        <f t="shared" si="2"/>
        <v>#VALUE!</v>
      </c>
      <c r="L54" s="93" t="e">
        <f t="shared" si="3"/>
        <v>#VALUE!</v>
      </c>
    </row>
    <row r="55" spans="2:12" x14ac:dyDescent="0.3">
      <c r="B55" s="88">
        <v>1</v>
      </c>
      <c r="C55" s="84" t="s">
        <v>131</v>
      </c>
      <c r="D55" s="85">
        <v>44742</v>
      </c>
      <c r="G55" s="93" t="str">
        <f>VLOOKUP(C55,NAV!$B$9:$E$43,3,0)</f>
        <v>Ordinary Shares</v>
      </c>
      <c r="I55" s="93">
        <f t="shared" si="0"/>
        <v>0</v>
      </c>
      <c r="J55" s="93">
        <f t="shared" si="1"/>
        <v>0</v>
      </c>
      <c r="K55" s="93" t="e">
        <f t="shared" si="2"/>
        <v>#VALUE!</v>
      </c>
      <c r="L55" s="93" t="e">
        <f t="shared" si="3"/>
        <v>#VALUE!</v>
      </c>
    </row>
    <row r="56" spans="2:12" x14ac:dyDescent="0.3">
      <c r="B56" s="88">
        <v>1</v>
      </c>
      <c r="C56" s="86" t="s">
        <v>11</v>
      </c>
      <c r="D56" s="87">
        <v>44742</v>
      </c>
      <c r="G56" s="94" t="str">
        <f>VLOOKUP(C56,NAV!$B$9:$E$43,3,0)</f>
        <v>Registered Capital</v>
      </c>
      <c r="I56" s="93">
        <f t="shared" si="0"/>
        <v>0</v>
      </c>
      <c r="J56" s="93">
        <f t="shared" si="1"/>
        <v>0</v>
      </c>
      <c r="K56" s="93" t="e">
        <f t="shared" si="2"/>
        <v>#VALUE!</v>
      </c>
      <c r="L56" s="93" t="e">
        <f t="shared" si="3"/>
        <v>#VALUE!</v>
      </c>
    </row>
    <row r="57" spans="2:12" x14ac:dyDescent="0.3">
      <c r="B57" s="88"/>
      <c r="C57" s="84" t="s">
        <v>24</v>
      </c>
      <c r="D57" s="85">
        <v>44742</v>
      </c>
      <c r="G57" s="93" t="str">
        <f>VLOOKUP(C57,NAV!$B$9:$E$43,3,0)</f>
        <v>A (Ordinary Shares)</v>
      </c>
      <c r="H57" s="99" t="str">
        <f>G57</f>
        <v>A (Ordinary Shares)</v>
      </c>
      <c r="I57" s="93">
        <f t="shared" si="0"/>
        <v>0</v>
      </c>
      <c r="J57" s="93">
        <f t="shared" si="1"/>
        <v>0</v>
      </c>
      <c r="K57" s="93" t="e">
        <f t="shared" si="2"/>
        <v>#VALUE!</v>
      </c>
      <c r="L57" s="93" t="e">
        <f t="shared" si="3"/>
        <v>#VALUE!</v>
      </c>
    </row>
    <row r="58" spans="2:12" x14ac:dyDescent="0.3">
      <c r="B58" s="88"/>
      <c r="C58" s="86" t="s">
        <v>50</v>
      </c>
      <c r="D58" s="87">
        <v>44742</v>
      </c>
      <c r="G58" s="94" t="str">
        <f>VLOOKUP(C58,NAV!$B$9:$E$43,3,0)</f>
        <v>F Prefs</v>
      </c>
      <c r="H58" s="99" t="str">
        <f>G58</f>
        <v>F Prefs</v>
      </c>
      <c r="I58" s="93">
        <f t="shared" si="0"/>
        <v>0</v>
      </c>
      <c r="J58" s="93">
        <f t="shared" si="1"/>
        <v>0</v>
      </c>
      <c r="K58" s="93" t="e">
        <f t="shared" si="2"/>
        <v>#VALUE!</v>
      </c>
      <c r="L58" s="93" t="e">
        <f t="shared" si="3"/>
        <v>#VALUE!</v>
      </c>
    </row>
    <row r="59" spans="2:12" x14ac:dyDescent="0.3">
      <c r="B59" s="88">
        <v>1</v>
      </c>
      <c r="C59" s="84" t="s">
        <v>51</v>
      </c>
      <c r="D59" s="85">
        <v>44742</v>
      </c>
      <c r="G59" s="93" t="str">
        <f>VLOOKUP(C59,NAV!$B$9:$E$43,3,0)</f>
        <v>A Pref Units</v>
      </c>
      <c r="I59" s="93">
        <f t="shared" si="0"/>
        <v>0</v>
      </c>
      <c r="J59" s="93">
        <f t="shared" si="1"/>
        <v>0</v>
      </c>
      <c r="K59" s="93" t="e">
        <f t="shared" si="2"/>
        <v>#VALUE!</v>
      </c>
      <c r="L59" s="93" t="e">
        <f t="shared" si="3"/>
        <v>#VALUE!</v>
      </c>
    </row>
    <row r="60" spans="2:12" x14ac:dyDescent="0.3">
      <c r="B60" s="88">
        <v>1</v>
      </c>
      <c r="C60" s="86" t="s">
        <v>52</v>
      </c>
      <c r="D60" s="87">
        <v>44742</v>
      </c>
      <c r="G60" s="94" t="str">
        <f>VLOOKUP(C60,NAV!$B$9:$E$43,3,0)</f>
        <v xml:space="preserve">B Prefs </v>
      </c>
      <c r="H60" s="99" t="str">
        <f>G60</f>
        <v xml:space="preserve">B Prefs </v>
      </c>
      <c r="I60" s="93">
        <f t="shared" si="0"/>
        <v>0</v>
      </c>
      <c r="J60" s="93">
        <f t="shared" si="1"/>
        <v>0</v>
      </c>
      <c r="K60" s="93" t="e">
        <f t="shared" si="2"/>
        <v>#VALUE!</v>
      </c>
      <c r="L60" s="93" t="e">
        <f t="shared" si="3"/>
        <v>#VALUE!</v>
      </c>
    </row>
    <row r="61" spans="2:12" x14ac:dyDescent="0.3">
      <c r="B61" s="88"/>
      <c r="C61" s="84" t="s">
        <v>113</v>
      </c>
      <c r="D61" s="85">
        <v>44742</v>
      </c>
      <c r="G61" s="93" t="str">
        <f>VLOOKUP(C61,NAV!$B$9:$E$43,3,0)</f>
        <v>Equity-TBC</v>
      </c>
      <c r="H61" s="99" t="str">
        <f>G61</f>
        <v>Equity-TBC</v>
      </c>
      <c r="I61" s="93">
        <f t="shared" si="0"/>
        <v>0</v>
      </c>
      <c r="J61" s="93">
        <f t="shared" si="1"/>
        <v>0</v>
      </c>
      <c r="K61" s="93" t="e">
        <f t="shared" si="2"/>
        <v>#VALUE!</v>
      </c>
      <c r="L61" s="93" t="e">
        <f t="shared" si="3"/>
        <v>#VALUE!</v>
      </c>
    </row>
    <row r="62" spans="2:12" x14ac:dyDescent="0.3">
      <c r="B62" s="88"/>
      <c r="C62" s="86" t="s">
        <v>25</v>
      </c>
      <c r="D62" s="87">
        <v>44742</v>
      </c>
      <c r="G62" s="94" t="str">
        <f>VLOOKUP(C62,NAV!$B$9:$E$43,3,0)</f>
        <v>Equity-TBC</v>
      </c>
      <c r="H62" s="99" t="str">
        <f>G62</f>
        <v>Equity-TBC</v>
      </c>
      <c r="I62" s="93">
        <f t="shared" si="0"/>
        <v>0</v>
      </c>
      <c r="J62" s="93">
        <f t="shared" si="1"/>
        <v>0</v>
      </c>
      <c r="K62" s="93" t="e">
        <f t="shared" si="2"/>
        <v>#VALUE!</v>
      </c>
      <c r="L62" s="93" t="e">
        <f t="shared" si="3"/>
        <v>#VALUE!</v>
      </c>
    </row>
    <row r="63" spans="2:12" x14ac:dyDescent="0.3">
      <c r="B63" s="88"/>
      <c r="C63" s="84" t="s">
        <v>132</v>
      </c>
      <c r="D63" s="85">
        <v>44742</v>
      </c>
      <c r="G63" s="93" t="str">
        <f>VLOOKUP(C63,NAV!$B$9:$E$43,3,0)</f>
        <v>Ordinary Shares</v>
      </c>
      <c r="H63" s="99" t="str">
        <f>G63</f>
        <v>Ordinary Shares</v>
      </c>
      <c r="I63" s="93">
        <f t="shared" si="0"/>
        <v>0</v>
      </c>
      <c r="J63" s="93">
        <f t="shared" si="1"/>
        <v>0</v>
      </c>
      <c r="K63" s="93" t="e">
        <f t="shared" si="2"/>
        <v>#VALUE!</v>
      </c>
      <c r="L63" s="93" t="e">
        <f t="shared" si="3"/>
        <v>#VALUE!</v>
      </c>
    </row>
    <row r="64" spans="2:12" x14ac:dyDescent="0.3">
      <c r="B64" s="88"/>
      <c r="C64" s="86" t="s">
        <v>44</v>
      </c>
      <c r="D64" s="87">
        <v>44742</v>
      </c>
      <c r="G64" s="94" t="str">
        <f>VLOOKUP(C64,NAV!$B$9:$E$43,3,0)</f>
        <v>Equity-TBC</v>
      </c>
      <c r="H64" s="99" t="str">
        <f>G64</f>
        <v>Equity-TBC</v>
      </c>
      <c r="I64" s="93">
        <f t="shared" si="0"/>
        <v>0</v>
      </c>
      <c r="J64" s="93">
        <f t="shared" si="1"/>
        <v>0</v>
      </c>
      <c r="K64" s="93" t="e">
        <f t="shared" si="2"/>
        <v>#VALUE!</v>
      </c>
      <c r="L64" s="93" t="e">
        <f t="shared" si="3"/>
        <v>#VALUE!</v>
      </c>
    </row>
    <row r="66" spans="9:12" x14ac:dyDescent="0.3">
      <c r="J66" s="101"/>
      <c r="K66" s="101"/>
      <c r="L66" s="101"/>
    </row>
    <row r="67" spans="9:12" x14ac:dyDescent="0.3">
      <c r="J67" s="100"/>
      <c r="K67" s="100"/>
      <c r="L67" s="100"/>
    </row>
    <row r="68" spans="9:12" x14ac:dyDescent="0.3">
      <c r="J68" s="100"/>
      <c r="K68" s="100"/>
      <c r="L68" s="100"/>
    </row>
    <row r="69" spans="9:12" x14ac:dyDescent="0.3">
      <c r="J69" s="100"/>
      <c r="K69" s="100"/>
      <c r="L69" s="100"/>
    </row>
    <row r="70" spans="9:12" x14ac:dyDescent="0.3">
      <c r="I70" s="83" t="s">
        <v>32</v>
      </c>
      <c r="J70" s="316" t="e">
        <f>XIRR(L22:L64,$D$22:$D$64)</f>
        <v>#VALUE!</v>
      </c>
      <c r="K70" s="101">
        <f>XIRR(I26:I64,$D$26:$D$64)</f>
        <v>2.9802322387695314E-9</v>
      </c>
    </row>
    <row r="71" spans="9:12" x14ac:dyDescent="0.3">
      <c r="I71" s="83" t="s">
        <v>43</v>
      </c>
      <c r="J71" s="100" t="e">
        <f>SUM(J22:K64)/-SUM(I22:I64)</f>
        <v>#VALUE!</v>
      </c>
      <c r="K71" s="100">
        <f ca="1">SUMIF(I$22:I$64,"&gt;0",I$22:I$64)/-SUMIF(I$22:I$64,"&lt;0",I$22:I$48)</f>
        <v>1.2987216064135349E-2</v>
      </c>
    </row>
    <row r="72" spans="9:12" x14ac:dyDescent="0.3">
      <c r="I72" s="83" t="s">
        <v>141</v>
      </c>
      <c r="J72" s="100" t="e">
        <f>SUM(K22:K64)/-SUM(I22:I64)</f>
        <v>#VALUE!</v>
      </c>
      <c r="K72" s="100">
        <f>SUMIF(I$48:I$64,"&gt;0",I$48:I$64)/-SUMIF(I$22:I$48,"&lt;0",I$22:I$48)</f>
        <v>0</v>
      </c>
    </row>
    <row r="73" spans="9:12" x14ac:dyDescent="0.3">
      <c r="I73" s="83" t="s">
        <v>140</v>
      </c>
      <c r="J73" s="100">
        <f>SUM(J22:J64)/-SUM(I22:I64)</f>
        <v>1.3158103193300939E-2</v>
      </c>
      <c r="K73" s="100">
        <f>SUMIF(I$22:I$48,"&gt;0",I$22:I$48)/-SUMIF(I$22:I$48,"&lt;0",I$22:I$48)</f>
        <v>1.2987216064135349E-2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96AA-80A9-4140-9FE3-6B94C8495225}">
  <sheetPr>
    <tabColor theme="4" tint="-0.499984740745262"/>
  </sheetPr>
  <dimension ref="B2:R53"/>
  <sheetViews>
    <sheetView workbookViewId="0">
      <selection activeCell="A3" sqref="A3"/>
    </sheetView>
  </sheetViews>
  <sheetFormatPr defaultColWidth="9.1796875" defaultRowHeight="13" x14ac:dyDescent="0.3"/>
  <cols>
    <col min="1" max="1" width="9.1796875" style="136"/>
    <col min="2" max="2" width="22.26953125" style="136" bestFit="1" customWidth="1"/>
    <col min="3" max="3" width="9" style="147" customWidth="1"/>
    <col min="4" max="4" width="9.54296875" style="147" customWidth="1"/>
    <col min="5" max="5" width="22.7265625" style="147" customWidth="1"/>
    <col min="6" max="6" width="21.453125" style="147" customWidth="1"/>
    <col min="7" max="8" width="16.453125" style="136" customWidth="1"/>
    <col min="9" max="10" width="14" style="136" customWidth="1"/>
    <col min="11" max="12" width="9.1796875" style="136"/>
    <col min="13" max="13" width="19" style="374" customWidth="1"/>
    <col min="14" max="17" width="16.1796875" style="136" customWidth="1"/>
    <col min="18" max="16384" width="9.1796875" style="136"/>
  </cols>
  <sheetData>
    <row r="2" spans="2:18" ht="14.5" x14ac:dyDescent="0.35">
      <c r="M2" s="79"/>
    </row>
    <row r="3" spans="2:18" s="363" customFormat="1" ht="29.25" customHeight="1" x14ac:dyDescent="0.35">
      <c r="B3" s="372" t="s">
        <v>6</v>
      </c>
      <c r="C3" s="373" t="s">
        <v>56</v>
      </c>
      <c r="D3" s="373" t="s">
        <v>213</v>
      </c>
      <c r="E3" s="373" t="s">
        <v>199</v>
      </c>
      <c r="F3" s="373" t="s">
        <v>123</v>
      </c>
      <c r="G3" s="373" t="s">
        <v>41</v>
      </c>
      <c r="H3" s="373" t="s">
        <v>2</v>
      </c>
      <c r="I3" s="373" t="s">
        <v>60</v>
      </c>
      <c r="J3" s="373" t="s">
        <v>42</v>
      </c>
      <c r="K3" s="373" t="s">
        <v>36</v>
      </c>
      <c r="M3" s="79"/>
      <c r="N3" s="136"/>
      <c r="O3" s="136"/>
      <c r="P3" s="136"/>
      <c r="Q3" s="136"/>
      <c r="R3" s="136"/>
    </row>
    <row r="4" spans="2:18" ht="14.5" x14ac:dyDescent="0.35">
      <c r="B4" s="116" t="s">
        <v>57</v>
      </c>
      <c r="C4" s="115">
        <v>2019</v>
      </c>
      <c r="D4" s="115" t="s">
        <v>212</v>
      </c>
      <c r="E4" s="115" t="s">
        <v>311</v>
      </c>
      <c r="F4" s="115" t="s">
        <v>301</v>
      </c>
      <c r="G4" s="371">
        <v>65</v>
      </c>
      <c r="H4" s="371">
        <v>65</v>
      </c>
      <c r="I4" s="371">
        <v>0</v>
      </c>
      <c r="J4" s="371">
        <v>0</v>
      </c>
      <c r="K4" s="371">
        <v>0</v>
      </c>
      <c r="M4" s="79"/>
    </row>
    <row r="5" spans="2:18" x14ac:dyDescent="0.3">
      <c r="B5" s="116" t="s">
        <v>0</v>
      </c>
      <c r="C5" s="115">
        <v>2019</v>
      </c>
      <c r="D5" s="115" t="s">
        <v>212</v>
      </c>
      <c r="E5" s="115" t="s">
        <v>305</v>
      </c>
      <c r="F5" s="115" t="s">
        <v>301</v>
      </c>
      <c r="G5" s="371">
        <v>8</v>
      </c>
      <c r="H5" s="371">
        <v>8</v>
      </c>
      <c r="I5" s="371">
        <v>0</v>
      </c>
      <c r="J5" s="371">
        <v>0</v>
      </c>
      <c r="K5" s="371">
        <v>3.1</v>
      </c>
      <c r="M5" s="115" t="s">
        <v>301</v>
      </c>
      <c r="N5" s="136">
        <f ca="1">SUMIF(F3:K26,$M$5,G3:G26)</f>
        <v>2578.8539820000001</v>
      </c>
    </row>
    <row r="6" spans="2:18" ht="14.5" x14ac:dyDescent="0.35">
      <c r="B6" s="116" t="s">
        <v>48</v>
      </c>
      <c r="C6" s="115">
        <v>2019</v>
      </c>
      <c r="D6" s="115" t="s">
        <v>212</v>
      </c>
      <c r="E6" s="115" t="s">
        <v>317</v>
      </c>
      <c r="F6" s="115" t="s">
        <v>299</v>
      </c>
      <c r="G6" s="371">
        <v>10</v>
      </c>
      <c r="H6" s="371">
        <v>10</v>
      </c>
      <c r="I6" s="371">
        <v>0</v>
      </c>
      <c r="J6" s="371">
        <v>0</v>
      </c>
      <c r="K6" s="371">
        <v>78.082229999999996</v>
      </c>
      <c r="M6" s="79"/>
    </row>
    <row r="7" spans="2:18" ht="14.5" x14ac:dyDescent="0.35">
      <c r="B7" s="116" t="s">
        <v>49</v>
      </c>
      <c r="C7" s="115">
        <v>2020</v>
      </c>
      <c r="D7" s="115" t="s">
        <v>212</v>
      </c>
      <c r="E7" s="115" t="s">
        <v>306</v>
      </c>
      <c r="F7" s="115" t="s">
        <v>303</v>
      </c>
      <c r="G7" s="371">
        <v>2.5</v>
      </c>
      <c r="H7" s="371">
        <v>2.5</v>
      </c>
      <c r="I7" s="371">
        <v>0</v>
      </c>
      <c r="J7" s="371">
        <v>5</v>
      </c>
      <c r="K7" s="371">
        <v>0</v>
      </c>
      <c r="M7" s="79"/>
    </row>
    <row r="8" spans="2:18" ht="14.5" x14ac:dyDescent="0.35">
      <c r="B8" s="116" t="s">
        <v>47</v>
      </c>
      <c r="C8" s="115">
        <v>2020</v>
      </c>
      <c r="D8" s="115" t="s">
        <v>212</v>
      </c>
      <c r="E8" s="115" t="s">
        <v>312</v>
      </c>
      <c r="F8" s="115" t="s">
        <v>299</v>
      </c>
      <c r="G8" s="371">
        <v>90</v>
      </c>
      <c r="H8" s="371">
        <v>90</v>
      </c>
      <c r="I8" s="371">
        <v>0</v>
      </c>
      <c r="J8" s="371">
        <v>0</v>
      </c>
      <c r="K8" s="371">
        <v>91.001540300000002</v>
      </c>
      <c r="M8" s="79"/>
    </row>
    <row r="9" spans="2:18" ht="14.5" x14ac:dyDescent="0.35">
      <c r="B9" s="116" t="s">
        <v>131</v>
      </c>
      <c r="C9" s="115">
        <v>2020</v>
      </c>
      <c r="D9" s="115" t="s">
        <v>212</v>
      </c>
      <c r="E9" s="115" t="s">
        <v>315</v>
      </c>
      <c r="F9" s="115" t="s">
        <v>304</v>
      </c>
      <c r="G9" s="371">
        <v>141.4702596743665</v>
      </c>
      <c r="H9" s="371">
        <v>141.4702596743665</v>
      </c>
      <c r="I9" s="371">
        <v>0</v>
      </c>
      <c r="J9" s="371">
        <v>0</v>
      </c>
      <c r="K9" s="371">
        <v>149.58080812799997</v>
      </c>
      <c r="M9" s="79"/>
    </row>
    <row r="10" spans="2:18" ht="14.5" x14ac:dyDescent="0.35">
      <c r="B10" s="116" t="s">
        <v>11</v>
      </c>
      <c r="C10" s="115">
        <v>2020</v>
      </c>
      <c r="D10" s="115" t="s">
        <v>212</v>
      </c>
      <c r="E10" s="115" t="s">
        <v>307</v>
      </c>
      <c r="F10" s="115" t="s">
        <v>301</v>
      </c>
      <c r="G10" s="371">
        <v>60</v>
      </c>
      <c r="H10" s="371">
        <v>60</v>
      </c>
      <c r="I10" s="371">
        <v>0</v>
      </c>
      <c r="J10" s="371">
        <v>0</v>
      </c>
      <c r="K10" s="371">
        <v>136.63999999999999</v>
      </c>
      <c r="M10" s="79"/>
    </row>
    <row r="11" spans="2:18" ht="14.5" x14ac:dyDescent="0.35">
      <c r="B11" s="116" t="s">
        <v>24</v>
      </c>
      <c r="C11" s="115">
        <v>2021</v>
      </c>
      <c r="D11" s="115" t="s">
        <v>212</v>
      </c>
      <c r="E11" s="115" t="s">
        <v>308</v>
      </c>
      <c r="F11" s="115" t="s">
        <v>303</v>
      </c>
      <c r="G11" s="371">
        <v>20</v>
      </c>
      <c r="H11" s="371">
        <v>20</v>
      </c>
      <c r="I11" s="371">
        <v>0</v>
      </c>
      <c r="J11" s="371">
        <v>0</v>
      </c>
      <c r="K11" s="371">
        <v>20</v>
      </c>
      <c r="M11" s="79"/>
    </row>
    <row r="12" spans="2:18" ht="14.5" x14ac:dyDescent="0.35">
      <c r="B12" s="116" t="s">
        <v>50</v>
      </c>
      <c r="C12" s="115">
        <v>2021</v>
      </c>
      <c r="D12" s="115" t="s">
        <v>212</v>
      </c>
      <c r="E12" s="115" t="s">
        <v>309</v>
      </c>
      <c r="F12" s="115" t="s">
        <v>299</v>
      </c>
      <c r="G12" s="371">
        <v>40</v>
      </c>
      <c r="H12" s="371">
        <v>40</v>
      </c>
      <c r="I12" s="371">
        <v>0</v>
      </c>
      <c r="J12" s="371">
        <v>0</v>
      </c>
      <c r="K12" s="371">
        <v>39.999983359999995</v>
      </c>
      <c r="M12" s="79"/>
    </row>
    <row r="13" spans="2:18" ht="14.5" x14ac:dyDescent="0.35">
      <c r="B13" s="116" t="s">
        <v>51</v>
      </c>
      <c r="C13" s="115">
        <v>2021</v>
      </c>
      <c r="D13" s="115" t="s">
        <v>212</v>
      </c>
      <c r="E13" s="115" t="s">
        <v>316</v>
      </c>
      <c r="F13" s="115" t="s">
        <v>299</v>
      </c>
      <c r="G13" s="371">
        <v>3</v>
      </c>
      <c r="H13" s="371">
        <v>3</v>
      </c>
      <c r="I13" s="371">
        <v>0</v>
      </c>
      <c r="J13" s="371">
        <v>0</v>
      </c>
      <c r="K13" s="371">
        <v>3</v>
      </c>
      <c r="M13" s="79"/>
    </row>
    <row r="14" spans="2:18" ht="14.5" x14ac:dyDescent="0.35">
      <c r="B14" s="116" t="s">
        <v>52</v>
      </c>
      <c r="C14" s="115">
        <v>2021</v>
      </c>
      <c r="D14" s="115" t="s">
        <v>212</v>
      </c>
      <c r="E14" s="115" t="s">
        <v>317</v>
      </c>
      <c r="F14" s="115" t="s">
        <v>304</v>
      </c>
      <c r="G14" s="371">
        <v>5.0278211945578235</v>
      </c>
      <c r="H14" s="371">
        <v>5.0278211945578235</v>
      </c>
      <c r="I14" s="371">
        <v>0</v>
      </c>
      <c r="J14" s="371">
        <v>0</v>
      </c>
      <c r="K14" s="371">
        <v>5.0237201984774336</v>
      </c>
      <c r="M14" s="79"/>
    </row>
    <row r="15" spans="2:18" ht="14.5" x14ac:dyDescent="0.35">
      <c r="B15" s="116" t="s">
        <v>113</v>
      </c>
      <c r="C15" s="115">
        <v>2022</v>
      </c>
      <c r="D15" s="115" t="s">
        <v>212</v>
      </c>
      <c r="E15" s="115" t="s">
        <v>313</v>
      </c>
      <c r="F15" s="115" t="s">
        <v>301</v>
      </c>
      <c r="G15" s="371">
        <v>493.5</v>
      </c>
      <c r="H15" s="371">
        <v>493.5</v>
      </c>
      <c r="I15" s="371">
        <v>0</v>
      </c>
      <c r="J15" s="371">
        <v>0</v>
      </c>
      <c r="K15" s="371">
        <v>493.5</v>
      </c>
      <c r="M15" s="79"/>
    </row>
    <row r="16" spans="2:18" ht="14.5" x14ac:dyDescent="0.35">
      <c r="B16" s="116" t="s">
        <v>25</v>
      </c>
      <c r="C16" s="115">
        <v>2022</v>
      </c>
      <c r="D16" s="115" t="s">
        <v>212</v>
      </c>
      <c r="E16" s="115" t="s">
        <v>314</v>
      </c>
      <c r="F16" s="115" t="s">
        <v>302</v>
      </c>
      <c r="G16" s="371">
        <v>300</v>
      </c>
      <c r="H16" s="371">
        <v>300</v>
      </c>
      <c r="I16" s="371">
        <v>0</v>
      </c>
      <c r="J16" s="371">
        <v>0</v>
      </c>
      <c r="K16" s="371">
        <v>300</v>
      </c>
      <c r="M16" s="79"/>
    </row>
    <row r="17" spans="2:13" ht="14.5" x14ac:dyDescent="0.35">
      <c r="B17" s="116" t="s">
        <v>132</v>
      </c>
      <c r="C17" s="115">
        <v>2022</v>
      </c>
      <c r="D17" s="115" t="s">
        <v>212</v>
      </c>
      <c r="E17" s="115" t="s">
        <v>315</v>
      </c>
      <c r="F17" s="115" t="s">
        <v>299</v>
      </c>
      <c r="G17" s="371">
        <v>25</v>
      </c>
      <c r="H17" s="371">
        <v>12.5</v>
      </c>
      <c r="I17" s="371">
        <v>12.5</v>
      </c>
      <c r="J17" s="371">
        <v>0</v>
      </c>
      <c r="K17" s="371">
        <v>-0.5557849000000008</v>
      </c>
      <c r="M17" s="79"/>
    </row>
    <row r="18" spans="2:13" ht="14.5" x14ac:dyDescent="0.35">
      <c r="B18" s="116" t="s">
        <v>44</v>
      </c>
      <c r="C18" s="115">
        <v>2022</v>
      </c>
      <c r="D18" s="115" t="s">
        <v>212</v>
      </c>
      <c r="E18" s="115" t="s">
        <v>310</v>
      </c>
      <c r="F18" s="115" t="s">
        <v>301</v>
      </c>
      <c r="G18" s="371">
        <v>1600</v>
      </c>
      <c r="H18" s="371">
        <v>800</v>
      </c>
      <c r="I18" s="371">
        <v>800</v>
      </c>
      <c r="J18" s="371">
        <v>0</v>
      </c>
      <c r="K18" s="371">
        <f>1075.57839098788*0.8</f>
        <v>860.46271279030407</v>
      </c>
      <c r="M18" s="79"/>
    </row>
    <row r="19" spans="2:13" ht="14.5" x14ac:dyDescent="0.35">
      <c r="B19" s="116" t="s">
        <v>58</v>
      </c>
      <c r="C19" s="115">
        <v>2019</v>
      </c>
      <c r="D19" s="115" t="s">
        <v>53</v>
      </c>
      <c r="E19" s="115" t="s">
        <v>318</v>
      </c>
      <c r="F19" s="115" t="s">
        <v>299</v>
      </c>
      <c r="G19" s="371">
        <v>8</v>
      </c>
      <c r="H19" s="371">
        <v>8</v>
      </c>
      <c r="I19" s="371">
        <v>0</v>
      </c>
      <c r="J19" s="371">
        <v>0</v>
      </c>
      <c r="K19" s="371">
        <v>0</v>
      </c>
      <c r="M19" s="79"/>
    </row>
    <row r="20" spans="2:13" ht="14.5" x14ac:dyDescent="0.35">
      <c r="B20" s="116" t="s">
        <v>0</v>
      </c>
      <c r="C20" s="115">
        <v>2021</v>
      </c>
      <c r="D20" s="115" t="s">
        <v>53</v>
      </c>
      <c r="E20" s="115" t="s">
        <v>305</v>
      </c>
      <c r="F20" s="115" t="s">
        <v>301</v>
      </c>
      <c r="G20" s="371">
        <v>2.3539819999999998</v>
      </c>
      <c r="H20" s="371">
        <v>2.3539819999999998</v>
      </c>
      <c r="I20" s="371">
        <v>0</v>
      </c>
      <c r="J20" s="371">
        <v>0</v>
      </c>
      <c r="K20" s="371">
        <v>2.3539819999999998</v>
      </c>
      <c r="M20" s="79"/>
    </row>
    <row r="21" spans="2:13" ht="14.5" x14ac:dyDescent="0.35">
      <c r="B21" s="116" t="s">
        <v>49</v>
      </c>
      <c r="C21" s="115">
        <v>2021</v>
      </c>
      <c r="D21" s="115" t="s">
        <v>53</v>
      </c>
      <c r="E21" s="115" t="s">
        <v>306</v>
      </c>
      <c r="F21" s="115" t="s">
        <v>303</v>
      </c>
      <c r="G21" s="371">
        <v>0.41176499999999999</v>
      </c>
      <c r="H21" s="371">
        <v>0.41176499999999999</v>
      </c>
      <c r="I21" s="371">
        <v>0</v>
      </c>
      <c r="J21" s="371">
        <v>0</v>
      </c>
      <c r="K21" s="371">
        <v>0.45643868219178102</v>
      </c>
      <c r="M21" s="79"/>
    </row>
    <row r="22" spans="2:13" ht="14.5" x14ac:dyDescent="0.35">
      <c r="B22" s="116" t="s">
        <v>171</v>
      </c>
      <c r="C22" s="115">
        <v>2020</v>
      </c>
      <c r="D22" s="115" t="s">
        <v>63</v>
      </c>
      <c r="E22" s="115" t="s">
        <v>63</v>
      </c>
      <c r="F22" s="115" t="s">
        <v>304</v>
      </c>
      <c r="G22" s="371">
        <v>25.557908058353444</v>
      </c>
      <c r="H22" s="371">
        <v>21.611950741200001</v>
      </c>
      <c r="I22" s="371">
        <v>3.945957317153443</v>
      </c>
      <c r="J22" s="371">
        <v>0</v>
      </c>
      <c r="K22" s="371">
        <v>31.952799285000001</v>
      </c>
      <c r="M22" s="79"/>
    </row>
    <row r="23" spans="2:13" ht="14.5" x14ac:dyDescent="0.35">
      <c r="B23" s="116" t="s">
        <v>153</v>
      </c>
      <c r="C23" s="115">
        <v>2020</v>
      </c>
      <c r="D23" s="115" t="s">
        <v>63</v>
      </c>
      <c r="E23" s="115" t="s">
        <v>63</v>
      </c>
      <c r="F23" s="115" t="s">
        <v>304</v>
      </c>
      <c r="G23" s="371">
        <v>2.7058823529411762</v>
      </c>
      <c r="H23" s="371">
        <v>2.7058823529411762</v>
      </c>
      <c r="I23" s="371">
        <v>0</v>
      </c>
      <c r="J23" s="371">
        <v>0</v>
      </c>
      <c r="K23" s="371">
        <v>2.7058823529411762</v>
      </c>
      <c r="M23" s="79"/>
    </row>
    <row r="24" spans="2:13" ht="14.5" x14ac:dyDescent="0.35">
      <c r="B24" s="116" t="s">
        <v>1</v>
      </c>
      <c r="C24" s="115">
        <v>2020</v>
      </c>
      <c r="D24" s="115" t="s">
        <v>63</v>
      </c>
      <c r="E24" s="115" t="s">
        <v>63</v>
      </c>
      <c r="F24" s="115" t="s">
        <v>301</v>
      </c>
      <c r="G24" s="371">
        <v>300</v>
      </c>
      <c r="H24" s="371">
        <v>83.214652999999984</v>
      </c>
      <c r="I24" s="371">
        <v>217.81330800000001</v>
      </c>
      <c r="J24" s="371">
        <v>1.0279609999999999</v>
      </c>
      <c r="K24" s="371">
        <v>79.319999999999993</v>
      </c>
      <c r="M24" s="79"/>
    </row>
    <row r="25" spans="2:13" ht="14.5" x14ac:dyDescent="0.35">
      <c r="B25" s="116" t="s">
        <v>15</v>
      </c>
      <c r="C25" s="115">
        <v>2020</v>
      </c>
      <c r="D25" s="115" t="s">
        <v>63</v>
      </c>
      <c r="E25" s="115" t="s">
        <v>63</v>
      </c>
      <c r="F25" s="115" t="s">
        <v>301</v>
      </c>
      <c r="G25" s="371">
        <v>50</v>
      </c>
      <c r="H25" s="371">
        <v>16.790246</v>
      </c>
      <c r="I25" s="371">
        <v>33.209754000000004</v>
      </c>
      <c r="J25" s="371">
        <v>0.44382834999999998</v>
      </c>
      <c r="K25" s="371">
        <v>15.875237</v>
      </c>
      <c r="M25" s="79"/>
    </row>
    <row r="26" spans="2:13" ht="14.5" x14ac:dyDescent="0.35">
      <c r="B26" s="116" t="s">
        <v>229</v>
      </c>
      <c r="C26" s="115">
        <v>2021</v>
      </c>
      <c r="D26" s="115" t="s">
        <v>63</v>
      </c>
      <c r="E26" s="115" t="s">
        <v>63</v>
      </c>
      <c r="F26" s="115" t="s">
        <v>299</v>
      </c>
      <c r="G26" s="371">
        <v>17.112500000000001</v>
      </c>
      <c r="H26" s="371">
        <v>10.6268625</v>
      </c>
      <c r="I26" s="371">
        <v>6.4856375000000011</v>
      </c>
      <c r="J26" s="371">
        <v>0</v>
      </c>
      <c r="K26" s="371">
        <v>10.343446999999999</v>
      </c>
      <c r="M26" s="79"/>
    </row>
    <row r="27" spans="2:13" ht="14.5" x14ac:dyDescent="0.35">
      <c r="G27" s="370"/>
      <c r="H27" s="370"/>
      <c r="I27" s="370"/>
      <c r="J27" s="370"/>
      <c r="M27" s="79"/>
    </row>
    <row r="28" spans="2:13" ht="14.5" x14ac:dyDescent="0.35">
      <c r="G28" s="375">
        <f>SUM(G4:G26)</f>
        <v>3269.6401182802188</v>
      </c>
      <c r="H28" s="375">
        <f>SUM(H4:H26)</f>
        <v>2196.7134224630649</v>
      </c>
      <c r="I28" s="375">
        <f>SUM(I4:I26)</f>
        <v>1073.9546568171534</v>
      </c>
      <c r="J28" s="375">
        <f t="shared" ref="J28:K28" si="0">SUM(J4:J26)</f>
        <v>6.4717893499999999</v>
      </c>
      <c r="K28" s="375">
        <f t="shared" si="0"/>
        <v>2322.842996196915</v>
      </c>
      <c r="M28" s="79"/>
    </row>
    <row r="29" spans="2:13" ht="14.5" x14ac:dyDescent="0.35">
      <c r="M29" s="79"/>
    </row>
    <row r="30" spans="2:13" ht="14.5" x14ac:dyDescent="0.35">
      <c r="M30" s="79"/>
    </row>
    <row r="31" spans="2:13" ht="14.5" x14ac:dyDescent="0.35">
      <c r="M31" s="79"/>
    </row>
    <row r="32" spans="2:13" ht="14.5" x14ac:dyDescent="0.35">
      <c r="M32" s="79"/>
    </row>
    <row r="33" spans="13:13" ht="14.5" x14ac:dyDescent="0.35">
      <c r="M33" s="79"/>
    </row>
    <row r="34" spans="13:13" ht="14.5" x14ac:dyDescent="0.35">
      <c r="M34" s="79"/>
    </row>
    <row r="35" spans="13:13" ht="14.5" x14ac:dyDescent="0.35">
      <c r="M35" s="79"/>
    </row>
    <row r="36" spans="13:13" ht="14.5" x14ac:dyDescent="0.35">
      <c r="M36" s="79"/>
    </row>
    <row r="37" spans="13:13" ht="14.5" x14ac:dyDescent="0.35">
      <c r="M37" s="79"/>
    </row>
    <row r="38" spans="13:13" ht="14.5" x14ac:dyDescent="0.35">
      <c r="M38" s="79"/>
    </row>
    <row r="39" spans="13:13" ht="14.5" x14ac:dyDescent="0.35">
      <c r="M39" s="79"/>
    </row>
    <row r="40" spans="13:13" ht="14.5" x14ac:dyDescent="0.35">
      <c r="M40" s="79"/>
    </row>
    <row r="41" spans="13:13" ht="14.5" x14ac:dyDescent="0.35">
      <c r="M41" s="79"/>
    </row>
    <row r="42" spans="13:13" ht="14.5" x14ac:dyDescent="0.35">
      <c r="M42" s="79"/>
    </row>
    <row r="43" spans="13:13" ht="14.5" x14ac:dyDescent="0.35">
      <c r="M43" s="79"/>
    </row>
    <row r="44" spans="13:13" ht="14.5" x14ac:dyDescent="0.35">
      <c r="M44" s="79"/>
    </row>
    <row r="45" spans="13:13" ht="14.5" x14ac:dyDescent="0.35">
      <c r="M45" s="79"/>
    </row>
    <row r="46" spans="13:13" ht="14.5" x14ac:dyDescent="0.35">
      <c r="M46" s="79"/>
    </row>
    <row r="47" spans="13:13" ht="14.5" x14ac:dyDescent="0.35">
      <c r="M47" s="79"/>
    </row>
    <row r="48" spans="13:13" ht="14.5" x14ac:dyDescent="0.35">
      <c r="M48" s="79"/>
    </row>
    <row r="49" spans="13:13" ht="14.5" x14ac:dyDescent="0.35">
      <c r="M49" s="79"/>
    </row>
    <row r="50" spans="13:13" ht="14.5" x14ac:dyDescent="0.35">
      <c r="M50" s="79"/>
    </row>
    <row r="51" spans="13:13" ht="14.5" x14ac:dyDescent="0.35">
      <c r="M51" s="79"/>
    </row>
    <row r="52" spans="13:13" ht="14.5" x14ac:dyDescent="0.35">
      <c r="M52" s="79"/>
    </row>
    <row r="53" spans="13:13" ht="14.5" x14ac:dyDescent="0.35">
      <c r="M53" s="79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C901-F2EC-4997-9590-27F5916D9A36}">
  <sheetPr>
    <tabColor theme="3" tint="0.39997558519241921"/>
  </sheetPr>
  <dimension ref="A1:P34"/>
  <sheetViews>
    <sheetView showGridLines="0" zoomScale="80" zoomScaleNormal="80" workbookViewId="0">
      <selection activeCell="I11" sqref="I11"/>
    </sheetView>
  </sheetViews>
  <sheetFormatPr defaultColWidth="9.1796875" defaultRowHeight="14.5" x14ac:dyDescent="0.35"/>
  <cols>
    <col min="1" max="2" width="9.1796875" style="80"/>
    <col min="3" max="3" width="29.7265625" style="80" customWidth="1"/>
    <col min="4" max="4" width="3.7265625" style="80" customWidth="1"/>
    <col min="5" max="8" width="12" style="194" customWidth="1"/>
    <col min="9" max="9" width="31.1796875" style="80" customWidth="1"/>
    <col min="10" max="15" width="9.1796875" style="80"/>
    <col min="16" max="16" width="24" style="80" bestFit="1" customWidth="1"/>
    <col min="17" max="16384" width="9.1796875" style="80"/>
  </cols>
  <sheetData>
    <row r="1" spans="1:16" ht="15" thickBot="1" x14ac:dyDescent="0.4">
      <c r="C1" s="150"/>
      <c r="D1" s="150"/>
    </row>
    <row r="2" spans="1:16" x14ac:dyDescent="0.35">
      <c r="B2" s="203"/>
      <c r="C2" s="204"/>
      <c r="D2" s="204"/>
      <c r="E2" s="198"/>
      <c r="F2" s="198"/>
      <c r="G2" s="198"/>
      <c r="H2" s="198"/>
      <c r="I2" s="205"/>
      <c r="J2" s="206"/>
    </row>
    <row r="3" spans="1:16" ht="60" customHeight="1" x14ac:dyDescent="0.35">
      <c r="A3" s="159"/>
      <c r="B3" s="207"/>
      <c r="C3" s="1" t="s">
        <v>62</v>
      </c>
      <c r="D3" s="1"/>
      <c r="E3" s="1" t="s">
        <v>105</v>
      </c>
      <c r="F3" s="1" t="s">
        <v>106</v>
      </c>
      <c r="G3" s="1" t="s">
        <v>107</v>
      </c>
      <c r="H3" s="1" t="s">
        <v>197</v>
      </c>
      <c r="I3" s="1" t="s">
        <v>195</v>
      </c>
      <c r="J3" s="208"/>
      <c r="K3" s="159"/>
    </row>
    <row r="4" spans="1:16" x14ac:dyDescent="0.35">
      <c r="A4" s="162"/>
      <c r="B4" s="209"/>
      <c r="C4" s="195"/>
      <c r="D4" s="195"/>
      <c r="E4" s="185"/>
      <c r="F4" s="185"/>
      <c r="G4" s="185"/>
      <c r="H4" s="185"/>
      <c r="I4" s="184"/>
      <c r="J4" s="210"/>
      <c r="K4" s="162"/>
    </row>
    <row r="5" spans="1:16" x14ac:dyDescent="0.35">
      <c r="B5" s="199"/>
      <c r="C5" s="70" t="s">
        <v>37</v>
      </c>
      <c r="D5" s="70"/>
      <c r="J5" s="200"/>
    </row>
    <row r="6" spans="1:16" x14ac:dyDescent="0.35">
      <c r="B6" s="199"/>
      <c r="C6" s="58" t="s">
        <v>48</v>
      </c>
      <c r="D6" s="58"/>
      <c r="E6" s="358"/>
      <c r="F6" s="358"/>
      <c r="G6" s="358"/>
      <c r="H6" s="359"/>
      <c r="I6" s="353" t="s">
        <v>194</v>
      </c>
      <c r="J6" s="200"/>
      <c r="N6" s="80" t="s">
        <v>196</v>
      </c>
    </row>
    <row r="7" spans="1:16" x14ac:dyDescent="0.35">
      <c r="B7" s="199"/>
      <c r="C7" s="58" t="s">
        <v>47</v>
      </c>
      <c r="D7" s="58"/>
      <c r="E7" s="358"/>
      <c r="F7" s="358"/>
      <c r="G7" s="361"/>
      <c r="H7" s="359"/>
      <c r="I7" s="353"/>
      <c r="J7" s="200"/>
    </row>
    <row r="8" spans="1:16" x14ac:dyDescent="0.35">
      <c r="B8" s="199"/>
      <c r="C8" s="58" t="s">
        <v>51</v>
      </c>
      <c r="D8" s="58"/>
      <c r="E8" s="357"/>
      <c r="F8" s="357"/>
      <c r="G8" s="357"/>
      <c r="H8" s="188"/>
      <c r="I8" s="353"/>
      <c r="J8" s="200"/>
      <c r="N8" s="188"/>
      <c r="P8" s="80" t="s">
        <v>294</v>
      </c>
    </row>
    <row r="9" spans="1:16" x14ac:dyDescent="0.35">
      <c r="B9" s="199"/>
      <c r="C9" s="58" t="s">
        <v>52</v>
      </c>
      <c r="D9" s="58"/>
      <c r="E9" s="358"/>
      <c r="F9" s="358"/>
      <c r="G9" s="358"/>
      <c r="H9" s="359"/>
      <c r="I9" s="353"/>
      <c r="J9" s="200"/>
    </row>
    <row r="10" spans="1:16" x14ac:dyDescent="0.35">
      <c r="B10" s="199"/>
      <c r="C10" s="58" t="s">
        <v>131</v>
      </c>
      <c r="D10" s="58"/>
      <c r="E10" s="358"/>
      <c r="F10" s="358"/>
      <c r="G10" s="357"/>
      <c r="H10" s="359"/>
      <c r="I10" s="353"/>
      <c r="J10" s="200"/>
      <c r="N10" s="187"/>
      <c r="P10" s="80" t="s">
        <v>292</v>
      </c>
    </row>
    <row r="11" spans="1:16" x14ac:dyDescent="0.35">
      <c r="B11" s="199"/>
      <c r="C11" s="58" t="s">
        <v>132</v>
      </c>
      <c r="D11" s="58"/>
      <c r="E11" s="357"/>
      <c r="F11" s="357"/>
      <c r="G11" s="357"/>
      <c r="H11" s="188"/>
      <c r="I11" s="353"/>
      <c r="J11" s="200"/>
    </row>
    <row r="12" spans="1:16" x14ac:dyDescent="0.35">
      <c r="B12" s="199"/>
      <c r="C12" s="58" t="s">
        <v>25</v>
      </c>
      <c r="D12" s="58"/>
      <c r="E12" s="357"/>
      <c r="F12" s="357"/>
      <c r="G12" s="357"/>
      <c r="H12" s="188"/>
      <c r="I12" s="353"/>
      <c r="J12" s="200"/>
      <c r="N12" s="176"/>
      <c r="P12" s="80" t="s">
        <v>296</v>
      </c>
    </row>
    <row r="13" spans="1:16" x14ac:dyDescent="0.35">
      <c r="B13" s="199"/>
      <c r="C13" s="175"/>
      <c r="D13" s="175"/>
      <c r="E13" s="201"/>
      <c r="F13" s="201"/>
      <c r="G13" s="201"/>
      <c r="H13" s="201"/>
      <c r="I13" s="175"/>
      <c r="J13" s="200"/>
    </row>
    <row r="14" spans="1:16" x14ac:dyDescent="0.35">
      <c r="B14" s="199"/>
      <c r="C14" s="58" t="s">
        <v>11</v>
      </c>
      <c r="D14" s="58"/>
      <c r="E14" s="355"/>
      <c r="F14" s="355"/>
      <c r="G14" s="355"/>
      <c r="H14" s="188"/>
      <c r="I14" s="353"/>
      <c r="J14" s="200"/>
      <c r="N14" s="359"/>
      <c r="P14" s="80" t="s">
        <v>295</v>
      </c>
    </row>
    <row r="15" spans="1:16" x14ac:dyDescent="0.35">
      <c r="B15" s="199"/>
      <c r="C15" s="58" t="s">
        <v>0</v>
      </c>
      <c r="D15" s="58"/>
      <c r="E15" s="356"/>
      <c r="F15" s="356"/>
      <c r="G15" s="356"/>
      <c r="H15" s="188"/>
      <c r="I15" s="353"/>
      <c r="J15" s="200"/>
    </row>
    <row r="16" spans="1:16" x14ac:dyDescent="0.35">
      <c r="B16" s="199"/>
      <c r="C16" s="58" t="s">
        <v>113</v>
      </c>
      <c r="D16" s="58"/>
      <c r="E16" s="357"/>
      <c r="F16" s="357"/>
      <c r="G16" s="357"/>
      <c r="H16" s="188"/>
      <c r="I16" s="353"/>
      <c r="J16" s="200"/>
      <c r="N16" s="361"/>
      <c r="P16" s="80" t="s">
        <v>297</v>
      </c>
    </row>
    <row r="17" spans="1:16" x14ac:dyDescent="0.35">
      <c r="B17" s="199"/>
      <c r="C17" s="58" t="s">
        <v>44</v>
      </c>
      <c r="D17" s="58"/>
      <c r="E17" s="357"/>
      <c r="F17" s="357"/>
      <c r="G17" s="357"/>
      <c r="H17" s="188"/>
      <c r="I17" s="353"/>
      <c r="J17" s="200"/>
    </row>
    <row r="18" spans="1:16" x14ac:dyDescent="0.35">
      <c r="B18" s="199"/>
      <c r="C18" s="175"/>
      <c r="D18" s="175"/>
      <c r="E18" s="201"/>
      <c r="F18" s="201"/>
      <c r="G18" s="201"/>
      <c r="H18" s="201"/>
      <c r="I18" s="175"/>
      <c r="J18" s="200"/>
      <c r="N18" s="360"/>
      <c r="P18" s="80" t="s">
        <v>328</v>
      </c>
    </row>
    <row r="19" spans="1:16" x14ac:dyDescent="0.35">
      <c r="A19" s="167"/>
      <c r="B19" s="199"/>
      <c r="C19" s="58" t="s">
        <v>49</v>
      </c>
      <c r="D19" s="58"/>
      <c r="E19" s="354"/>
      <c r="F19" s="354"/>
      <c r="G19" s="354"/>
      <c r="H19" s="354"/>
      <c r="I19" s="353" t="s">
        <v>34</v>
      </c>
      <c r="J19" s="200"/>
      <c r="K19" s="167"/>
    </row>
    <row r="20" spans="1:16" x14ac:dyDescent="0.35">
      <c r="A20" s="162"/>
      <c r="B20" s="199"/>
      <c r="C20" s="58" t="s">
        <v>24</v>
      </c>
      <c r="D20" s="58"/>
      <c r="E20" s="354"/>
      <c r="F20" s="354"/>
      <c r="G20" s="354"/>
      <c r="H20" s="354"/>
      <c r="I20" s="353" t="s">
        <v>193</v>
      </c>
      <c r="J20" s="200"/>
      <c r="K20" s="162"/>
    </row>
    <row r="21" spans="1:16" x14ac:dyDescent="0.35">
      <c r="B21" s="199"/>
      <c r="C21" s="58" t="s">
        <v>50</v>
      </c>
      <c r="D21" s="58"/>
      <c r="E21" s="354"/>
      <c r="F21" s="354"/>
      <c r="G21" s="354"/>
      <c r="H21" s="354"/>
      <c r="I21" s="353" t="s">
        <v>193</v>
      </c>
      <c r="J21" s="200"/>
    </row>
    <row r="22" spans="1:16" x14ac:dyDescent="0.35">
      <c r="B22" s="199"/>
      <c r="C22" s="58" t="s">
        <v>57</v>
      </c>
      <c r="D22" s="58"/>
      <c r="E22" s="354"/>
      <c r="F22" s="354"/>
      <c r="G22" s="354"/>
      <c r="H22" s="354"/>
      <c r="I22" s="353" t="s">
        <v>125</v>
      </c>
      <c r="J22" s="200"/>
    </row>
    <row r="23" spans="1:16" x14ac:dyDescent="0.35">
      <c r="B23" s="199"/>
      <c r="C23" s="175"/>
      <c r="D23" s="175"/>
      <c r="E23" s="201"/>
      <c r="F23" s="201"/>
      <c r="G23" s="201"/>
      <c r="H23" s="201"/>
      <c r="I23" s="175"/>
      <c r="J23" s="200"/>
    </row>
    <row r="24" spans="1:16" x14ac:dyDescent="0.35">
      <c r="B24" s="199"/>
      <c r="C24" s="175"/>
      <c r="D24" s="175"/>
      <c r="E24" s="201"/>
      <c r="F24" s="201"/>
      <c r="G24" s="201"/>
      <c r="H24" s="201"/>
      <c r="I24" s="175"/>
      <c r="J24" s="200"/>
    </row>
    <row r="25" spans="1:16" x14ac:dyDescent="0.35">
      <c r="B25" s="211"/>
      <c r="C25" s="59"/>
      <c r="D25" s="59"/>
      <c r="E25" s="66"/>
      <c r="F25" s="66"/>
      <c r="G25" s="66"/>
      <c r="H25" s="66"/>
      <c r="I25" s="76"/>
      <c r="J25" s="212"/>
    </row>
    <row r="26" spans="1:16" x14ac:dyDescent="0.35">
      <c r="B26" s="209"/>
      <c r="C26" s="70" t="s">
        <v>39</v>
      </c>
      <c r="D26" s="70"/>
      <c r="E26" s="69"/>
      <c r="F26" s="69"/>
      <c r="G26" s="69"/>
      <c r="H26" s="69"/>
      <c r="I26" s="77"/>
      <c r="J26" s="210"/>
    </row>
    <row r="27" spans="1:16" x14ac:dyDescent="0.35">
      <c r="B27" s="199"/>
      <c r="C27" s="58" t="s">
        <v>171</v>
      </c>
      <c r="D27" s="58"/>
      <c r="E27" s="188"/>
      <c r="F27" s="188"/>
      <c r="G27" s="186"/>
      <c r="H27" s="188"/>
      <c r="I27" s="196"/>
      <c r="J27" s="200"/>
    </row>
    <row r="28" spans="1:16" x14ac:dyDescent="0.35">
      <c r="B28" s="199"/>
      <c r="C28" s="58" t="s">
        <v>153</v>
      </c>
      <c r="D28" s="58"/>
      <c r="E28" s="188"/>
      <c r="F28" s="188"/>
      <c r="G28" s="186"/>
      <c r="H28" s="188"/>
      <c r="I28" s="196"/>
      <c r="J28" s="200"/>
    </row>
    <row r="29" spans="1:16" x14ac:dyDescent="0.35">
      <c r="B29" s="199"/>
      <c r="C29" s="58" t="s">
        <v>1</v>
      </c>
      <c r="D29" s="58"/>
      <c r="E29" s="188"/>
      <c r="F29" s="188"/>
      <c r="G29" s="188"/>
      <c r="H29" s="188"/>
      <c r="I29" s="196" t="s">
        <v>202</v>
      </c>
      <c r="J29" s="200"/>
    </row>
    <row r="30" spans="1:16" x14ac:dyDescent="0.35">
      <c r="B30" s="199"/>
      <c r="C30" s="58" t="s">
        <v>15</v>
      </c>
      <c r="D30" s="58"/>
      <c r="E30" s="186"/>
      <c r="F30" s="186"/>
      <c r="G30" s="186"/>
      <c r="H30" s="188"/>
      <c r="I30" s="196"/>
      <c r="J30" s="200"/>
    </row>
    <row r="31" spans="1:16" x14ac:dyDescent="0.35">
      <c r="B31" s="199"/>
      <c r="C31" s="58" t="s">
        <v>229</v>
      </c>
      <c r="D31" s="58"/>
      <c r="E31" s="188"/>
      <c r="F31" s="188"/>
      <c r="G31" s="188"/>
      <c r="H31" s="188"/>
      <c r="I31" s="196"/>
      <c r="J31" s="200"/>
    </row>
    <row r="32" spans="1:16" x14ac:dyDescent="0.35">
      <c r="B32" s="199"/>
      <c r="C32" s="175"/>
      <c r="D32" s="175"/>
      <c r="E32" s="201"/>
      <c r="F32" s="201"/>
      <c r="G32" s="201"/>
      <c r="H32" s="201"/>
      <c r="I32" s="175"/>
      <c r="J32" s="200"/>
    </row>
    <row r="33" spans="2:10" x14ac:dyDescent="0.35">
      <c r="B33" s="211"/>
      <c r="J33" s="212"/>
    </row>
    <row r="34" spans="2:10" ht="15" thickBot="1" x14ac:dyDescent="0.4">
      <c r="B34" s="213"/>
      <c r="C34" s="214"/>
      <c r="D34" s="214"/>
      <c r="E34" s="202"/>
      <c r="F34" s="202"/>
      <c r="G34" s="202"/>
      <c r="H34" s="202"/>
      <c r="I34" s="215"/>
      <c r="J34" s="21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328d060-d216-4afe-9302-ccc930dd7d37" origin="userSelected"/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+Ni8xOS8yMDIxIDk6MjY6MDggQU08L0RhdGVUaW1lPjxMYWJlbFN0cmluZz5UaGlzIGl0ZW0gaGFzIG5vIGNsYXNzaWZpY2F0aW9uPC9MYWJlbFN0cmluZz48L2l0ZW0+PC9sYWJlbEhpc3Rvcnk+</Value>
</WrappedLabelHistory>
</file>

<file path=customXml/itemProps1.xml><?xml version="1.0" encoding="utf-8"?>
<ds:datastoreItem xmlns:ds="http://schemas.openxmlformats.org/officeDocument/2006/customXml" ds:itemID="{BF327BB3-7419-4C49-92F4-08E7D4586F2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C0C2BB1-9E2C-4ABE-972D-41E09998C012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</vt:i4>
      </vt:variant>
    </vt:vector>
  </HeadingPairs>
  <TitlesOfParts>
    <vt:vector size="29" baseType="lpstr">
      <vt:lpstr>D</vt:lpstr>
      <vt:lpstr>S | 01 </vt:lpstr>
      <vt:lpstr>S | 02</vt:lpstr>
      <vt:lpstr>S | 03</vt:lpstr>
      <vt:lpstr>NAV</vt:lpstr>
      <vt:lpstr>CF (Equity, Debt)</vt:lpstr>
      <vt:lpstr>CF (Funds)</vt:lpstr>
      <vt:lpstr>1. IRR Equity</vt:lpstr>
      <vt:lpstr>2. IRR Debt</vt:lpstr>
      <vt:lpstr>3. IRR Funds</vt:lpstr>
      <vt:lpstr>4.All</vt:lpstr>
      <vt:lpstr>4. Mozn-IRR</vt:lpstr>
      <vt:lpstr>4. G42-IRR</vt:lpstr>
      <vt:lpstr>5. CF Profile</vt:lpstr>
      <vt:lpstr>6. %</vt:lpstr>
      <vt:lpstr>7. Board</vt:lpstr>
      <vt:lpstr>8. Log</vt:lpstr>
      <vt:lpstr>1</vt:lpstr>
      <vt:lpstr>2</vt:lpstr>
      <vt:lpstr>3</vt:lpstr>
      <vt:lpstr>X1</vt:lpstr>
      <vt:lpstr>X2</vt:lpstr>
      <vt:lpstr>X3</vt:lpstr>
      <vt:lpstr>4.1</vt:lpstr>
      <vt:lpstr>1.1(P1)</vt:lpstr>
      <vt:lpstr>5. Geo</vt:lpstr>
      <vt:lpstr>Outlook</vt:lpstr>
      <vt:lpstr>D!Print_Area</vt:lpstr>
      <vt:lpstr>NAV!Print_Area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2023-08-10T08:43:02Z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6eae3098-50b1-40c1-8c4e-a43e21294157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DA29pMqchs6OqNcXUkV1uVjgxAzN14zu</vt:lpwstr>
  </property>
  <property fmtid="{D5CDD505-2E9C-101B-9397-08002B2CF9AE}" pid="5" name="bjClsUserRVM">
    <vt:lpwstr>[]</vt:lpwstr>
  </property>
  <property fmtid="{D5CDD505-2E9C-101B-9397-08002B2CF9AE}" pid="6" name="bjLabelHistoryID">
    <vt:lpwstr>{BC0C2BB1-9E2C-4ABE-972D-41E09998C012}</vt:lpwstr>
  </property>
</Properties>
</file>