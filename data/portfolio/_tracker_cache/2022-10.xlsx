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ustomProperty1.bin" ContentType="application/vnd.openxmlformats-officedocument.spreadsheetml.customProperty"/>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0"/>
  <workbookPr filterPrivacy="1"/>
  <xr:revisionPtr revIDLastSave="0" documentId="8_{794DF0BC-F138-42C4-95FF-F90AD81164F0}" xr6:coauthVersionLast="36" xr6:coauthVersionMax="36" xr10:uidLastSave="{00000000-0000-0000-0000-000000000000}"/>
  <bookViews>
    <workbookView xWindow="0" yWindow="0" windowWidth="24000" windowHeight="9525" tabRatio="874" xr2:uid="{00000000-000D-0000-FFFF-FFFF00000000}"/>
  </bookViews>
  <sheets>
    <sheet name="D" sheetId="51" r:id="rId1"/>
    <sheet name="Summary | 01 " sheetId="14" r:id="rId2"/>
    <sheet name="Summary | 02" sheetId="65" r:id="rId3"/>
    <sheet name="NAV" sheetId="37" r:id="rId4"/>
    <sheet name="%" sheetId="44" r:id="rId5"/>
    <sheet name="CF (Equity, Debt)" sheetId="17" r:id="rId6"/>
    <sheet name="CF (Funds)" sheetId="40" r:id="rId7"/>
    <sheet name="1. IRR Equity1" sheetId="32" r:id="rId8"/>
    <sheet name="1.1(P1)" sheetId="39" r:id="rId9"/>
    <sheet name="2. IRR Debt" sheetId="52" r:id="rId10"/>
    <sheet name="3. IRR Funds" sheetId="49" r:id="rId11"/>
    <sheet name="4.All" sheetId="58" r:id="rId12"/>
    <sheet name="4.1" sheetId="62" r:id="rId13"/>
    <sheet name="4.2" sheetId="66" r:id="rId14"/>
    <sheet name="5. Geo" sheetId="63" r:id="rId15"/>
    <sheet name="4. CF Profile" sheetId="50" r:id="rId16"/>
    <sheet name="5. CF " sheetId="53" r:id="rId17"/>
    <sheet name="Board" sheetId="28" r:id="rId18"/>
    <sheet name="6. AT1" sheetId="60" r:id="rId19"/>
    <sheet name="X1" sheetId="10" r:id="rId20"/>
    <sheet name="X2" sheetId="67" r:id="rId21"/>
    <sheet name="Outlook" sheetId="47" state="hidden" r:id="rId22"/>
  </sheets>
  <externalReferences>
    <externalReference r:id="rId23"/>
    <externalReference r:id="rId24"/>
  </externalReferences>
  <definedNames>
    <definedName name="_xlnm._FilterDatabase" localSheetId="15" hidden="1">'4. CF Profile'!$B$5:$G$71</definedName>
    <definedName name="_xlnm._FilterDatabase" localSheetId="12" hidden="1">'4.1'!$F$7:$L$73</definedName>
    <definedName name="_xlnm._FilterDatabase" localSheetId="11" hidden="1">'4.All'!$B$7:$E$73</definedName>
    <definedName name="CIQWBGuid" hidden="1">"30a4d636-7e5a-4be6-b336-6a264c95dcbd"</definedName>
    <definedName name="CIQWBInfo" hidden="1">"{ ""CIQVersion"":""9.48.1616.5174"" }"</definedName>
    <definedName name="Company">[1]UEL!$B$18:$B$20</definedName>
    <definedName name="Dates">[1]ONT!$N$2:$AN$2</definedName>
    <definedName name="DetailedCapShares">'[2]Current Cap'!$T$133</definedName>
    <definedName name="FAGroup">[1]UEL!$B$3:$B$15</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44781.4426157406</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20" i="65" l="1"/>
  <c r="M20" i="65" s="1"/>
  <c r="I19" i="65"/>
  <c r="M19" i="65" s="1"/>
  <c r="I18" i="65"/>
  <c r="M18" i="65" s="1"/>
  <c r="I17" i="65"/>
  <c r="M17" i="65" s="1"/>
  <c r="I16" i="65"/>
  <c r="M16" i="65" s="1"/>
  <c r="I14" i="65"/>
  <c r="M14" i="65" s="1"/>
  <c r="I12" i="65"/>
  <c r="I11" i="65"/>
  <c r="M11" i="65" s="1"/>
  <c r="I10" i="65"/>
  <c r="M10" i="65" s="1"/>
  <c r="I15" i="65"/>
  <c r="M15" i="65" s="1"/>
  <c r="F25" i="44" l="1"/>
  <c r="F22" i="44"/>
  <c r="E22" i="37" l="1"/>
  <c r="D22" i="37"/>
  <c r="E21" i="37"/>
  <c r="E20" i="37"/>
  <c r="E19" i="37"/>
  <c r="E18" i="37"/>
  <c r="E17" i="37"/>
  <c r="E16" i="37"/>
  <c r="E15" i="37"/>
  <c r="E14" i="37"/>
  <c r="G14" i="37"/>
  <c r="D14" i="37" s="1"/>
  <c r="E13" i="37"/>
  <c r="E12" i="37"/>
  <c r="E11" i="37"/>
  <c r="E10" i="37"/>
  <c r="E65" i="66"/>
  <c r="E61" i="66"/>
  <c r="E56" i="66"/>
  <c r="E49" i="66"/>
  <c r="E23" i="66"/>
  <c r="E68" i="66"/>
  <c r="E57" i="66"/>
  <c r="E45" i="66"/>
  <c r="E37" i="66"/>
  <c r="E22" i="66"/>
  <c r="E59" i="66"/>
  <c r="E54" i="66"/>
  <c r="E44" i="66"/>
  <c r="E43" i="66"/>
  <c r="E41" i="66"/>
  <c r="E31" i="66"/>
  <c r="E30" i="66"/>
  <c r="E29" i="66"/>
  <c r="E26" i="66"/>
  <c r="E25" i="66"/>
  <c r="E16" i="66"/>
  <c r="E13" i="66"/>
  <c r="E18" i="66"/>
  <c r="E7" i="66"/>
  <c r="E64" i="66"/>
  <c r="E63" i="66"/>
  <c r="E53" i="66"/>
  <c r="E52" i="66"/>
  <c r="E51" i="66"/>
  <c r="E46" i="66"/>
  <c r="E35" i="66"/>
  <c r="E34" i="66"/>
  <c r="E36" i="66"/>
  <c r="E33" i="66"/>
  <c r="E32" i="66"/>
  <c r="E27" i="66"/>
  <c r="E42" i="66"/>
  <c r="E38" i="66"/>
  <c r="E6" i="66"/>
  <c r="E67" i="66"/>
  <c r="E66" i="66"/>
  <c r="E62" i="66"/>
  <c r="E60" i="66"/>
  <c r="E58" i="66"/>
  <c r="E55" i="66"/>
  <c r="E50" i="66"/>
  <c r="E48" i="66"/>
  <c r="E47" i="66"/>
  <c r="E40" i="66"/>
  <c r="E28" i="66"/>
  <c r="E39" i="66"/>
  <c r="E20" i="66"/>
  <c r="E10" i="66"/>
  <c r="E21" i="66"/>
  <c r="E17" i="66"/>
  <c r="E24" i="66"/>
  <c r="E19" i="66"/>
  <c r="E15" i="66"/>
  <c r="E12" i="66"/>
  <c r="E11" i="66"/>
  <c r="E14" i="66"/>
  <c r="E5" i="66"/>
  <c r="E4" i="66"/>
  <c r="E9" i="66"/>
  <c r="E8" i="66"/>
  <c r="E3" i="66"/>
  <c r="L24" i="50"/>
  <c r="K24" i="50"/>
  <c r="J24" i="50"/>
  <c r="R24" i="50"/>
  <c r="Q24" i="50"/>
  <c r="P24" i="50"/>
  <c r="C2" i="37" l="1"/>
  <c r="D7" i="37" s="1"/>
  <c r="D2" i="14"/>
  <c r="D2" i="65" s="1"/>
  <c r="I10" i="14"/>
  <c r="D3" i="44" l="1"/>
  <c r="G37" i="51"/>
  <c r="K18" i="63"/>
  <c r="P96" i="62"/>
  <c r="P95" i="62"/>
  <c r="P94" i="62"/>
  <c r="P93" i="62"/>
  <c r="P92" i="62"/>
  <c r="P91" i="62"/>
  <c r="P90" i="62"/>
  <c r="P89" i="62"/>
  <c r="P88" i="62"/>
  <c r="P87" i="62"/>
  <c r="P86" i="62"/>
  <c r="P85" i="62"/>
  <c r="P84" i="62"/>
  <c r="P83" i="62"/>
  <c r="P82" i="62"/>
  <c r="P81" i="62"/>
  <c r="P80" i="62"/>
  <c r="P79" i="62"/>
  <c r="P78" i="62"/>
  <c r="P77" i="62"/>
  <c r="P76" i="62"/>
  <c r="P75" i="62"/>
  <c r="P74" i="62"/>
  <c r="P73" i="62"/>
  <c r="P72" i="62"/>
  <c r="P71" i="62"/>
  <c r="P70" i="62"/>
  <c r="P69" i="62"/>
  <c r="P68" i="62"/>
  <c r="P67" i="62"/>
  <c r="P66" i="62"/>
  <c r="P65" i="62"/>
  <c r="P64" i="62"/>
  <c r="P63" i="62"/>
  <c r="P62" i="62"/>
  <c r="P61" i="62"/>
  <c r="P60" i="62"/>
  <c r="P59" i="62"/>
  <c r="P58" i="62"/>
  <c r="P57" i="62"/>
  <c r="P56" i="62"/>
  <c r="P55" i="62"/>
  <c r="P54" i="62"/>
  <c r="P53" i="62"/>
  <c r="P52" i="62"/>
  <c r="P51" i="62"/>
  <c r="P50" i="62"/>
  <c r="P49" i="62"/>
  <c r="P48" i="62"/>
  <c r="P47" i="62"/>
  <c r="P46" i="62"/>
  <c r="P45" i="62"/>
  <c r="P44" i="62"/>
  <c r="P43" i="62"/>
  <c r="P42" i="62"/>
  <c r="P41" i="62"/>
  <c r="P40" i="62"/>
  <c r="P39" i="62"/>
  <c r="P38" i="62"/>
  <c r="P37" i="62"/>
  <c r="P36" i="62"/>
  <c r="P35" i="62"/>
  <c r="P34" i="62"/>
  <c r="P33" i="62"/>
  <c r="P32" i="62"/>
  <c r="P31" i="62"/>
  <c r="P30" i="62"/>
  <c r="P29" i="62"/>
  <c r="P28" i="62"/>
  <c r="P27" i="62"/>
  <c r="P26" i="62"/>
  <c r="P25" i="62"/>
  <c r="P24" i="62"/>
  <c r="P23" i="62"/>
  <c r="P22" i="62"/>
  <c r="P21" i="62"/>
  <c r="P20" i="62"/>
  <c r="P19" i="62"/>
  <c r="P18" i="62"/>
  <c r="P17" i="62"/>
  <c r="P16" i="62"/>
  <c r="P15" i="62"/>
  <c r="P14" i="62"/>
  <c r="P13" i="62"/>
  <c r="P12" i="62"/>
  <c r="P11" i="62"/>
  <c r="P10" i="62"/>
  <c r="P9" i="62"/>
  <c r="P8" i="62"/>
  <c r="L21" i="50"/>
  <c r="L20" i="50"/>
  <c r="L19" i="50"/>
  <c r="L18" i="50"/>
  <c r="L17" i="50"/>
  <c r="L16" i="50"/>
  <c r="L15" i="50"/>
  <c r="L14" i="50"/>
  <c r="L13" i="50"/>
  <c r="L12" i="50"/>
  <c r="L11" i="50"/>
  <c r="L10" i="50"/>
  <c r="L9" i="50"/>
  <c r="L8" i="50"/>
  <c r="L7" i="50"/>
  <c r="AC13" i="32"/>
  <c r="AC14" i="32"/>
  <c r="AC15" i="32"/>
  <c r="AC16" i="32"/>
  <c r="AC17" i="32"/>
  <c r="AC18" i="32"/>
  <c r="AC19" i="32"/>
  <c r="AC20" i="32"/>
  <c r="AC21" i="32"/>
  <c r="AC22" i="32"/>
  <c r="AC23" i="32"/>
  <c r="AC24" i="32"/>
  <c r="AC25" i="32"/>
  <c r="AC12" i="32"/>
  <c r="L73" i="62"/>
  <c r="L72" i="62"/>
  <c r="L71" i="62"/>
  <c r="L70" i="62"/>
  <c r="L69" i="62"/>
  <c r="L68" i="62"/>
  <c r="L67" i="62"/>
  <c r="L66" i="62"/>
  <c r="L65" i="62"/>
  <c r="L64" i="62"/>
  <c r="L63" i="62"/>
  <c r="L62" i="62"/>
  <c r="L60" i="62"/>
  <c r="L59" i="62"/>
  <c r="L57" i="62"/>
  <c r="L56" i="62"/>
  <c r="L55" i="62"/>
  <c r="L54" i="62"/>
  <c r="L53" i="62"/>
  <c r="L52" i="62"/>
  <c r="L51" i="62"/>
  <c r="L50" i="62"/>
  <c r="L48" i="62"/>
  <c r="L46" i="62"/>
  <c r="L45" i="62"/>
  <c r="L44" i="62"/>
  <c r="L42" i="62"/>
  <c r="L41" i="62"/>
  <c r="L39" i="62"/>
  <c r="L38" i="62"/>
  <c r="L37" i="62"/>
  <c r="L36" i="62"/>
  <c r="L35" i="62"/>
  <c r="L34" i="62"/>
  <c r="L33" i="62"/>
  <c r="L32" i="62"/>
  <c r="L31" i="62"/>
  <c r="L30" i="62"/>
  <c r="L29" i="62"/>
  <c r="L28" i="62"/>
  <c r="L27" i="62"/>
  <c r="L26" i="62"/>
  <c r="L25" i="62"/>
  <c r="L24" i="62"/>
  <c r="L23" i="62"/>
  <c r="L22" i="62"/>
  <c r="L21" i="62"/>
  <c r="L20" i="62"/>
  <c r="L19" i="62"/>
  <c r="L18" i="62"/>
  <c r="L17" i="62"/>
  <c r="L16" i="62"/>
  <c r="L15" i="62"/>
  <c r="L14" i="62"/>
  <c r="L13" i="62"/>
  <c r="L12" i="62"/>
  <c r="L11" i="62"/>
  <c r="L10" i="62"/>
  <c r="L9" i="62"/>
  <c r="L8" i="62"/>
  <c r="K65" i="62"/>
  <c r="K61" i="62"/>
  <c r="K58" i="62"/>
  <c r="K49" i="62"/>
  <c r="K47" i="62"/>
  <c r="K43" i="62"/>
  <c r="K40" i="62"/>
  <c r="K37" i="62"/>
  <c r="K36" i="62"/>
  <c r="K35" i="62"/>
  <c r="K34" i="62"/>
  <c r="K33" i="62"/>
  <c r="K32" i="62"/>
  <c r="K31" i="62"/>
  <c r="K30" i="62"/>
  <c r="K29" i="62"/>
  <c r="K28" i="62"/>
  <c r="K27" i="62"/>
  <c r="K26" i="62"/>
  <c r="K25" i="62"/>
  <c r="K24" i="62"/>
  <c r="K23" i="62"/>
  <c r="K22" i="62"/>
  <c r="K21" i="62"/>
  <c r="K20" i="62"/>
  <c r="K19" i="62"/>
  <c r="K18" i="62"/>
  <c r="K17" i="62"/>
  <c r="K16" i="62"/>
  <c r="K15" i="62"/>
  <c r="K14" i="62"/>
  <c r="K13" i="62"/>
  <c r="K12" i="62"/>
  <c r="K11" i="62"/>
  <c r="K10" i="62"/>
  <c r="K9" i="62"/>
  <c r="K8" i="62"/>
  <c r="E73" i="58"/>
  <c r="C73" i="58"/>
  <c r="B73" i="58"/>
  <c r="E72" i="58"/>
  <c r="C72" i="58"/>
  <c r="B72" i="58"/>
  <c r="E71" i="58"/>
  <c r="C71" i="58"/>
  <c r="B71" i="58"/>
  <c r="E70" i="58"/>
  <c r="C70" i="58"/>
  <c r="B70" i="58"/>
  <c r="E69" i="58"/>
  <c r="C69" i="58"/>
  <c r="B69" i="58"/>
  <c r="E68" i="58"/>
  <c r="C68" i="58"/>
  <c r="B68" i="58"/>
  <c r="E67" i="58"/>
  <c r="C67" i="58"/>
  <c r="B67" i="58"/>
  <c r="E66" i="58"/>
  <c r="C66" i="58"/>
  <c r="B66" i="58"/>
  <c r="E65" i="58"/>
  <c r="D65" i="58"/>
  <c r="C65" i="58"/>
  <c r="B65" i="58"/>
  <c r="E64" i="58"/>
  <c r="C64" i="58"/>
  <c r="B64" i="58"/>
  <c r="E63" i="58"/>
  <c r="C63" i="58"/>
  <c r="B63" i="58"/>
  <c r="E62" i="58"/>
  <c r="C62" i="58"/>
  <c r="B62" i="58"/>
  <c r="D61" i="58"/>
  <c r="C61" i="58"/>
  <c r="B61" i="58"/>
  <c r="E60" i="58"/>
  <c r="C60" i="58"/>
  <c r="B60" i="58"/>
  <c r="E59" i="58"/>
  <c r="C59" i="58"/>
  <c r="B59" i="58"/>
  <c r="D58" i="58"/>
  <c r="C58" i="58"/>
  <c r="B58" i="58"/>
  <c r="E57" i="58"/>
  <c r="C57" i="58"/>
  <c r="B57" i="58"/>
  <c r="E56" i="58"/>
  <c r="C56" i="58"/>
  <c r="B56" i="58"/>
  <c r="E55" i="58"/>
  <c r="C55" i="58"/>
  <c r="B55" i="58"/>
  <c r="E54" i="58"/>
  <c r="C54" i="58"/>
  <c r="B54" i="58"/>
  <c r="E53" i="58"/>
  <c r="C53" i="58"/>
  <c r="B53" i="58"/>
  <c r="E52" i="58"/>
  <c r="C52" i="58"/>
  <c r="B52" i="58"/>
  <c r="E51" i="58"/>
  <c r="C51" i="58"/>
  <c r="B51" i="58"/>
  <c r="E50" i="58"/>
  <c r="C50" i="58"/>
  <c r="B50" i="58"/>
  <c r="D49" i="58"/>
  <c r="C49" i="58"/>
  <c r="B49" i="58"/>
  <c r="E48" i="58"/>
  <c r="C48" i="58"/>
  <c r="B48" i="58"/>
  <c r="D47" i="58"/>
  <c r="C47" i="58"/>
  <c r="B47" i="58"/>
  <c r="E46" i="58"/>
  <c r="C46" i="58"/>
  <c r="B46" i="58"/>
  <c r="E45" i="58"/>
  <c r="C45" i="58"/>
  <c r="B45" i="58"/>
  <c r="E44" i="58"/>
  <c r="C44" i="58"/>
  <c r="B44" i="58"/>
  <c r="D43" i="58"/>
  <c r="C43" i="58"/>
  <c r="B43" i="58"/>
  <c r="E42" i="58"/>
  <c r="C42" i="58"/>
  <c r="B42" i="58"/>
  <c r="E41" i="58"/>
  <c r="C41" i="58"/>
  <c r="B41" i="58"/>
  <c r="D40" i="58"/>
  <c r="C40" i="58"/>
  <c r="B40" i="58"/>
  <c r="E39" i="58"/>
  <c r="C39" i="58"/>
  <c r="B39" i="58"/>
  <c r="E38" i="58"/>
  <c r="C38" i="58"/>
  <c r="B38" i="58"/>
  <c r="D37" i="58"/>
  <c r="C37" i="58"/>
  <c r="B37" i="58"/>
  <c r="D36" i="58"/>
  <c r="C36" i="58"/>
  <c r="B36" i="58"/>
  <c r="D35" i="58"/>
  <c r="C35" i="58"/>
  <c r="B35" i="58"/>
  <c r="D34" i="58"/>
  <c r="C34" i="58"/>
  <c r="B34" i="58"/>
  <c r="D33" i="58"/>
  <c r="C33" i="58"/>
  <c r="B33" i="58"/>
  <c r="D32" i="58"/>
  <c r="C32" i="58"/>
  <c r="B32" i="58"/>
  <c r="D31" i="58"/>
  <c r="C31" i="58"/>
  <c r="B31" i="58"/>
  <c r="D30" i="58"/>
  <c r="C30" i="58"/>
  <c r="B30" i="58"/>
  <c r="D29" i="58"/>
  <c r="C29" i="58"/>
  <c r="B29" i="58"/>
  <c r="D28" i="58"/>
  <c r="C28" i="58"/>
  <c r="B28" i="58"/>
  <c r="D27" i="58"/>
  <c r="C27" i="58"/>
  <c r="B27" i="58"/>
  <c r="D26" i="58"/>
  <c r="C26" i="58"/>
  <c r="B26" i="58"/>
  <c r="D25" i="58"/>
  <c r="C25" i="58"/>
  <c r="B25" i="58"/>
  <c r="D24" i="58"/>
  <c r="C24" i="58"/>
  <c r="B24" i="58"/>
  <c r="D23" i="58"/>
  <c r="C23" i="58"/>
  <c r="B23" i="58"/>
  <c r="D22" i="58"/>
  <c r="C22" i="58"/>
  <c r="B22" i="58"/>
  <c r="D21" i="58"/>
  <c r="C21" i="58"/>
  <c r="B21" i="58"/>
  <c r="D20" i="58"/>
  <c r="C20" i="58"/>
  <c r="B20" i="58"/>
  <c r="D19" i="58"/>
  <c r="C19" i="58"/>
  <c r="B19" i="58"/>
  <c r="D18" i="58"/>
  <c r="C18" i="58"/>
  <c r="B18" i="58"/>
  <c r="D17" i="58"/>
  <c r="C17" i="58"/>
  <c r="B17" i="58"/>
  <c r="D16" i="58"/>
  <c r="C16" i="58"/>
  <c r="B16" i="58"/>
  <c r="D15" i="58"/>
  <c r="C15" i="58"/>
  <c r="B15" i="58"/>
  <c r="D14" i="58"/>
  <c r="C14" i="58"/>
  <c r="B14" i="58"/>
  <c r="D13" i="58"/>
  <c r="C13" i="58"/>
  <c r="B13" i="58"/>
  <c r="D12" i="58"/>
  <c r="C12" i="58"/>
  <c r="B12" i="58"/>
  <c r="D11" i="58"/>
  <c r="C11" i="58"/>
  <c r="B11" i="58"/>
  <c r="D10" i="58"/>
  <c r="C10" i="58"/>
  <c r="B10" i="58"/>
  <c r="D9" i="58"/>
  <c r="C9" i="58"/>
  <c r="B9" i="58"/>
  <c r="D8" i="58"/>
  <c r="C8" i="58"/>
  <c r="B8" i="58"/>
  <c r="G64" i="39"/>
  <c r="G56" i="39"/>
  <c r="G53" i="39"/>
  <c r="G51" i="39"/>
  <c r="E48" i="39"/>
  <c r="D48" i="39"/>
  <c r="C48" i="39"/>
  <c r="E47" i="39"/>
  <c r="D47" i="39"/>
  <c r="C47" i="39"/>
  <c r="E46" i="39"/>
  <c r="D46" i="39"/>
  <c r="C46" i="39"/>
  <c r="E45" i="39"/>
  <c r="D45" i="39"/>
  <c r="C45" i="39"/>
  <c r="E44" i="39"/>
  <c r="D44" i="39"/>
  <c r="C44" i="39"/>
  <c r="E43" i="39"/>
  <c r="D43" i="39"/>
  <c r="C43" i="39"/>
  <c r="E42" i="39"/>
  <c r="D42" i="39"/>
  <c r="C42" i="39"/>
  <c r="E41" i="39"/>
  <c r="D41" i="39"/>
  <c r="C41" i="39"/>
  <c r="E40" i="39"/>
  <c r="D40" i="39"/>
  <c r="C40" i="39"/>
  <c r="E39" i="39"/>
  <c r="D39" i="39"/>
  <c r="C39" i="39"/>
  <c r="E38" i="39"/>
  <c r="D38" i="39"/>
  <c r="C38" i="39"/>
  <c r="E37" i="39"/>
  <c r="D37" i="39"/>
  <c r="C37" i="39"/>
  <c r="E36" i="39"/>
  <c r="D36" i="39"/>
  <c r="C36" i="39"/>
  <c r="E35" i="39"/>
  <c r="D35" i="39"/>
  <c r="C35" i="39"/>
  <c r="E34" i="39"/>
  <c r="D34" i="39"/>
  <c r="C34" i="39"/>
  <c r="E33" i="39"/>
  <c r="D33" i="39"/>
  <c r="C33" i="39"/>
  <c r="E32" i="39"/>
  <c r="D32" i="39"/>
  <c r="C32" i="39"/>
  <c r="E31" i="39"/>
  <c r="D31" i="39"/>
  <c r="C31" i="39"/>
  <c r="E30" i="39"/>
  <c r="D30" i="39"/>
  <c r="C30" i="39"/>
  <c r="E29" i="39"/>
  <c r="D29" i="39"/>
  <c r="C29" i="39"/>
  <c r="E28" i="39"/>
  <c r="D28" i="39"/>
  <c r="C28" i="39"/>
  <c r="E27" i="39"/>
  <c r="D27" i="39"/>
  <c r="C27" i="39"/>
  <c r="E26" i="39"/>
  <c r="D26" i="39"/>
  <c r="C26" i="39"/>
  <c r="E25" i="39"/>
  <c r="D25" i="39"/>
  <c r="C25" i="39"/>
  <c r="E24" i="39"/>
  <c r="D24" i="39"/>
  <c r="C24" i="39"/>
  <c r="E23" i="39"/>
  <c r="D23" i="39"/>
  <c r="C23" i="39"/>
  <c r="E22" i="39"/>
  <c r="D22" i="39"/>
  <c r="C22" i="39"/>
  <c r="D36" i="32"/>
  <c r="C36" i="32"/>
  <c r="B36" i="32"/>
  <c r="D35" i="32"/>
  <c r="C35" i="32"/>
  <c r="B35" i="32"/>
  <c r="D34" i="32"/>
  <c r="C34" i="32"/>
  <c r="B34" i="32"/>
  <c r="D33" i="32"/>
  <c r="C33" i="32"/>
  <c r="B33" i="32"/>
  <c r="D32" i="32"/>
  <c r="C32" i="32"/>
  <c r="B32" i="32"/>
  <c r="D31" i="32"/>
  <c r="C31" i="32"/>
  <c r="B31" i="32"/>
  <c r="D30" i="32"/>
  <c r="C30" i="32"/>
  <c r="B30" i="32"/>
  <c r="D29" i="32"/>
  <c r="C29" i="32"/>
  <c r="B29" i="32"/>
  <c r="D28" i="32"/>
  <c r="C28" i="32"/>
  <c r="B28" i="32"/>
  <c r="D27" i="32"/>
  <c r="C27" i="32"/>
  <c r="B27" i="32"/>
  <c r="D26" i="32"/>
  <c r="C26" i="32"/>
  <c r="B26" i="32"/>
  <c r="D25" i="32"/>
  <c r="C25" i="32"/>
  <c r="B25" i="32"/>
  <c r="D24" i="32"/>
  <c r="C24" i="32"/>
  <c r="B24" i="32"/>
  <c r="D23" i="32"/>
  <c r="C23" i="32"/>
  <c r="B23" i="32"/>
  <c r="D22" i="32"/>
  <c r="C22" i="32"/>
  <c r="B22" i="32"/>
  <c r="D21" i="32"/>
  <c r="C21" i="32"/>
  <c r="B21" i="32"/>
  <c r="D20" i="32"/>
  <c r="C20" i="32"/>
  <c r="B20" i="32"/>
  <c r="D19" i="32"/>
  <c r="C19" i="32"/>
  <c r="B19" i="32"/>
  <c r="D18" i="32"/>
  <c r="C18" i="32"/>
  <c r="B18" i="32"/>
  <c r="D17" i="32"/>
  <c r="C17" i="32"/>
  <c r="B17" i="32"/>
  <c r="D16" i="32"/>
  <c r="C16" i="32"/>
  <c r="B16" i="32"/>
  <c r="D15" i="32"/>
  <c r="C15" i="32"/>
  <c r="B15" i="32"/>
  <c r="D14" i="32"/>
  <c r="C14" i="32"/>
  <c r="B14" i="32"/>
  <c r="D13" i="32"/>
  <c r="C13" i="32"/>
  <c r="B13" i="32"/>
  <c r="D12" i="32"/>
  <c r="C12" i="32"/>
  <c r="B12" i="32"/>
  <c r="D11" i="32"/>
  <c r="C11" i="32"/>
  <c r="B11" i="32"/>
  <c r="D10" i="32"/>
  <c r="C10" i="32"/>
  <c r="B10" i="32"/>
  <c r="M24" i="14"/>
  <c r="M23" i="14"/>
  <c r="M22" i="14"/>
  <c r="M21" i="14"/>
  <c r="M20" i="14"/>
  <c r="M19" i="14"/>
  <c r="M18" i="14"/>
  <c r="M17" i="14"/>
  <c r="M16" i="14"/>
  <c r="M15" i="14"/>
  <c r="M14" i="14"/>
  <c r="M13" i="14"/>
  <c r="M12" i="14"/>
  <c r="M11" i="14"/>
  <c r="M10" i="14"/>
  <c r="K10" i="14"/>
  <c r="K24" i="14"/>
  <c r="J24" i="14" s="1"/>
  <c r="K23" i="14"/>
  <c r="K22" i="14"/>
  <c r="K21" i="14"/>
  <c r="K20" i="14"/>
  <c r="K19" i="14"/>
  <c r="K18" i="14"/>
  <c r="K17" i="14"/>
  <c r="K16" i="14"/>
  <c r="K15" i="14"/>
  <c r="K14" i="14"/>
  <c r="K13" i="14"/>
  <c r="K12" i="14"/>
  <c r="K11" i="14"/>
  <c r="D23" i="37"/>
  <c r="N5" i="63" l="1"/>
  <c r="M96" i="62" l="1"/>
  <c r="M95" i="62"/>
  <c r="M94" i="62"/>
  <c r="M93" i="62"/>
  <c r="M92" i="62"/>
  <c r="M91" i="62"/>
  <c r="M90" i="62"/>
  <c r="M89" i="62"/>
  <c r="M88" i="62"/>
  <c r="M80" i="62"/>
  <c r="M77" i="62"/>
  <c r="M75" i="62"/>
  <c r="F96" i="58"/>
  <c r="F95" i="58"/>
  <c r="F94" i="58"/>
  <c r="F93" i="58"/>
  <c r="F92" i="58"/>
  <c r="F91" i="58"/>
  <c r="F90" i="58"/>
  <c r="F89" i="58"/>
  <c r="F88" i="58"/>
  <c r="F80" i="58"/>
  <c r="F77" i="58"/>
  <c r="F75" i="58"/>
  <c r="J28" i="63"/>
  <c r="K28" i="63"/>
  <c r="I28" i="63"/>
  <c r="H28" i="63"/>
  <c r="G28" i="63"/>
  <c r="N17" i="62"/>
  <c r="I96" i="62"/>
  <c r="I95" i="62"/>
  <c r="I94" i="62"/>
  <c r="I93" i="62"/>
  <c r="I92" i="62"/>
  <c r="I91" i="62"/>
  <c r="I90" i="62"/>
  <c r="I89" i="62"/>
  <c r="I88" i="62"/>
  <c r="I87" i="62"/>
  <c r="I86" i="62"/>
  <c r="I85" i="62"/>
  <c r="I84" i="62"/>
  <c r="I83" i="62"/>
  <c r="I82" i="62"/>
  <c r="I81" i="62"/>
  <c r="I80" i="62"/>
  <c r="I79" i="62"/>
  <c r="I78" i="62"/>
  <c r="I77" i="62"/>
  <c r="I76" i="62"/>
  <c r="I75" i="62"/>
  <c r="I74" i="62"/>
  <c r="I73" i="62"/>
  <c r="I72" i="62"/>
  <c r="I71" i="62"/>
  <c r="I70" i="62"/>
  <c r="I69" i="62"/>
  <c r="I68" i="62"/>
  <c r="I67" i="62"/>
  <c r="I66" i="62"/>
  <c r="I65" i="62"/>
  <c r="I64" i="62"/>
  <c r="I63" i="62"/>
  <c r="I62" i="62"/>
  <c r="I61" i="62"/>
  <c r="I60" i="62"/>
  <c r="I59" i="62"/>
  <c r="I58" i="62"/>
  <c r="I57" i="62"/>
  <c r="I56" i="62"/>
  <c r="I55" i="62"/>
  <c r="I54" i="62"/>
  <c r="I53" i="62"/>
  <c r="I52" i="62"/>
  <c r="I51" i="62"/>
  <c r="I50" i="62"/>
  <c r="I49" i="62"/>
  <c r="I48" i="62"/>
  <c r="I47" i="62"/>
  <c r="I46" i="62"/>
  <c r="I45" i="62"/>
  <c r="I44" i="62"/>
  <c r="I43" i="62"/>
  <c r="I42" i="62"/>
  <c r="I41" i="62"/>
  <c r="I40" i="62"/>
  <c r="I39" i="62"/>
  <c r="I38" i="62"/>
  <c r="I37" i="62"/>
  <c r="I36" i="62"/>
  <c r="I35" i="62"/>
  <c r="I34" i="62"/>
  <c r="I33" i="62"/>
  <c r="I32" i="62"/>
  <c r="I31" i="62"/>
  <c r="I30" i="62"/>
  <c r="I29" i="62"/>
  <c r="I28" i="62"/>
  <c r="I27" i="62"/>
  <c r="I26" i="62"/>
  <c r="I25" i="62"/>
  <c r="I24" i="62"/>
  <c r="I23" i="62"/>
  <c r="I22" i="62"/>
  <c r="I21" i="62"/>
  <c r="I20" i="62"/>
  <c r="I19" i="62"/>
  <c r="I18" i="62"/>
  <c r="I17" i="62"/>
  <c r="I16" i="62"/>
  <c r="I15" i="62"/>
  <c r="I14" i="62"/>
  <c r="I13" i="62"/>
  <c r="I12" i="62"/>
  <c r="I11" i="62"/>
  <c r="I10" i="62"/>
  <c r="I9" i="62"/>
  <c r="I8" i="62"/>
  <c r="H8" i="62"/>
  <c r="H96" i="62"/>
  <c r="H95" i="62"/>
  <c r="H94" i="62"/>
  <c r="H93" i="62"/>
  <c r="H92" i="62"/>
  <c r="H91" i="62"/>
  <c r="H90" i="62"/>
  <c r="H89" i="62"/>
  <c r="H88" i="62"/>
  <c r="H87" i="62"/>
  <c r="H86" i="62"/>
  <c r="H85" i="62"/>
  <c r="H84" i="62"/>
  <c r="H83" i="62"/>
  <c r="H82" i="62"/>
  <c r="H81" i="62"/>
  <c r="H80" i="62"/>
  <c r="H79" i="62"/>
  <c r="H78" i="62"/>
  <c r="H77" i="62"/>
  <c r="H76" i="62"/>
  <c r="H75" i="62"/>
  <c r="H74" i="62"/>
  <c r="H73" i="62"/>
  <c r="H72" i="62"/>
  <c r="H71" i="62"/>
  <c r="H70" i="62"/>
  <c r="H69" i="62"/>
  <c r="H68" i="62"/>
  <c r="H67" i="62"/>
  <c r="H66" i="62"/>
  <c r="H65" i="62"/>
  <c r="H64" i="62"/>
  <c r="H63" i="62"/>
  <c r="H62" i="62"/>
  <c r="H61" i="62"/>
  <c r="H60" i="62"/>
  <c r="H59" i="62"/>
  <c r="H58" i="62"/>
  <c r="H57" i="62"/>
  <c r="H56" i="62"/>
  <c r="H55" i="62"/>
  <c r="H54" i="62"/>
  <c r="H53" i="62"/>
  <c r="H52" i="62"/>
  <c r="H51" i="62"/>
  <c r="H50" i="62"/>
  <c r="H49" i="62"/>
  <c r="H48" i="62"/>
  <c r="H47" i="62"/>
  <c r="H46" i="62"/>
  <c r="H45" i="62"/>
  <c r="H44" i="62"/>
  <c r="H43" i="62"/>
  <c r="H42" i="62"/>
  <c r="H41" i="62"/>
  <c r="H40" i="62"/>
  <c r="H39" i="62"/>
  <c r="H38" i="62"/>
  <c r="H37" i="62"/>
  <c r="H36" i="62"/>
  <c r="H35" i="62"/>
  <c r="H34" i="62"/>
  <c r="H33" i="62"/>
  <c r="H32" i="62"/>
  <c r="H31" i="62"/>
  <c r="H30" i="62"/>
  <c r="H29" i="62"/>
  <c r="H28" i="62"/>
  <c r="H27" i="62"/>
  <c r="H26" i="62"/>
  <c r="H25" i="62"/>
  <c r="H24" i="62"/>
  <c r="H23" i="62"/>
  <c r="H22" i="62"/>
  <c r="H21" i="62"/>
  <c r="H20" i="62"/>
  <c r="H19" i="62"/>
  <c r="H18" i="62"/>
  <c r="H17" i="62"/>
  <c r="H16" i="62"/>
  <c r="H15" i="62"/>
  <c r="H14" i="62"/>
  <c r="H13" i="62"/>
  <c r="H12" i="62"/>
  <c r="H11" i="62"/>
  <c r="H10" i="62"/>
  <c r="H9" i="62"/>
  <c r="K64" i="39"/>
  <c r="K56" i="39"/>
  <c r="K53" i="39"/>
  <c r="K51" i="39"/>
  <c r="K49" i="39"/>
  <c r="K48" i="39"/>
  <c r="K47" i="39"/>
  <c r="K46" i="39"/>
  <c r="K45" i="39"/>
  <c r="K44" i="39"/>
  <c r="K43" i="39"/>
  <c r="K42" i="39"/>
  <c r="K41" i="39"/>
  <c r="K40" i="39"/>
  <c r="K39" i="39"/>
  <c r="K38" i="39"/>
  <c r="K37" i="39"/>
  <c r="K36" i="39"/>
  <c r="K35" i="39"/>
  <c r="K34" i="39"/>
  <c r="K33" i="39"/>
  <c r="K32" i="39"/>
  <c r="K31" i="39"/>
  <c r="K30" i="39"/>
  <c r="K29" i="39"/>
  <c r="K28" i="39"/>
  <c r="K27" i="39"/>
  <c r="K26" i="39"/>
  <c r="K25" i="39"/>
  <c r="K24" i="39"/>
  <c r="K23" i="39"/>
  <c r="K22" i="39"/>
  <c r="J64" i="39"/>
  <c r="J63" i="39"/>
  <c r="J62" i="39"/>
  <c r="J61" i="39"/>
  <c r="J60" i="39"/>
  <c r="J59" i="39"/>
  <c r="J58" i="39"/>
  <c r="J57" i="39"/>
  <c r="J56" i="39"/>
  <c r="J55" i="39"/>
  <c r="J54" i="39"/>
  <c r="J53" i="39"/>
  <c r="J52" i="39"/>
  <c r="J51" i="39"/>
  <c r="J50" i="39"/>
  <c r="J49" i="39"/>
  <c r="J48" i="39"/>
  <c r="J47" i="39"/>
  <c r="J46" i="39"/>
  <c r="J45" i="39"/>
  <c r="J44" i="39"/>
  <c r="J43" i="39"/>
  <c r="J42" i="39"/>
  <c r="J41" i="39"/>
  <c r="J40" i="39"/>
  <c r="J39" i="39"/>
  <c r="J38" i="39"/>
  <c r="J37" i="39"/>
  <c r="J36" i="39"/>
  <c r="J35" i="39"/>
  <c r="J34" i="39"/>
  <c r="J33" i="39"/>
  <c r="J32" i="39"/>
  <c r="J31" i="39"/>
  <c r="J30" i="39"/>
  <c r="J29" i="39"/>
  <c r="J28" i="39"/>
  <c r="J27" i="39"/>
  <c r="J26" i="39"/>
  <c r="J25" i="39"/>
  <c r="J24" i="39"/>
  <c r="J23" i="39"/>
  <c r="J22" i="39"/>
  <c r="I22" i="39"/>
  <c r="I64" i="39"/>
  <c r="I63" i="39"/>
  <c r="I62" i="39"/>
  <c r="I61" i="39"/>
  <c r="I60" i="39"/>
  <c r="I59" i="39"/>
  <c r="I58" i="39"/>
  <c r="I57" i="39"/>
  <c r="I56" i="39"/>
  <c r="I55" i="39"/>
  <c r="I54" i="39"/>
  <c r="I53" i="39"/>
  <c r="I52" i="39"/>
  <c r="I51" i="39"/>
  <c r="I50" i="39"/>
  <c r="I49" i="39"/>
  <c r="I48" i="39"/>
  <c r="I47" i="39"/>
  <c r="I46" i="39"/>
  <c r="I45" i="39"/>
  <c r="I44" i="39"/>
  <c r="I43" i="39"/>
  <c r="I42" i="39"/>
  <c r="I41" i="39"/>
  <c r="I40" i="39"/>
  <c r="I39" i="39"/>
  <c r="I38" i="39"/>
  <c r="I37" i="39"/>
  <c r="I36" i="39"/>
  <c r="I35" i="39"/>
  <c r="I34" i="39"/>
  <c r="I33" i="39"/>
  <c r="I32" i="39"/>
  <c r="I31" i="39"/>
  <c r="I30" i="39"/>
  <c r="I29" i="39"/>
  <c r="I28" i="39"/>
  <c r="I27" i="39"/>
  <c r="I26" i="39"/>
  <c r="I25" i="39"/>
  <c r="I24" i="39"/>
  <c r="I23" i="39"/>
  <c r="X9" i="62" l="1"/>
  <c r="T13" i="62"/>
  <c r="S13" i="62"/>
  <c r="R13" i="62"/>
  <c r="T61" i="62"/>
  <c r="R61" i="62"/>
  <c r="T11" i="62"/>
  <c r="S11" i="62"/>
  <c r="R11" i="62"/>
  <c r="T19" i="62"/>
  <c r="S19" i="62"/>
  <c r="R19" i="62"/>
  <c r="T27" i="62"/>
  <c r="S27" i="62"/>
  <c r="R27" i="62"/>
  <c r="T35" i="62"/>
  <c r="S35" i="62"/>
  <c r="R35" i="62"/>
  <c r="T43" i="62"/>
  <c r="R43" i="62"/>
  <c r="T51" i="62"/>
  <c r="S51" i="62"/>
  <c r="T59" i="62"/>
  <c r="S59" i="62"/>
  <c r="T67" i="62"/>
  <c r="S67" i="62"/>
  <c r="T75" i="62"/>
  <c r="S75" i="62"/>
  <c r="R75" i="62"/>
  <c r="S83" i="62"/>
  <c r="R83" i="62"/>
  <c r="T91" i="62"/>
  <c r="S91" i="62"/>
  <c r="R91" i="62"/>
  <c r="T29" i="62"/>
  <c r="S29" i="62"/>
  <c r="R29" i="62"/>
  <c r="S85" i="62"/>
  <c r="R85" i="62"/>
  <c r="R12" i="62"/>
  <c r="T12" i="62"/>
  <c r="S12" i="62"/>
  <c r="R20" i="62"/>
  <c r="T20" i="62"/>
  <c r="S20" i="62"/>
  <c r="R28" i="62"/>
  <c r="T28" i="62"/>
  <c r="S28" i="62"/>
  <c r="R36" i="62"/>
  <c r="T36" i="62"/>
  <c r="S36" i="62"/>
  <c r="T44" i="62"/>
  <c r="S44" i="62"/>
  <c r="T52" i="62"/>
  <c r="S52" i="62"/>
  <c r="T60" i="62"/>
  <c r="S60" i="62"/>
  <c r="T68" i="62"/>
  <c r="S68" i="62"/>
  <c r="R76" i="62"/>
  <c r="S76" i="62"/>
  <c r="R84" i="62"/>
  <c r="S84" i="62"/>
  <c r="T53" i="62"/>
  <c r="S53" i="62"/>
  <c r="R14" i="62"/>
  <c r="T14" i="62"/>
  <c r="S14" i="62"/>
  <c r="R22" i="62"/>
  <c r="T22" i="62"/>
  <c r="S22" i="62"/>
  <c r="R30" i="62"/>
  <c r="T30" i="62"/>
  <c r="S30" i="62"/>
  <c r="T38" i="62"/>
  <c r="S38" i="62"/>
  <c r="T46" i="62"/>
  <c r="S46" i="62"/>
  <c r="T54" i="62"/>
  <c r="S54" i="62"/>
  <c r="T62" i="62"/>
  <c r="S62" i="62"/>
  <c r="T70" i="62"/>
  <c r="S70" i="62"/>
  <c r="R78" i="62"/>
  <c r="S78" i="62"/>
  <c r="R86" i="62"/>
  <c r="S86" i="62"/>
  <c r="T94" i="62"/>
  <c r="S94" i="62"/>
  <c r="R94" i="62"/>
  <c r="T45" i="62"/>
  <c r="S45" i="62"/>
  <c r="T15" i="62"/>
  <c r="S15" i="62"/>
  <c r="R15" i="62"/>
  <c r="T23" i="62"/>
  <c r="S23" i="62"/>
  <c r="R23" i="62"/>
  <c r="T31" i="62"/>
  <c r="S31" i="62"/>
  <c r="R31" i="62"/>
  <c r="T39" i="62"/>
  <c r="S39" i="62"/>
  <c r="T47" i="62"/>
  <c r="R47" i="62"/>
  <c r="T55" i="62"/>
  <c r="S55" i="62"/>
  <c r="T63" i="62"/>
  <c r="S63" i="62"/>
  <c r="T71" i="62"/>
  <c r="S71" i="62"/>
  <c r="S79" i="62"/>
  <c r="R79" i="62"/>
  <c r="S87" i="62"/>
  <c r="R87" i="62"/>
  <c r="R95" i="62"/>
  <c r="T95" i="62"/>
  <c r="S95" i="62"/>
  <c r="T37" i="62"/>
  <c r="S37" i="62"/>
  <c r="R37" i="62"/>
  <c r="R93" i="62"/>
  <c r="T93" i="62"/>
  <c r="S93" i="62"/>
  <c r="R16" i="62"/>
  <c r="T16" i="62"/>
  <c r="S16" i="62"/>
  <c r="R24" i="62"/>
  <c r="T24" i="62"/>
  <c r="S24" i="62"/>
  <c r="R32" i="62"/>
  <c r="T32" i="62"/>
  <c r="S32" i="62"/>
  <c r="R40" i="62"/>
  <c r="T40" i="62"/>
  <c r="T48" i="62"/>
  <c r="S48" i="62"/>
  <c r="T56" i="62"/>
  <c r="S56" i="62"/>
  <c r="T64" i="62"/>
  <c r="S64" i="62"/>
  <c r="T72" i="62"/>
  <c r="S72" i="62"/>
  <c r="R80" i="62"/>
  <c r="T80" i="62"/>
  <c r="S80" i="62"/>
  <c r="R88" i="62"/>
  <c r="T88" i="62"/>
  <c r="S88" i="62"/>
  <c r="T96" i="62"/>
  <c r="S96" i="62"/>
  <c r="R96" i="62"/>
  <c r="T21" i="62"/>
  <c r="S21" i="62"/>
  <c r="R21" i="62"/>
  <c r="T77" i="62"/>
  <c r="S77" i="62"/>
  <c r="R77" i="62"/>
  <c r="T9" i="62"/>
  <c r="S9" i="62"/>
  <c r="R9" i="62"/>
  <c r="T17" i="62"/>
  <c r="S17" i="62"/>
  <c r="R17" i="62"/>
  <c r="T25" i="62"/>
  <c r="S25" i="62"/>
  <c r="R25" i="62"/>
  <c r="T33" i="62"/>
  <c r="S33" i="62"/>
  <c r="R33" i="62"/>
  <c r="T41" i="62"/>
  <c r="S41" i="62"/>
  <c r="T49" i="62"/>
  <c r="R49" i="62"/>
  <c r="T57" i="62"/>
  <c r="S57" i="62"/>
  <c r="T65" i="62"/>
  <c r="S65" i="62"/>
  <c r="R65" i="62"/>
  <c r="T73" i="62"/>
  <c r="S73" i="62"/>
  <c r="S81" i="62"/>
  <c r="R81" i="62"/>
  <c r="T89" i="62"/>
  <c r="S89" i="62"/>
  <c r="R89" i="62"/>
  <c r="T69" i="62"/>
  <c r="S69" i="62"/>
  <c r="R10" i="62"/>
  <c r="T10" i="62"/>
  <c r="S10" i="62"/>
  <c r="R18" i="62"/>
  <c r="T18" i="62"/>
  <c r="S18" i="62"/>
  <c r="R26" i="62"/>
  <c r="T26" i="62"/>
  <c r="S26" i="62"/>
  <c r="R34" i="62"/>
  <c r="T34" i="62"/>
  <c r="S34" i="62"/>
  <c r="T42" i="62"/>
  <c r="S42" i="62"/>
  <c r="T50" i="62"/>
  <c r="S50" i="62"/>
  <c r="R58" i="62"/>
  <c r="T58" i="62"/>
  <c r="T66" i="62"/>
  <c r="S66" i="62"/>
  <c r="R74" i="62"/>
  <c r="S74" i="62"/>
  <c r="R82" i="62"/>
  <c r="S82" i="62"/>
  <c r="R90" i="62"/>
  <c r="T90" i="62"/>
  <c r="S90" i="62"/>
  <c r="R92" i="62"/>
  <c r="S92" i="62"/>
  <c r="T92" i="62"/>
  <c r="F12" i="44"/>
  <c r="E30" i="51" l="1"/>
  <c r="E28" i="51"/>
  <c r="E26" i="51"/>
  <c r="R8" i="62"/>
  <c r="N96" i="62"/>
  <c r="U96" i="62" s="1"/>
  <c r="N95" i="62"/>
  <c r="U95" i="62" s="1"/>
  <c r="N94" i="62"/>
  <c r="U94" i="62" s="1"/>
  <c r="N93" i="62"/>
  <c r="U93" i="62" s="1"/>
  <c r="N92" i="62"/>
  <c r="U92" i="62" s="1"/>
  <c r="N91" i="62"/>
  <c r="U91" i="62" s="1"/>
  <c r="N90" i="62"/>
  <c r="U90" i="62" s="1"/>
  <c r="N89" i="62"/>
  <c r="U89" i="62" s="1"/>
  <c r="N88" i="62"/>
  <c r="U88" i="62" s="1"/>
  <c r="N80" i="62"/>
  <c r="U80" i="62" s="1"/>
  <c r="N77" i="62"/>
  <c r="U77" i="62" s="1"/>
  <c r="N75" i="62"/>
  <c r="U75" i="62" s="1"/>
  <c r="N65" i="62"/>
  <c r="U65" i="62" s="1"/>
  <c r="N37" i="62"/>
  <c r="U37" i="62" s="1"/>
  <c r="N36" i="62"/>
  <c r="U36" i="62" s="1"/>
  <c r="N35" i="62"/>
  <c r="U35" i="62" s="1"/>
  <c r="N34" i="62"/>
  <c r="U34" i="62" s="1"/>
  <c r="N33" i="62"/>
  <c r="U33" i="62" s="1"/>
  <c r="N32" i="62"/>
  <c r="U32" i="62" s="1"/>
  <c r="N31" i="62"/>
  <c r="U31" i="62" s="1"/>
  <c r="N30" i="62"/>
  <c r="U30" i="62" s="1"/>
  <c r="N29" i="62"/>
  <c r="U29" i="62" s="1"/>
  <c r="N28" i="62"/>
  <c r="U28" i="62" s="1"/>
  <c r="N27" i="62"/>
  <c r="U27" i="62" s="1"/>
  <c r="N26" i="62"/>
  <c r="U26" i="62" s="1"/>
  <c r="N25" i="62"/>
  <c r="U25" i="62" s="1"/>
  <c r="N24" i="62"/>
  <c r="U24" i="62" s="1"/>
  <c r="N23" i="62"/>
  <c r="U23" i="62" s="1"/>
  <c r="N22" i="62"/>
  <c r="U22" i="62" s="1"/>
  <c r="N21" i="62"/>
  <c r="U21" i="62" s="1"/>
  <c r="N20" i="62"/>
  <c r="U20" i="62" s="1"/>
  <c r="N19" i="62"/>
  <c r="U19" i="62" s="1"/>
  <c r="N18" i="62"/>
  <c r="U18" i="62" s="1"/>
  <c r="U17" i="62"/>
  <c r="N16" i="62"/>
  <c r="U16" i="62" s="1"/>
  <c r="N15" i="62"/>
  <c r="U15" i="62" s="1"/>
  <c r="N14" i="62"/>
  <c r="U14" i="62" s="1"/>
  <c r="N13" i="62"/>
  <c r="U13" i="62" s="1"/>
  <c r="N12" i="62"/>
  <c r="U12" i="62" s="1"/>
  <c r="N11" i="62"/>
  <c r="U11" i="62" s="1"/>
  <c r="N10" i="62"/>
  <c r="U10" i="62" s="1"/>
  <c r="N9" i="62"/>
  <c r="U9" i="62" s="1"/>
  <c r="N8" i="62"/>
  <c r="G4" i="62"/>
  <c r="J96" i="62" s="1"/>
  <c r="U8" i="62" l="1"/>
  <c r="T8" i="62"/>
  <c r="S8" i="62"/>
  <c r="J77" i="62"/>
  <c r="J81" i="62"/>
  <c r="J85" i="62"/>
  <c r="J89" i="62"/>
  <c r="J93" i="62"/>
  <c r="J74" i="62"/>
  <c r="J78" i="62"/>
  <c r="J82" i="62"/>
  <c r="J86" i="62"/>
  <c r="J90" i="62"/>
  <c r="J94" i="62"/>
  <c r="J75" i="62"/>
  <c r="J79" i="62"/>
  <c r="J83" i="62"/>
  <c r="J87" i="62"/>
  <c r="J91" i="62"/>
  <c r="J95" i="62"/>
  <c r="J76" i="62"/>
  <c r="J80" i="62"/>
  <c r="J84" i="62"/>
  <c r="J88" i="62"/>
  <c r="J92" i="62"/>
  <c r="I16" i="53"/>
  <c r="G16" i="53"/>
  <c r="F16" i="53"/>
  <c r="D16" i="53"/>
  <c r="H15" i="53"/>
  <c r="H14" i="53"/>
  <c r="G12" i="53"/>
  <c r="F10" i="53"/>
  <c r="H9" i="53"/>
  <c r="H16" i="53" s="1"/>
  <c r="G96" i="58"/>
  <c r="G95" i="58"/>
  <c r="G94" i="58"/>
  <c r="G93" i="58"/>
  <c r="G92" i="58"/>
  <c r="G91" i="58"/>
  <c r="G90" i="58"/>
  <c r="G89" i="58"/>
  <c r="G88" i="58"/>
  <c r="G80" i="58"/>
  <c r="G77" i="58"/>
  <c r="G75" i="58"/>
  <c r="G65" i="58"/>
  <c r="G37" i="58"/>
  <c r="G36" i="58"/>
  <c r="G35" i="58"/>
  <c r="G34" i="58"/>
  <c r="G33" i="58"/>
  <c r="G32" i="58"/>
  <c r="G31" i="58"/>
  <c r="G30" i="58"/>
  <c r="G29" i="58"/>
  <c r="G28" i="58"/>
  <c r="G27" i="58"/>
  <c r="G26" i="58"/>
  <c r="G25" i="58"/>
  <c r="G24" i="58"/>
  <c r="G23" i="58"/>
  <c r="G22" i="58"/>
  <c r="G21" i="58"/>
  <c r="G20" i="58"/>
  <c r="G19" i="58"/>
  <c r="G18" i="58"/>
  <c r="G17" i="58"/>
  <c r="G16" i="58"/>
  <c r="G15" i="58"/>
  <c r="G14" i="58"/>
  <c r="G13" i="58"/>
  <c r="G12" i="58"/>
  <c r="G11" i="58"/>
  <c r="G10" i="58"/>
  <c r="G9" i="58"/>
  <c r="G8" i="58"/>
  <c r="C4" i="58"/>
  <c r="C89" i="58" s="1"/>
  <c r="L64" i="39"/>
  <c r="L49" i="39"/>
  <c r="L48" i="39"/>
  <c r="L47" i="39"/>
  <c r="L45" i="39"/>
  <c r="L44" i="39"/>
  <c r="L43" i="39"/>
  <c r="L40" i="39"/>
  <c r="L39" i="39"/>
  <c r="O23" i="39"/>
  <c r="D24" i="51" s="1"/>
  <c r="D14" i="51"/>
  <c r="D8" i="51"/>
  <c r="D11" i="51"/>
  <c r="C3" i="53"/>
  <c r="E71" i="50"/>
  <c r="E70" i="50"/>
  <c r="E69" i="50"/>
  <c r="E68" i="50"/>
  <c r="E67" i="50"/>
  <c r="E66" i="50"/>
  <c r="E65" i="50"/>
  <c r="E64" i="50"/>
  <c r="E63" i="50"/>
  <c r="E62" i="50"/>
  <c r="E61" i="50"/>
  <c r="E60" i="50"/>
  <c r="E59" i="50"/>
  <c r="E58" i="50"/>
  <c r="E57" i="50"/>
  <c r="E56" i="50"/>
  <c r="E55" i="50"/>
  <c r="E54" i="50"/>
  <c r="E53" i="50"/>
  <c r="E52" i="50"/>
  <c r="E51" i="50"/>
  <c r="E50" i="50"/>
  <c r="E49" i="50"/>
  <c r="E48" i="50"/>
  <c r="E47" i="50"/>
  <c r="E46" i="50"/>
  <c r="E45" i="50"/>
  <c r="E44" i="50"/>
  <c r="E43" i="50"/>
  <c r="E42" i="50"/>
  <c r="E41" i="50"/>
  <c r="E40" i="50"/>
  <c r="E39" i="50"/>
  <c r="E38" i="50"/>
  <c r="E37" i="50"/>
  <c r="E36" i="50"/>
  <c r="E35" i="50"/>
  <c r="E34" i="50"/>
  <c r="E33" i="50"/>
  <c r="K13" i="50" s="1"/>
  <c r="E32" i="50"/>
  <c r="E31" i="50"/>
  <c r="E30" i="50"/>
  <c r="E29" i="50"/>
  <c r="E28" i="50"/>
  <c r="E27" i="50"/>
  <c r="E26" i="50"/>
  <c r="E25" i="50"/>
  <c r="E24" i="50"/>
  <c r="E23" i="50"/>
  <c r="E22" i="50"/>
  <c r="E21" i="50"/>
  <c r="E20" i="50"/>
  <c r="E19" i="50"/>
  <c r="E18" i="50"/>
  <c r="E17" i="50"/>
  <c r="E16" i="50"/>
  <c r="E15" i="50"/>
  <c r="E14" i="50"/>
  <c r="E13" i="50"/>
  <c r="P14" i="50" s="1"/>
  <c r="E12" i="50"/>
  <c r="E11" i="50"/>
  <c r="E10" i="50"/>
  <c r="E9" i="50"/>
  <c r="E8" i="50"/>
  <c r="E7" i="50"/>
  <c r="E6" i="50"/>
  <c r="G36" i="32"/>
  <c r="G35" i="32"/>
  <c r="G34" i="32"/>
  <c r="G33" i="32"/>
  <c r="G32" i="32"/>
  <c r="G31" i="32"/>
  <c r="G30" i="32"/>
  <c r="G29" i="32"/>
  <c r="G28" i="32"/>
  <c r="G27" i="32"/>
  <c r="G26" i="32"/>
  <c r="G25" i="32"/>
  <c r="G24" i="32"/>
  <c r="G23" i="32"/>
  <c r="G22" i="32"/>
  <c r="G21" i="32"/>
  <c r="G20" i="32"/>
  <c r="G19" i="32"/>
  <c r="G18" i="32"/>
  <c r="G17" i="32"/>
  <c r="G16" i="32"/>
  <c r="G15" i="32"/>
  <c r="G14" i="32"/>
  <c r="G13" i="32"/>
  <c r="G12" i="32"/>
  <c r="G11" i="32"/>
  <c r="G10" i="32"/>
  <c r="X54" i="32"/>
  <c r="AH26" i="32" s="1"/>
  <c r="F52" i="32"/>
  <c r="G52" i="32" s="1"/>
  <c r="F44" i="32"/>
  <c r="G44" i="32" s="1"/>
  <c r="F41" i="32"/>
  <c r="G41" i="32" s="1"/>
  <c r="F39" i="32"/>
  <c r="G39" i="32" s="1"/>
  <c r="H17" i="32"/>
  <c r="H18" i="32"/>
  <c r="H19" i="32"/>
  <c r="H20" i="32"/>
  <c r="H21" i="32"/>
  <c r="H22" i="32"/>
  <c r="H23" i="32"/>
  <c r="H24" i="32"/>
  <c r="H25" i="32"/>
  <c r="H26" i="32"/>
  <c r="H27" i="32"/>
  <c r="H28" i="32"/>
  <c r="H29" i="32"/>
  <c r="H30" i="32"/>
  <c r="H32" i="32"/>
  <c r="H33" i="32"/>
  <c r="H34" i="32"/>
  <c r="H35" i="32"/>
  <c r="H16" i="32"/>
  <c r="H15" i="32"/>
  <c r="H14" i="32"/>
  <c r="H13" i="32"/>
  <c r="H12" i="32"/>
  <c r="H11" i="32"/>
  <c r="H10" i="32"/>
  <c r="G15" i="52"/>
  <c r="G14" i="52"/>
  <c r="G13" i="52"/>
  <c r="G11" i="52"/>
  <c r="G10" i="52"/>
  <c r="G9" i="52"/>
  <c r="S12" i="52"/>
  <c r="G11" i="51" s="1"/>
  <c r="X11" i="52"/>
  <c r="X10" i="52"/>
  <c r="U11" i="52"/>
  <c r="U10" i="52"/>
  <c r="U9" i="52"/>
  <c r="Q17" i="52" s="1"/>
  <c r="T11" i="52"/>
  <c r="Y11" i="52" s="1"/>
  <c r="T10" i="52"/>
  <c r="W10" i="52" s="1"/>
  <c r="T9" i="52"/>
  <c r="Q18" i="52" s="1"/>
  <c r="R11" i="52"/>
  <c r="Q11" i="52" s="1"/>
  <c r="Q12" i="52" s="1"/>
  <c r="E11" i="51" s="1"/>
  <c r="R10" i="52"/>
  <c r="Q10" i="52" s="1"/>
  <c r="R9" i="52"/>
  <c r="Q9" i="52" s="1"/>
  <c r="J34" i="52"/>
  <c r="J33" i="52"/>
  <c r="J32" i="52"/>
  <c r="N29" i="52"/>
  <c r="N28" i="52"/>
  <c r="N20" i="52"/>
  <c r="N19" i="52"/>
  <c r="N10" i="52"/>
  <c r="N9" i="52"/>
  <c r="J25" i="52"/>
  <c r="J24" i="52"/>
  <c r="J23" i="52"/>
  <c r="J15" i="52"/>
  <c r="J14" i="52"/>
  <c r="J13" i="52"/>
  <c r="E35" i="17"/>
  <c r="M28" i="49"/>
  <c r="M27" i="49"/>
  <c r="M26" i="49"/>
  <c r="J29" i="49"/>
  <c r="J28" i="49"/>
  <c r="J27" i="49"/>
  <c r="N24" i="49"/>
  <c r="N23" i="49"/>
  <c r="J26" i="49" s="1"/>
  <c r="M82" i="49"/>
  <c r="M81" i="49"/>
  <c r="M80" i="49"/>
  <c r="M18" i="49"/>
  <c r="M17" i="49"/>
  <c r="M16" i="49"/>
  <c r="J19" i="49"/>
  <c r="J18" i="49"/>
  <c r="J17" i="49"/>
  <c r="N14" i="49"/>
  <c r="N13" i="49"/>
  <c r="N12" i="49"/>
  <c r="N11" i="49"/>
  <c r="N10" i="49"/>
  <c r="M50" i="49"/>
  <c r="M49" i="49"/>
  <c r="M48" i="49"/>
  <c r="M70" i="49"/>
  <c r="M69" i="49"/>
  <c r="M68" i="49"/>
  <c r="Q15" i="49"/>
  <c r="E14" i="51" s="1"/>
  <c r="G50" i="49"/>
  <c r="G46" i="49"/>
  <c r="G47" i="49"/>
  <c r="G49" i="49"/>
  <c r="G48" i="49"/>
  <c r="G43" i="49"/>
  <c r="G42" i="49"/>
  <c r="G41" i="49"/>
  <c r="G40" i="49"/>
  <c r="G39" i="49"/>
  <c r="G38" i="49"/>
  <c r="G37" i="49"/>
  <c r="G36" i="49"/>
  <c r="G35" i="49"/>
  <c r="G34" i="49"/>
  <c r="G33" i="49"/>
  <c r="G32" i="49"/>
  <c r="G31" i="49"/>
  <c r="G30" i="49"/>
  <c r="G29" i="49"/>
  <c r="G28" i="49"/>
  <c r="G27" i="49"/>
  <c r="G26" i="49"/>
  <c r="G25" i="49"/>
  <c r="G24" i="49"/>
  <c r="G23" i="49"/>
  <c r="G22" i="49"/>
  <c r="G21" i="49"/>
  <c r="G20" i="49"/>
  <c r="G19" i="49"/>
  <c r="G18" i="49"/>
  <c r="G17" i="49"/>
  <c r="G16" i="49"/>
  <c r="G15" i="49"/>
  <c r="G14" i="49"/>
  <c r="G13" i="49"/>
  <c r="G12" i="49"/>
  <c r="G11" i="49"/>
  <c r="G10" i="49"/>
  <c r="G9" i="49"/>
  <c r="G8" i="49"/>
  <c r="G33" i="40"/>
  <c r="D33" i="40" s="1"/>
  <c r="G32" i="40"/>
  <c r="D32" i="40" s="1"/>
  <c r="G31" i="40"/>
  <c r="D31" i="40" s="1"/>
  <c r="K68" i="62" l="1"/>
  <c r="D68" i="58"/>
  <c r="G68" i="58" s="1"/>
  <c r="K66" i="62"/>
  <c r="D66" i="58"/>
  <c r="G66" i="58" s="1"/>
  <c r="D67" i="58"/>
  <c r="G67" i="58" s="1"/>
  <c r="K67" i="62"/>
  <c r="P24" i="14"/>
  <c r="R13" i="50"/>
  <c r="P15" i="50"/>
  <c r="R20" i="50"/>
  <c r="L22" i="50"/>
  <c r="Q14" i="50"/>
  <c r="K21" i="50"/>
  <c r="Q21" i="50"/>
  <c r="Q13" i="50"/>
  <c r="C81" i="58"/>
  <c r="C95" i="58"/>
  <c r="C74" i="58"/>
  <c r="C88" i="58"/>
  <c r="C80" i="58"/>
  <c r="C94" i="58"/>
  <c r="C87" i="58"/>
  <c r="C79" i="58"/>
  <c r="C93" i="58"/>
  <c r="C86" i="58"/>
  <c r="C78" i="58"/>
  <c r="C92" i="58"/>
  <c r="C85" i="58"/>
  <c r="C77" i="58"/>
  <c r="C84" i="58"/>
  <c r="C76" i="58"/>
  <c r="C91" i="58"/>
  <c r="C83" i="58"/>
  <c r="C75" i="58"/>
  <c r="C90" i="58"/>
  <c r="C82" i="58"/>
  <c r="C96" i="58"/>
  <c r="J12" i="50"/>
  <c r="S15" i="50"/>
  <c r="R12" i="50"/>
  <c r="J13" i="50"/>
  <c r="J21" i="50"/>
  <c r="K14" i="50"/>
  <c r="S14" i="50"/>
  <c r="P21" i="50"/>
  <c r="P13" i="50"/>
  <c r="Q20" i="50"/>
  <c r="Q12" i="50"/>
  <c r="R19" i="50"/>
  <c r="R11" i="50"/>
  <c r="J20" i="50"/>
  <c r="P7" i="50"/>
  <c r="J14" i="50"/>
  <c r="K7" i="50"/>
  <c r="K15" i="50"/>
  <c r="S21" i="50"/>
  <c r="S24" i="50" s="1"/>
  <c r="S13" i="50"/>
  <c r="P20" i="50"/>
  <c r="P12" i="50"/>
  <c r="Q19" i="50"/>
  <c r="Q11" i="50"/>
  <c r="R18" i="50"/>
  <c r="R10" i="50"/>
  <c r="J7" i="50"/>
  <c r="J15" i="50"/>
  <c r="K8" i="50"/>
  <c r="K16" i="50"/>
  <c r="S20" i="50"/>
  <c r="S12" i="50"/>
  <c r="P19" i="50"/>
  <c r="P11" i="50"/>
  <c r="Q18" i="50"/>
  <c r="Q10" i="50"/>
  <c r="R17" i="50"/>
  <c r="R9" i="50"/>
  <c r="J8" i="50"/>
  <c r="J16" i="50"/>
  <c r="K9" i="50"/>
  <c r="K17" i="50"/>
  <c r="S19" i="50"/>
  <c r="S11" i="50"/>
  <c r="P18" i="50"/>
  <c r="P10" i="50"/>
  <c r="Q17" i="50"/>
  <c r="Q9" i="50"/>
  <c r="R16" i="50"/>
  <c r="R8" i="50"/>
  <c r="J9" i="50"/>
  <c r="J17" i="50"/>
  <c r="K10" i="50"/>
  <c r="K18" i="50"/>
  <c r="S18" i="50"/>
  <c r="S10" i="50"/>
  <c r="P17" i="50"/>
  <c r="P9" i="50"/>
  <c r="Q16" i="50"/>
  <c r="Q8" i="50"/>
  <c r="R15" i="50"/>
  <c r="J10" i="50"/>
  <c r="J18" i="50"/>
  <c r="K11" i="50"/>
  <c r="K19" i="50"/>
  <c r="S17" i="50"/>
  <c r="S9" i="50"/>
  <c r="P16" i="50"/>
  <c r="P8" i="50"/>
  <c r="Q15" i="50"/>
  <c r="R7" i="50"/>
  <c r="R14" i="50"/>
  <c r="J11" i="50"/>
  <c r="J19" i="50"/>
  <c r="K12" i="50"/>
  <c r="K20" i="50"/>
  <c r="S16" i="50"/>
  <c r="S8" i="50"/>
  <c r="Q7" i="50"/>
  <c r="R21" i="50"/>
  <c r="D17" i="51"/>
  <c r="W11" i="52"/>
  <c r="R12" i="52"/>
  <c r="F11" i="51" s="1"/>
  <c r="W9" i="52"/>
  <c r="Y9" i="52"/>
  <c r="U12" i="52"/>
  <c r="I11" i="51" s="1"/>
  <c r="Y10" i="52"/>
  <c r="Q16" i="52"/>
  <c r="T12" i="52"/>
  <c r="X9" i="52"/>
  <c r="M15" i="50"/>
  <c r="S7" i="50"/>
  <c r="M7" i="50"/>
  <c r="M14" i="50"/>
  <c r="M21" i="50"/>
  <c r="M24" i="50" s="1"/>
  <c r="M13" i="50"/>
  <c r="M8" i="50"/>
  <c r="M20" i="50"/>
  <c r="M12" i="50"/>
  <c r="M16" i="50"/>
  <c r="M19" i="50"/>
  <c r="M11" i="50"/>
  <c r="M18" i="50"/>
  <c r="M10" i="50"/>
  <c r="M17" i="50"/>
  <c r="M9" i="50"/>
  <c r="X12" i="52"/>
  <c r="L11" i="51" s="1"/>
  <c r="W12" i="52"/>
  <c r="K11" i="51" s="1"/>
  <c r="R67" i="62" l="1"/>
  <c r="N67" i="62"/>
  <c r="U67" i="62" s="1"/>
  <c r="R66" i="62"/>
  <c r="N66" i="62"/>
  <c r="U66" i="62" s="1"/>
  <c r="R68" i="62"/>
  <c r="N68" i="62"/>
  <c r="U68" i="62" s="1"/>
  <c r="R22" i="50"/>
  <c r="Q22" i="50"/>
  <c r="S22" i="50"/>
  <c r="J22" i="50"/>
  <c r="K22" i="50"/>
  <c r="P22" i="50"/>
  <c r="M22" i="50"/>
  <c r="Y12" i="52"/>
  <c r="M11" i="51" s="1"/>
  <c r="H11" i="51"/>
  <c r="J83" i="49" l="1"/>
  <c r="J82" i="49"/>
  <c r="J81" i="49"/>
  <c r="J51" i="49"/>
  <c r="J50" i="49"/>
  <c r="J49" i="49"/>
  <c r="J71" i="49"/>
  <c r="J70" i="49"/>
  <c r="J69" i="49"/>
  <c r="N66" i="49"/>
  <c r="N55" i="49" l="1"/>
  <c r="N56" i="49"/>
  <c r="N57" i="49"/>
  <c r="N58" i="49"/>
  <c r="N59" i="49"/>
  <c r="N60" i="49"/>
  <c r="N61" i="49"/>
  <c r="N62" i="49"/>
  <c r="N63" i="49"/>
  <c r="N64" i="49"/>
  <c r="N65" i="49"/>
  <c r="N32" i="49"/>
  <c r="N33" i="49"/>
  <c r="N34" i="49"/>
  <c r="N35" i="49"/>
  <c r="N36" i="49"/>
  <c r="N37" i="49"/>
  <c r="N38" i="49"/>
  <c r="N39" i="49"/>
  <c r="N40" i="49"/>
  <c r="N41" i="49"/>
  <c r="N42" i="49"/>
  <c r="N43" i="49"/>
  <c r="N44" i="49"/>
  <c r="N45" i="49"/>
  <c r="N9" i="49"/>
  <c r="N74" i="49"/>
  <c r="N75" i="49"/>
  <c r="N76" i="49"/>
  <c r="N77" i="49"/>
  <c r="N46" i="49"/>
  <c r="N78" i="49"/>
  <c r="N54" i="49"/>
  <c r="D34" i="40"/>
  <c r="J35" i="14"/>
  <c r="J34" i="14"/>
  <c r="D29" i="40"/>
  <c r="O28" i="10"/>
  <c r="P27" i="10"/>
  <c r="K20" i="10"/>
  <c r="L22" i="10" s="1"/>
  <c r="L15" i="10"/>
  <c r="L20" i="10" s="1"/>
  <c r="L23" i="10" s="1"/>
  <c r="P12" i="10"/>
  <c r="P15" i="10" s="1"/>
  <c r="L11" i="10"/>
  <c r="T8" i="10"/>
  <c r="I24" i="14"/>
  <c r="I22" i="14"/>
  <c r="I21" i="14"/>
  <c r="I18" i="14"/>
  <c r="I17" i="14"/>
  <c r="I16" i="14"/>
  <c r="I13" i="14"/>
  <c r="I11" i="14"/>
  <c r="E17" i="44"/>
  <c r="F38" i="44"/>
  <c r="F20" i="44"/>
  <c r="I19" i="14" s="1"/>
  <c r="K64" i="62" l="1"/>
  <c r="D64" i="58"/>
  <c r="G64" i="58" s="1"/>
  <c r="D69" i="58"/>
  <c r="K69" i="62"/>
  <c r="P21" i="10"/>
  <c r="P22" i="10" s="1"/>
  <c r="R64" i="62" l="1"/>
  <c r="N64" i="62"/>
  <c r="U64" i="62" s="1"/>
  <c r="R69" i="62"/>
  <c r="N69" i="62"/>
  <c r="U69" i="62" s="1"/>
  <c r="G69" i="58"/>
  <c r="P28" i="10"/>
  <c r="P23" i="10"/>
  <c r="P31" i="10" l="1"/>
  <c r="P30" i="10"/>
  <c r="F21" i="44" l="1"/>
  <c r="I20" i="14" s="1"/>
  <c r="E24" i="44" l="1"/>
  <c r="F24" i="44" s="1"/>
  <c r="I23" i="14" s="1"/>
  <c r="F15" i="44" l="1"/>
  <c r="I14" i="14" s="1"/>
  <c r="F13" i="44" l="1"/>
  <c r="I12" i="14" s="1"/>
  <c r="F16" i="44"/>
  <c r="I15" i="14" s="1"/>
  <c r="F11" i="44"/>
  <c r="K29" i="14" l="1"/>
  <c r="N29" i="14" s="1"/>
  <c r="N30" i="14" l="1"/>
  <c r="N16" i="14"/>
  <c r="N13" i="14"/>
  <c r="O13" i="14" s="1"/>
  <c r="N11" i="14"/>
  <c r="O11" i="14" s="1"/>
  <c r="D11" i="37"/>
  <c r="N12" i="14" l="1"/>
  <c r="O12" i="14" s="1"/>
  <c r="G52" i="39"/>
  <c r="K52" i="39" s="1"/>
  <c r="F76" i="58"/>
  <c r="G76" i="58" s="1"/>
  <c r="M76" i="62"/>
  <c r="F40" i="32"/>
  <c r="G40" i="32" s="1"/>
  <c r="D25" i="40"/>
  <c r="D9" i="40"/>
  <c r="D38" i="40"/>
  <c r="D37" i="40"/>
  <c r="D36" i="40"/>
  <c r="D35" i="40"/>
  <c r="D28" i="40"/>
  <c r="D27" i="40"/>
  <c r="E26" i="40"/>
  <c r="D24" i="40"/>
  <c r="E23" i="40"/>
  <c r="D22" i="40"/>
  <c r="D21" i="40"/>
  <c r="D20" i="40"/>
  <c r="D19" i="40"/>
  <c r="D18" i="40"/>
  <c r="D17" i="40"/>
  <c r="D16" i="40"/>
  <c r="D15" i="40"/>
  <c r="E14" i="40"/>
  <c r="D13" i="40"/>
  <c r="E12" i="40"/>
  <c r="D11" i="40"/>
  <c r="D10" i="40"/>
  <c r="E8" i="40"/>
  <c r="D7" i="40"/>
  <c r="D6" i="40"/>
  <c r="E5" i="40"/>
  <c r="D4" i="40"/>
  <c r="D3" i="40"/>
  <c r="K42" i="62" l="1"/>
  <c r="D42" i="58"/>
  <c r="G42" i="58" s="1"/>
  <c r="K53" i="62"/>
  <c r="D53" i="58"/>
  <c r="G53" i="58" s="1"/>
  <c r="K63" i="62"/>
  <c r="D63" i="58"/>
  <c r="G63" i="58" s="1"/>
  <c r="D59" i="58"/>
  <c r="G59" i="58" s="1"/>
  <c r="K59" i="62"/>
  <c r="K60" i="62"/>
  <c r="D60" i="58"/>
  <c r="G60" i="58" s="1"/>
  <c r="K54" i="62"/>
  <c r="D54" i="58"/>
  <c r="G54" i="58" s="1"/>
  <c r="L47" i="62"/>
  <c r="E47" i="58"/>
  <c r="G47" i="58" s="1"/>
  <c r="K55" i="62"/>
  <c r="D55" i="58"/>
  <c r="G55" i="58" s="1"/>
  <c r="D70" i="58"/>
  <c r="G70" i="58" s="1"/>
  <c r="K70" i="62"/>
  <c r="D52" i="58"/>
  <c r="G52" i="58" s="1"/>
  <c r="K52" i="62"/>
  <c r="K45" i="62"/>
  <c r="D45" i="58"/>
  <c r="G45" i="58" s="1"/>
  <c r="K39" i="62"/>
  <c r="D39" i="58"/>
  <c r="G39" i="58" s="1"/>
  <c r="K71" i="62"/>
  <c r="D71" i="58"/>
  <c r="G71" i="58" s="1"/>
  <c r="D51" i="58"/>
  <c r="G51" i="58" s="1"/>
  <c r="K51" i="62"/>
  <c r="E43" i="58"/>
  <c r="G43" i="58" s="1"/>
  <c r="L43" i="62"/>
  <c r="K62" i="62"/>
  <c r="D62" i="58"/>
  <c r="G62" i="58" s="1"/>
  <c r="K38" i="62"/>
  <c r="D38" i="58"/>
  <c r="K56" i="62"/>
  <c r="D56" i="58"/>
  <c r="G56" i="58" s="1"/>
  <c r="L40" i="62"/>
  <c r="E40" i="58"/>
  <c r="L49" i="62"/>
  <c r="E49" i="58"/>
  <c r="G49" i="58" s="1"/>
  <c r="K57" i="62"/>
  <c r="D57" i="58"/>
  <c r="G57" i="58" s="1"/>
  <c r="D72" i="58"/>
  <c r="G72" i="58" s="1"/>
  <c r="K72" i="62"/>
  <c r="D44" i="58"/>
  <c r="G44" i="58" s="1"/>
  <c r="K44" i="62"/>
  <c r="E61" i="58"/>
  <c r="G61" i="58" s="1"/>
  <c r="L61" i="62"/>
  <c r="K46" i="62"/>
  <c r="D46" i="58"/>
  <c r="G46" i="58" s="1"/>
  <c r="K48" i="62"/>
  <c r="D48" i="58"/>
  <c r="G48" i="58" s="1"/>
  <c r="K41" i="62"/>
  <c r="D41" i="58"/>
  <c r="G41" i="58" s="1"/>
  <c r="K50" i="62"/>
  <c r="D50" i="58"/>
  <c r="G50" i="58" s="1"/>
  <c r="E58" i="58"/>
  <c r="G58" i="58" s="1"/>
  <c r="L58" i="62"/>
  <c r="K73" i="62"/>
  <c r="D73" i="58"/>
  <c r="G73" i="58" s="1"/>
  <c r="T76" i="62"/>
  <c r="N76" i="62"/>
  <c r="U76" i="62" s="1"/>
  <c r="H64" i="39"/>
  <c r="L56" i="39"/>
  <c r="L53" i="39"/>
  <c r="L52" i="39"/>
  <c r="L51" i="39"/>
  <c r="H48" i="39"/>
  <c r="H47" i="39"/>
  <c r="H45" i="39"/>
  <c r="H44" i="39"/>
  <c r="H43" i="39"/>
  <c r="L42" i="39"/>
  <c r="L41" i="39"/>
  <c r="H40" i="39"/>
  <c r="H39" i="39"/>
  <c r="L38" i="39"/>
  <c r="L37" i="39"/>
  <c r="L36" i="39"/>
  <c r="L35" i="39"/>
  <c r="L34" i="39"/>
  <c r="L33" i="39"/>
  <c r="L32" i="39"/>
  <c r="L31" i="39"/>
  <c r="L30" i="39"/>
  <c r="L29" i="39"/>
  <c r="L28" i="39"/>
  <c r="L27" i="39"/>
  <c r="L26" i="39"/>
  <c r="L25" i="39"/>
  <c r="L24" i="39"/>
  <c r="L23" i="39"/>
  <c r="M34" i="32"/>
  <c r="X52" i="32"/>
  <c r="P44" i="32"/>
  <c r="L40" i="32"/>
  <c r="K39" i="32"/>
  <c r="X36" i="32"/>
  <c r="X56" i="32" s="1"/>
  <c r="W35" i="32"/>
  <c r="V33" i="32"/>
  <c r="V32" i="32"/>
  <c r="U31" i="32"/>
  <c r="U56" i="32" s="1"/>
  <c r="T30" i="32"/>
  <c r="T56" i="32" s="1"/>
  <c r="S29" i="32"/>
  <c r="R28" i="32"/>
  <c r="Q27" i="32"/>
  <c r="P26" i="32"/>
  <c r="P56" i="32" s="1"/>
  <c r="O25" i="32"/>
  <c r="O24" i="32"/>
  <c r="O23" i="32"/>
  <c r="O22" i="32"/>
  <c r="O21" i="32"/>
  <c r="N20" i="32"/>
  <c r="N19" i="32"/>
  <c r="N18" i="32"/>
  <c r="N17" i="32"/>
  <c r="M16" i="32"/>
  <c r="M56" i="32" s="1"/>
  <c r="L15" i="32"/>
  <c r="L14" i="32"/>
  <c r="K13" i="32"/>
  <c r="K56" i="32" s="1"/>
  <c r="J12" i="32"/>
  <c r="J11" i="32"/>
  <c r="J10" i="32"/>
  <c r="R44" i="62" l="1"/>
  <c r="N44" i="62"/>
  <c r="U44" i="62" s="1"/>
  <c r="G40" i="58"/>
  <c r="L9" i="58"/>
  <c r="S43" i="62"/>
  <c r="N43" i="62"/>
  <c r="U43" i="62" s="1"/>
  <c r="R39" i="62"/>
  <c r="N39" i="62"/>
  <c r="U39" i="62" s="1"/>
  <c r="S40" i="62"/>
  <c r="N40" i="62"/>
  <c r="U40" i="62" s="1"/>
  <c r="R45" i="62"/>
  <c r="N45" i="62"/>
  <c r="U45" i="62" s="1"/>
  <c r="S47" i="62"/>
  <c r="N47" i="62"/>
  <c r="U47" i="62" s="1"/>
  <c r="R63" i="62"/>
  <c r="N63" i="62"/>
  <c r="U63" i="62" s="1"/>
  <c r="R50" i="62"/>
  <c r="N50" i="62"/>
  <c r="U50" i="62" s="1"/>
  <c r="S49" i="62"/>
  <c r="N49" i="62"/>
  <c r="U49" i="62" s="1"/>
  <c r="R41" i="62"/>
  <c r="N41" i="62"/>
  <c r="U41" i="62" s="1"/>
  <c r="R72" i="62"/>
  <c r="N72" i="62"/>
  <c r="U72" i="62" s="1"/>
  <c r="R51" i="62"/>
  <c r="N51" i="62"/>
  <c r="U51" i="62" s="1"/>
  <c r="R52" i="62"/>
  <c r="N52" i="62"/>
  <c r="U52" i="62" s="1"/>
  <c r="R62" i="62"/>
  <c r="N62" i="62"/>
  <c r="U62" i="62" s="1"/>
  <c r="R56" i="62"/>
  <c r="N56" i="62"/>
  <c r="U56" i="62" s="1"/>
  <c r="R54" i="62"/>
  <c r="N54" i="62"/>
  <c r="U54" i="62" s="1"/>
  <c r="R53" i="62"/>
  <c r="N53" i="62"/>
  <c r="U53" i="62" s="1"/>
  <c r="S61" i="62"/>
  <c r="N61" i="62"/>
  <c r="U61" i="62" s="1"/>
  <c r="R48" i="62"/>
  <c r="N48" i="62"/>
  <c r="U48" i="62" s="1"/>
  <c r="S58" i="62"/>
  <c r="N58" i="62"/>
  <c r="U58" i="62" s="1"/>
  <c r="G38" i="58"/>
  <c r="J9" i="58"/>
  <c r="Q9" i="58" s="1"/>
  <c r="R70" i="62"/>
  <c r="N70" i="62"/>
  <c r="U70" i="62" s="1"/>
  <c r="R59" i="62"/>
  <c r="N59" i="62"/>
  <c r="U59" i="62" s="1"/>
  <c r="R55" i="62"/>
  <c r="N55" i="62"/>
  <c r="U55" i="62" s="1"/>
  <c r="R73" i="62"/>
  <c r="N73" i="62"/>
  <c r="U73" i="62" s="1"/>
  <c r="R46" i="62"/>
  <c r="N46" i="62"/>
  <c r="U46" i="62" s="1"/>
  <c r="R57" i="62"/>
  <c r="N57" i="62"/>
  <c r="U57" i="62" s="1"/>
  <c r="R38" i="62"/>
  <c r="N38" i="62"/>
  <c r="U38" i="62" s="1"/>
  <c r="R71" i="62"/>
  <c r="N71" i="62"/>
  <c r="U71" i="62" s="1"/>
  <c r="R60" i="62"/>
  <c r="N60" i="62"/>
  <c r="U60" i="62" s="1"/>
  <c r="R42" i="62"/>
  <c r="N42" i="62"/>
  <c r="U42" i="62" s="1"/>
  <c r="J56" i="32"/>
  <c r="L55" i="32"/>
  <c r="L22" i="39"/>
  <c r="Q23" i="39"/>
  <c r="L46" i="39"/>
  <c r="J73" i="39"/>
  <c r="X23" i="39" s="1"/>
  <c r="M24" i="51" s="1"/>
  <c r="S23" i="39"/>
  <c r="H24" i="51" s="1"/>
  <c r="K70" i="39"/>
  <c r="V56" i="32"/>
  <c r="L57" i="32"/>
  <c r="M57" i="32"/>
  <c r="X57" i="32"/>
  <c r="X55" i="32"/>
  <c r="K57" i="32"/>
  <c r="S56" i="32"/>
  <c r="R56" i="32"/>
  <c r="P57" i="32"/>
  <c r="K55" i="32"/>
  <c r="N56" i="32"/>
  <c r="O56" i="32"/>
  <c r="L56" i="32"/>
  <c r="Q56" i="32"/>
  <c r="W56" i="32"/>
  <c r="M55" i="32"/>
  <c r="P55" i="32"/>
  <c r="K72" i="39"/>
  <c r="K71" i="39"/>
  <c r="K73" i="39"/>
  <c r="Z9" i="62" l="1"/>
  <c r="AG9" i="62" s="1"/>
  <c r="AB9" i="62"/>
  <c r="P23" i="39"/>
  <c r="F24" i="51"/>
  <c r="E25" i="17"/>
  <c r="H31" i="32" s="1"/>
  <c r="E24" i="17"/>
  <c r="E17" i="17"/>
  <c r="E16" i="17"/>
  <c r="I30" i="17"/>
  <c r="E30" i="17" s="1"/>
  <c r="H36" i="32" s="1"/>
  <c r="I29" i="17"/>
  <c r="E29" i="17" s="1"/>
  <c r="I27" i="17"/>
  <c r="E27" i="17" s="1"/>
  <c r="I26" i="17"/>
  <c r="E26" i="17" s="1"/>
  <c r="I23" i="17"/>
  <c r="E23" i="17" s="1"/>
  <c r="D18" i="37" s="1"/>
  <c r="I22" i="17"/>
  <c r="E22" i="17" s="1"/>
  <c r="D17" i="37" s="1"/>
  <c r="I21" i="17"/>
  <c r="E21" i="17" s="1"/>
  <c r="I20" i="17"/>
  <c r="E20" i="17" s="1"/>
  <c r="I14" i="17"/>
  <c r="E14" i="17" s="1"/>
  <c r="I13" i="17"/>
  <c r="E13" i="17" s="1"/>
  <c r="I12" i="17"/>
  <c r="E12" i="17" s="1"/>
  <c r="I11" i="17"/>
  <c r="E11" i="17" s="1"/>
  <c r="E15" i="17"/>
  <c r="I10" i="17"/>
  <c r="E10" i="17" s="1"/>
  <c r="I8" i="17"/>
  <c r="E8" i="17" s="1"/>
  <c r="I7" i="17"/>
  <c r="E7" i="17" s="1"/>
  <c r="I6" i="17"/>
  <c r="E6" i="17" s="1"/>
  <c r="I5" i="17"/>
  <c r="E5" i="17" s="1"/>
  <c r="I4" i="17"/>
  <c r="E4" i="17" s="1"/>
  <c r="N18" i="14" l="1"/>
  <c r="O18" i="14" s="1"/>
  <c r="G58" i="39"/>
  <c r="F82" i="58"/>
  <c r="G82" i="58" s="1"/>
  <c r="M82" i="62"/>
  <c r="F46" i="32"/>
  <c r="N19" i="14"/>
  <c r="O19" i="14" s="1"/>
  <c r="G59" i="39"/>
  <c r="K59" i="39" s="1"/>
  <c r="L59" i="39" s="1"/>
  <c r="F83" i="58"/>
  <c r="G83" i="58" s="1"/>
  <c r="M83" i="62"/>
  <c r="F47" i="32"/>
  <c r="R23" i="39"/>
  <c r="G24" i="51" s="1"/>
  <c r="E24" i="51"/>
  <c r="D21" i="37"/>
  <c r="D16" i="37"/>
  <c r="D19" i="37"/>
  <c r="D20" i="37"/>
  <c r="G61" i="39" s="1"/>
  <c r="N24" i="14"/>
  <c r="O24" i="14" s="1"/>
  <c r="C23" i="37"/>
  <c r="F22" i="37"/>
  <c r="C22" i="37"/>
  <c r="C21" i="37"/>
  <c r="C20" i="37"/>
  <c r="F19" i="37"/>
  <c r="C19" i="37"/>
  <c r="F18" i="37"/>
  <c r="C18" i="37"/>
  <c r="F17" i="37"/>
  <c r="C17" i="37"/>
  <c r="F16" i="37"/>
  <c r="C16" i="37"/>
  <c r="F15" i="37"/>
  <c r="C15" i="37"/>
  <c r="C14" i="37"/>
  <c r="F13" i="37"/>
  <c r="D13" i="37" s="1"/>
  <c r="C13" i="37"/>
  <c r="C12" i="37"/>
  <c r="C11" i="37"/>
  <c r="F10" i="37"/>
  <c r="C10" i="37"/>
  <c r="F9" i="37"/>
  <c r="D9" i="37" s="1"/>
  <c r="C9" i="37"/>
  <c r="G60" i="39" l="1"/>
  <c r="F84" i="58"/>
  <c r="G84" i="58" s="1"/>
  <c r="M84" i="62"/>
  <c r="F48" i="32"/>
  <c r="N17" i="14"/>
  <c r="O17" i="14" s="1"/>
  <c r="G57" i="39"/>
  <c r="M81" i="62"/>
  <c r="F81" i="58"/>
  <c r="G81" i="58" s="1"/>
  <c r="F45" i="32"/>
  <c r="K61" i="39"/>
  <c r="L61" i="39" s="1"/>
  <c r="H61" i="39"/>
  <c r="G62" i="39"/>
  <c r="F86" i="58"/>
  <c r="G86" i="58" s="1"/>
  <c r="M86" i="62"/>
  <c r="F50" i="32"/>
  <c r="G46" i="32"/>
  <c r="R46" i="32"/>
  <c r="G55" i="39"/>
  <c r="K55" i="39" s="1"/>
  <c r="L55" i="39" s="1"/>
  <c r="M79" i="62"/>
  <c r="F79" i="58"/>
  <c r="G79" i="58" s="1"/>
  <c r="F43" i="32"/>
  <c r="G43" i="32" s="1"/>
  <c r="T82" i="62"/>
  <c r="N82" i="62"/>
  <c r="U82" i="62" s="1"/>
  <c r="G50" i="39"/>
  <c r="K50" i="39" s="1"/>
  <c r="F74" i="58"/>
  <c r="G74" i="58" s="1"/>
  <c r="M74" i="62"/>
  <c r="F38" i="32"/>
  <c r="G54" i="39"/>
  <c r="K54" i="39" s="1"/>
  <c r="L54" i="39" s="1"/>
  <c r="M78" i="62"/>
  <c r="F78" i="58"/>
  <c r="G78" i="58" s="1"/>
  <c r="F42" i="32"/>
  <c r="G63" i="39"/>
  <c r="M87" i="62"/>
  <c r="F87" i="58"/>
  <c r="G87" i="58" s="1"/>
  <c r="G47" i="32"/>
  <c r="S47" i="32"/>
  <c r="K58" i="39"/>
  <c r="L58" i="39" s="1"/>
  <c r="H58" i="39"/>
  <c r="T83" i="62"/>
  <c r="N83" i="62"/>
  <c r="U83" i="62" s="1"/>
  <c r="F85" i="58"/>
  <c r="M85" i="62"/>
  <c r="F49" i="32"/>
  <c r="F51" i="32"/>
  <c r="N15" i="14"/>
  <c r="O15" i="14" s="1"/>
  <c r="D22" i="10"/>
  <c r="O21" i="14"/>
  <c r="N22" i="14"/>
  <c r="O22" i="14" s="1"/>
  <c r="N10" i="14"/>
  <c r="O10" i="14" s="1"/>
  <c r="N23" i="14"/>
  <c r="O23" i="14" s="1"/>
  <c r="N14" i="14"/>
  <c r="O14" i="14" s="1"/>
  <c r="N20" i="14"/>
  <c r="O20" i="14" s="1"/>
  <c r="O43" i="32"/>
  <c r="G16" i="37"/>
  <c r="L50" i="39" l="1"/>
  <c r="K63" i="39"/>
  <c r="L63" i="39" s="1"/>
  <c r="H63" i="39"/>
  <c r="G42" i="32"/>
  <c r="N42" i="32"/>
  <c r="G50" i="32"/>
  <c r="V50" i="32"/>
  <c r="T81" i="62"/>
  <c r="N81" i="62"/>
  <c r="U81" i="62" s="1"/>
  <c r="T86" i="62"/>
  <c r="N86" i="62"/>
  <c r="U86" i="62" s="1"/>
  <c r="K57" i="39"/>
  <c r="L57" i="39" s="1"/>
  <c r="H57" i="39"/>
  <c r="T78" i="62"/>
  <c r="N78" i="62"/>
  <c r="U78" i="62" s="1"/>
  <c r="K62" i="39"/>
  <c r="L62" i="39" s="1"/>
  <c r="H62" i="39"/>
  <c r="G48" i="32"/>
  <c r="T48" i="32"/>
  <c r="S57" i="32"/>
  <c r="S55" i="32"/>
  <c r="G38" i="32"/>
  <c r="J38" i="32"/>
  <c r="T79" i="62"/>
  <c r="N79" i="62"/>
  <c r="U79" i="62" s="1"/>
  <c r="T84" i="62"/>
  <c r="N84" i="62"/>
  <c r="U84" i="62" s="1"/>
  <c r="T74" i="62"/>
  <c r="N74" i="62"/>
  <c r="U74" i="62" s="1"/>
  <c r="T87" i="62"/>
  <c r="N87" i="62"/>
  <c r="U87" i="62" s="1"/>
  <c r="R55" i="32"/>
  <c r="R57" i="32"/>
  <c r="G45" i="32"/>
  <c r="Q45" i="32"/>
  <c r="K60" i="39"/>
  <c r="L60" i="39" s="1"/>
  <c r="H60" i="39"/>
  <c r="G85" i="58"/>
  <c r="N9" i="58" s="1"/>
  <c r="J17" i="51" s="1"/>
  <c r="M9" i="58"/>
  <c r="G49" i="32"/>
  <c r="U49" i="32"/>
  <c r="T85" i="62"/>
  <c r="N85" i="62"/>
  <c r="U85" i="62" s="1"/>
  <c r="G51" i="32"/>
  <c r="W51" i="32"/>
  <c r="D25" i="10"/>
  <c r="D24" i="10"/>
  <c r="O55" i="32"/>
  <c r="O57" i="32"/>
  <c r="AD9" i="62" l="1"/>
  <c r="N57" i="32"/>
  <c r="N55" i="32"/>
  <c r="Q57" i="32"/>
  <c r="Q55" i="32"/>
  <c r="T57" i="32"/>
  <c r="T55" i="32"/>
  <c r="AC9" i="62"/>
  <c r="AF9" i="62" s="1"/>
  <c r="T23" i="39"/>
  <c r="I24" i="51" s="1"/>
  <c r="J72" i="39"/>
  <c r="W23" i="39" s="1"/>
  <c r="L24" i="51" s="1"/>
  <c r="J55" i="32"/>
  <c r="J57" i="32"/>
  <c r="V57" i="32"/>
  <c r="V55" i="32"/>
  <c r="J70" i="39"/>
  <c r="U23" i="39" s="1"/>
  <c r="J24" i="51" s="1"/>
  <c r="J71" i="39"/>
  <c r="V23" i="39" s="1"/>
  <c r="K24" i="51" s="1"/>
  <c r="S26" i="51"/>
  <c r="U55" i="32"/>
  <c r="U57" i="32"/>
  <c r="P9" i="58"/>
  <c r="O9" i="58"/>
  <c r="W55" i="32"/>
  <c r="W57" i="32"/>
  <c r="E19" i="17"/>
  <c r="E18" i="17"/>
  <c r="H9" i="17"/>
  <c r="I9" i="17" s="1"/>
  <c r="E9" i="17" s="1"/>
  <c r="AE9" i="62" l="1"/>
  <c r="T27" i="10"/>
  <c r="T30" i="10" s="1"/>
  <c r="H10" i="10"/>
  <c r="H20" i="10"/>
  <c r="T19" i="10"/>
  <c r="H11" i="10"/>
  <c r="H21" i="10"/>
  <c r="T20" i="10"/>
  <c r="O16" i="14"/>
  <c r="L22" i="14"/>
  <c r="L23" i="14"/>
  <c r="M25" i="14"/>
  <c r="O28" i="14"/>
  <c r="O29" i="14"/>
  <c r="J31" i="14"/>
  <c r="K31" i="14"/>
  <c r="N31" i="14"/>
  <c r="L31" i="14"/>
  <c r="M31" i="14"/>
  <c r="T29" i="10" l="1"/>
  <c r="J39" i="14"/>
  <c r="K25" i="14"/>
  <c r="L39" i="14"/>
  <c r="K39" i="14"/>
  <c r="O30" i="14"/>
  <c r="O31" i="14"/>
  <c r="M39" i="14"/>
  <c r="M41" i="14" s="1"/>
  <c r="K41" i="14" l="1"/>
  <c r="N39" i="14"/>
  <c r="O39" i="14" s="1"/>
  <c r="N25" i="14" l="1"/>
  <c r="C4" i="32"/>
  <c r="O25" i="14" l="1"/>
  <c r="N41" i="14"/>
  <c r="O41" i="14" s="1"/>
  <c r="C42" i="32"/>
  <c r="C49" i="32"/>
  <c r="C41" i="32"/>
  <c r="C48" i="32"/>
  <c r="C40" i="32"/>
  <c r="C47" i="32"/>
  <c r="C39" i="32"/>
  <c r="C50" i="32"/>
  <c r="C46" i="32"/>
  <c r="C38" i="32"/>
  <c r="C45" i="32"/>
  <c r="C51" i="32"/>
  <c r="C43" i="32"/>
  <c r="C52" i="32"/>
  <c r="C44" i="32"/>
  <c r="C4" i="49"/>
  <c r="C4" i="52"/>
  <c r="AD12" i="32" l="1"/>
  <c r="AE12" i="32" s="1"/>
  <c r="AF15" i="32"/>
  <c r="AF19" i="32"/>
  <c r="AF23" i="32"/>
  <c r="AF12" i="32"/>
  <c r="AD16" i="32"/>
  <c r="AE16" i="32" s="1"/>
  <c r="AD20" i="32"/>
  <c r="AE20" i="32" s="1"/>
  <c r="AD24" i="32"/>
  <c r="AE24" i="32" s="1"/>
  <c r="AD13" i="32"/>
  <c r="AE13" i="32" s="1"/>
  <c r="AF16" i="32"/>
  <c r="AF20" i="32"/>
  <c r="AF24" i="32"/>
  <c r="AF13" i="32"/>
  <c r="AD17" i="32"/>
  <c r="AE17" i="32" s="1"/>
  <c r="AD21" i="32"/>
  <c r="AE21" i="32" s="1"/>
  <c r="AD25" i="32"/>
  <c r="AE25" i="32" s="1"/>
  <c r="AD15" i="32"/>
  <c r="AE15" i="32" s="1"/>
  <c r="AF26" i="32"/>
  <c r="AD23" i="32"/>
  <c r="AE23" i="32" s="1"/>
  <c r="AD14" i="32"/>
  <c r="AE14" i="32" s="1"/>
  <c r="AF17" i="32"/>
  <c r="AF21" i="32"/>
  <c r="AF25" i="32"/>
  <c r="AF18" i="32"/>
  <c r="AF22" i="32"/>
  <c r="AD19" i="32"/>
  <c r="AE19" i="32" s="1"/>
  <c r="AF14" i="32"/>
  <c r="AD18" i="32"/>
  <c r="AE18" i="32" s="1"/>
  <c r="AD22" i="32"/>
  <c r="AE22" i="32" s="1"/>
  <c r="AD26" i="32"/>
  <c r="AC35" i="32"/>
  <c r="AH28" i="32" s="1"/>
  <c r="J8" i="51" s="1"/>
  <c r="J78" i="49"/>
  <c r="J80" i="49" s="1"/>
  <c r="V13" i="49" s="1"/>
  <c r="J66" i="49"/>
  <c r="J68" i="49" s="1"/>
  <c r="V12" i="49" s="1"/>
  <c r="J46" i="49"/>
  <c r="J48" i="49" s="1"/>
  <c r="V11" i="49" s="1"/>
  <c r="R54" i="32"/>
  <c r="AH20" i="32" s="1"/>
  <c r="N54" i="32"/>
  <c r="AH16" i="32" s="1"/>
  <c r="AG20" i="32"/>
  <c r="Q54" i="32"/>
  <c r="AH19" i="32" s="1"/>
  <c r="AG13" i="32"/>
  <c r="AG21" i="32"/>
  <c r="P54" i="32"/>
  <c r="AH18" i="32" s="1"/>
  <c r="AG14" i="32"/>
  <c r="AG22" i="32"/>
  <c r="W54" i="32"/>
  <c r="AH25" i="32" s="1"/>
  <c r="O54" i="32"/>
  <c r="AH17" i="32" s="1"/>
  <c r="AG15" i="32"/>
  <c r="AG23" i="32"/>
  <c r="AG12" i="32"/>
  <c r="V54" i="32"/>
  <c r="AH24" i="32" s="1"/>
  <c r="J54" i="32"/>
  <c r="AH12" i="32" s="1"/>
  <c r="AG16" i="32"/>
  <c r="AG24" i="32"/>
  <c r="U54" i="32"/>
  <c r="AH23" i="32" s="1"/>
  <c r="K54" i="32"/>
  <c r="AH13" i="32" s="1"/>
  <c r="AG17" i="32"/>
  <c r="AG25" i="32"/>
  <c r="M54" i="32"/>
  <c r="AH15" i="32" s="1"/>
  <c r="T54" i="32"/>
  <c r="AH22" i="32" s="1"/>
  <c r="L54" i="32"/>
  <c r="AH14" i="32" s="1"/>
  <c r="AG18" i="32"/>
  <c r="AG26" i="32"/>
  <c r="S54" i="32"/>
  <c r="AH21" i="32" s="1"/>
  <c r="AG19" i="32"/>
  <c r="C48" i="49"/>
  <c r="J14" i="49"/>
  <c r="J16" i="49" s="1"/>
  <c r="V9" i="49" s="1"/>
  <c r="C46" i="49"/>
  <c r="C50" i="49"/>
  <c r="C47" i="49"/>
  <c r="C49" i="49"/>
  <c r="C14" i="52"/>
  <c r="C13" i="52"/>
  <c r="C15" i="52"/>
  <c r="J20" i="52"/>
  <c r="J22" i="52" s="1"/>
  <c r="V10" i="52" s="1"/>
  <c r="J10" i="52"/>
  <c r="J12" i="52" s="1"/>
  <c r="V9" i="52" s="1"/>
  <c r="J29" i="52"/>
  <c r="J31" i="52" s="1"/>
  <c r="V11" i="52" s="1"/>
  <c r="P13" i="14" l="1"/>
  <c r="P11" i="14"/>
  <c r="P17" i="14"/>
  <c r="P21" i="14"/>
  <c r="P15" i="14"/>
  <c r="P19" i="14"/>
  <c r="P23" i="14"/>
  <c r="P14" i="14"/>
  <c r="P12" i="14"/>
  <c r="P18" i="14"/>
  <c r="P29" i="14"/>
  <c r="P30" i="14"/>
  <c r="P28" i="14"/>
  <c r="P20" i="14"/>
  <c r="P10" i="14"/>
  <c r="P22" i="14"/>
  <c r="P16" i="14"/>
  <c r="V12" i="52"/>
  <c r="J11" i="51" s="1"/>
  <c r="AJ16" i="32"/>
  <c r="AJ23" i="32"/>
  <c r="AJ24" i="32"/>
  <c r="AJ14" i="32"/>
  <c r="AJ21" i="32"/>
  <c r="AJ13" i="32"/>
  <c r="AJ19" i="32"/>
  <c r="AJ17" i="32"/>
  <c r="AJ15" i="32"/>
  <c r="AJ22" i="32"/>
  <c r="AK20" i="32"/>
  <c r="AI20" i="32"/>
  <c r="AI22" i="32"/>
  <c r="AK22" i="32"/>
  <c r="AJ26" i="32"/>
  <c r="AK13" i="32"/>
  <c r="AI13" i="32"/>
  <c r="AK15" i="32"/>
  <c r="AI15" i="32"/>
  <c r="AI18" i="32"/>
  <c r="AK18" i="32"/>
  <c r="AK14" i="32"/>
  <c r="AI14" i="32"/>
  <c r="AI12" i="32"/>
  <c r="AC36" i="32"/>
  <c r="AF28" i="32"/>
  <c r="H8" i="51" s="1"/>
  <c r="AK12" i="32"/>
  <c r="AC38" i="32"/>
  <c r="AD28" i="32"/>
  <c r="F8" i="51" s="1"/>
  <c r="AI19" i="32"/>
  <c r="AK19" i="32"/>
  <c r="AJ18" i="32"/>
  <c r="AI21" i="32"/>
  <c r="AK21" i="32"/>
  <c r="AI23" i="32"/>
  <c r="AK23" i="32"/>
  <c r="AI26" i="32"/>
  <c r="AK26" i="32"/>
  <c r="AJ25" i="32"/>
  <c r="AI16" i="32"/>
  <c r="AK16" i="32"/>
  <c r="AJ20" i="32"/>
  <c r="AK24" i="32"/>
  <c r="AI24" i="32"/>
  <c r="AI17" i="32"/>
  <c r="AK17" i="32"/>
  <c r="AC37" i="32"/>
  <c r="AJ12" i="32"/>
  <c r="AG28" i="32"/>
  <c r="I8" i="51" s="1"/>
  <c r="AI25" i="32"/>
  <c r="AK25" i="32"/>
  <c r="Q15" i="52"/>
  <c r="R13" i="49"/>
  <c r="S13" i="49" s="1"/>
  <c r="R11" i="49"/>
  <c r="T10" i="49"/>
  <c r="U13" i="49"/>
  <c r="U12" i="49"/>
  <c r="R12" i="49"/>
  <c r="S12" i="49" s="1"/>
  <c r="T13" i="49"/>
  <c r="R9" i="49"/>
  <c r="U10" i="49"/>
  <c r="V15" i="49"/>
  <c r="J14" i="51" s="1"/>
  <c r="T12" i="49"/>
  <c r="T9" i="49"/>
  <c r="Q18" i="49"/>
  <c r="U9" i="49"/>
  <c r="T11" i="49"/>
  <c r="U11" i="49"/>
  <c r="R10" i="49"/>
  <c r="S10" i="49" s="1"/>
  <c r="AJ28" i="32" l="1"/>
  <c r="L8" i="51" s="1"/>
  <c r="AK28" i="32"/>
  <c r="M8" i="51" s="1"/>
  <c r="AI28" i="32"/>
  <c r="K8" i="51" s="1"/>
  <c r="X13" i="49"/>
  <c r="X11" i="49"/>
  <c r="Y11" i="49"/>
  <c r="W11" i="49"/>
  <c r="Y13" i="49"/>
  <c r="W13" i="49"/>
  <c r="Q20" i="49"/>
  <c r="X9" i="49"/>
  <c r="U15" i="49"/>
  <c r="X12" i="49"/>
  <c r="Q19" i="49"/>
  <c r="Q21" i="49"/>
  <c r="Y9" i="49"/>
  <c r="W9" i="49"/>
  <c r="T15" i="49"/>
  <c r="W12" i="49"/>
  <c r="Y12" i="49"/>
  <c r="S11" i="49"/>
  <c r="W10" i="49"/>
  <c r="Y10" i="49"/>
  <c r="X10" i="49"/>
  <c r="R15" i="49"/>
  <c r="F14" i="51" s="1"/>
  <c r="F17" i="51" s="1"/>
  <c r="F19" i="51" s="1"/>
  <c r="S9" i="49"/>
  <c r="S15" i="49" l="1"/>
  <c r="G14" i="51" s="1"/>
  <c r="I14" i="51"/>
  <c r="I17" i="51" s="1"/>
  <c r="X15" i="49"/>
  <c r="L14" i="51" s="1"/>
  <c r="W15" i="49"/>
  <c r="K14" i="51" s="1"/>
  <c r="Y15" i="49"/>
  <c r="M14" i="51" s="1"/>
  <c r="H14" i="51"/>
  <c r="H17" i="51" s="1"/>
  <c r="H19" i="51" s="1"/>
  <c r="L17" i="51" l="1"/>
  <c r="I19" i="51"/>
  <c r="K17" i="51"/>
  <c r="M17" i="51"/>
  <c r="L24" i="14" l="1"/>
  <c r="L25" i="14" s="1"/>
  <c r="L41" i="14" s="1"/>
  <c r="J25" i="14"/>
  <c r="J41" i="14" s="1"/>
  <c r="AC26" i="32"/>
  <c r="AE26" i="32" s="1"/>
  <c r="AE28" i="32" s="1"/>
  <c r="G8" i="51" s="1"/>
  <c r="G17" i="51" s="1"/>
  <c r="G19" i="51" l="1"/>
  <c r="AC28" i="32"/>
  <c r="E8" i="51" s="1"/>
  <c r="E17" i="51" s="1"/>
  <c r="E19" i="5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S11" authorId="0" shapeId="0" xr:uid="{B35834EA-8000-4678-8AF6-97D832114BC5}">
      <text>
        <r>
          <rPr>
            <sz val="9"/>
            <color indexed="81"/>
            <rFont val="Tahoma"/>
            <family val="2"/>
          </rPr>
          <t xml:space="preserve">The distributions are recallable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G30" authorId="0" shapeId="0" xr:uid="{0C65EA05-CBC6-49D0-95FA-09E3E71DF2E0}">
      <text>
        <r>
          <rPr>
            <b/>
            <sz val="9"/>
            <color indexed="81"/>
            <rFont val="Tahoma"/>
            <family val="2"/>
          </rPr>
          <t xml:space="preserve">Dan: </t>
        </r>
        <r>
          <rPr>
            <sz val="9"/>
            <color indexed="81"/>
            <rFont val="Tahoma"/>
            <family val="2"/>
          </rPr>
          <t xml:space="preserve">we expect SDF's NAV to increase as some investments will be market up
</t>
        </r>
      </text>
    </comment>
  </commentList>
</comments>
</file>

<file path=xl/sharedStrings.xml><?xml version="1.0" encoding="utf-8"?>
<sst xmlns="http://schemas.openxmlformats.org/spreadsheetml/2006/main" count="2302" uniqueCount="451">
  <si>
    <t>Mena Mobile Inc</t>
  </si>
  <si>
    <t>North Summit Capital Fund</t>
  </si>
  <si>
    <t>Invested</t>
  </si>
  <si>
    <t>Value</t>
  </si>
  <si>
    <t>Comments</t>
  </si>
  <si>
    <t xml:space="preserve">Accounting entity </t>
  </si>
  <si>
    <t>Investment</t>
  </si>
  <si>
    <t>Payment date</t>
  </si>
  <si>
    <t xml:space="preserve">Description </t>
  </si>
  <si>
    <t>Mozn</t>
  </si>
  <si>
    <t>18/02/2020</t>
  </si>
  <si>
    <t>Heygears</t>
  </si>
  <si>
    <t>USD</t>
  </si>
  <si>
    <t>G42</t>
  </si>
  <si>
    <t>ONT</t>
  </si>
  <si>
    <t>Sinovation Disrupt Fund, L.P.</t>
  </si>
  <si>
    <t>18/11/2020</t>
  </si>
  <si>
    <t>1st Capital Call</t>
  </si>
  <si>
    <t>Partial return of the 1st Capital Call</t>
  </si>
  <si>
    <t>2nd Capital Calll</t>
  </si>
  <si>
    <t xml:space="preserve">Return of Capital fund </t>
  </si>
  <si>
    <t xml:space="preserve">Interest Catchup </t>
  </si>
  <si>
    <t>19/07/2019</t>
  </si>
  <si>
    <t>13/04/2020</t>
  </si>
  <si>
    <t>Jysan Technologies</t>
  </si>
  <si>
    <t>DriveNets</t>
  </si>
  <si>
    <t>QAZ42</t>
  </si>
  <si>
    <t xml:space="preserve">QAZ42 </t>
  </si>
  <si>
    <t>31/12/2020</t>
  </si>
  <si>
    <t>GBP</t>
  </si>
  <si>
    <t>Comment</t>
  </si>
  <si>
    <t>Currency</t>
  </si>
  <si>
    <t>Instadeep</t>
  </si>
  <si>
    <t>New Space Capital</t>
  </si>
  <si>
    <t>IRR</t>
  </si>
  <si>
    <t>Status</t>
  </si>
  <si>
    <t>Exited</t>
  </si>
  <si>
    <t>vTv Therapeutics</t>
  </si>
  <si>
    <t>Carrying Value</t>
  </si>
  <si>
    <t>Direct Investments</t>
  </si>
  <si>
    <t>Debt Investments</t>
  </si>
  <si>
    <t>Funds Investments</t>
  </si>
  <si>
    <t>Investing Entity</t>
  </si>
  <si>
    <t>Committed</t>
  </si>
  <si>
    <t>Distributions</t>
  </si>
  <si>
    <t>TVPI</t>
  </si>
  <si>
    <t>Honor Device Co Ltd</t>
  </si>
  <si>
    <t>Instrument</t>
  </si>
  <si>
    <t>USD Millions</t>
  </si>
  <si>
    <t>Beyond Limits</t>
  </si>
  <si>
    <t>Flyr Inc</t>
  </si>
  <si>
    <t xml:space="preserve">Esyasoft Holding </t>
  </si>
  <si>
    <t>Cerebras Systems Inc</t>
  </si>
  <si>
    <t>Endless Studios LLC</t>
  </si>
  <si>
    <t>Instadeep Limited</t>
  </si>
  <si>
    <t>Debt</t>
  </si>
  <si>
    <t>Convertible Note</t>
  </si>
  <si>
    <t>Ordinary Shares</t>
  </si>
  <si>
    <t>Vintage</t>
  </si>
  <si>
    <t>Jollychic Holding Limited</t>
  </si>
  <si>
    <t xml:space="preserve">Glass Earth Holdings LLC </t>
  </si>
  <si>
    <t>A (Ordinary Shares)</t>
  </si>
  <si>
    <t>Remaining Commitment</t>
  </si>
  <si>
    <t>Additonal Upside</t>
  </si>
  <si>
    <t>Deals</t>
  </si>
  <si>
    <t>Fund</t>
  </si>
  <si>
    <t>NA</t>
  </si>
  <si>
    <t>%</t>
  </si>
  <si>
    <t>G42 Shares</t>
  </si>
  <si>
    <t>Fully Diluted</t>
  </si>
  <si>
    <t>FLYR</t>
  </si>
  <si>
    <t>% ownership</t>
  </si>
  <si>
    <t xml:space="preserve">LP </t>
  </si>
  <si>
    <t>Date of Investment</t>
  </si>
  <si>
    <t>Price per share</t>
  </si>
  <si>
    <t>USDAED</t>
  </si>
  <si>
    <t>GBPUSD</t>
  </si>
  <si>
    <t>Multiple</t>
  </si>
  <si>
    <t>Share Price (GBP)</t>
  </si>
  <si>
    <t>Total</t>
  </si>
  <si>
    <t>Post all transactions</t>
  </si>
  <si>
    <t>B = 599,769</t>
  </si>
  <si>
    <t>Ordinary =1,493,575</t>
  </si>
  <si>
    <t>Employee shares = 83,261</t>
  </si>
  <si>
    <t>Class A = 289,048</t>
  </si>
  <si>
    <t>LTIP shares</t>
  </si>
  <si>
    <t># shares to G42</t>
  </si>
  <si>
    <t xml:space="preserve"> Currency</t>
  </si>
  <si>
    <t>Share price</t>
  </si>
  <si>
    <t xml:space="preserve">Discount </t>
  </si>
  <si>
    <t>Carrying Value Mn</t>
  </si>
  <si>
    <t>NAV Date</t>
  </si>
  <si>
    <t>Offer Mn, GBP</t>
  </si>
  <si>
    <t># shares o/s</t>
  </si>
  <si>
    <t>Price per share | Oct 21</t>
  </si>
  <si>
    <t>Offer price per share</t>
  </si>
  <si>
    <t>Premium</t>
  </si>
  <si>
    <t>BNT Offer | 18Jul 2022</t>
  </si>
  <si>
    <t># shares</t>
  </si>
  <si>
    <t>Mena Mobile</t>
  </si>
  <si>
    <t>EsyaSoft, Equity</t>
  </si>
  <si>
    <t>EsyaSoft, Debt</t>
  </si>
  <si>
    <t>GP</t>
  </si>
  <si>
    <t>Lead</t>
  </si>
  <si>
    <t>Sushil</t>
  </si>
  <si>
    <t>Elaine</t>
  </si>
  <si>
    <t>Divyesh</t>
  </si>
  <si>
    <t>Anton</t>
  </si>
  <si>
    <t>Business Outlook</t>
  </si>
  <si>
    <t>Financial Outlook</t>
  </si>
  <si>
    <t>Valuation Outlook</t>
  </si>
  <si>
    <t xml:space="preserve">9.9% GP | Anchor </t>
  </si>
  <si>
    <t>Ignasi</t>
  </si>
  <si>
    <t>Investment Amount</t>
  </si>
  <si>
    <t>C Prefs</t>
  </si>
  <si>
    <t>B Prefs</t>
  </si>
  <si>
    <t xml:space="preserve">Mozn </t>
  </si>
  <si>
    <t>F Prefs</t>
  </si>
  <si>
    <t>Smart Interaction</t>
  </si>
  <si>
    <t>Enterprise Connection</t>
  </si>
  <si>
    <t>X-fusion</t>
  </si>
  <si>
    <t>N/A</t>
  </si>
  <si>
    <t>Registered Capital</t>
  </si>
  <si>
    <t>C+ Prefs</t>
  </si>
  <si>
    <t>A Pref Units</t>
  </si>
  <si>
    <t>B-1,2 Prefs</t>
  </si>
  <si>
    <t xml:space="preserve">B Prefs </t>
  </si>
  <si>
    <t>Equity-TBC</t>
  </si>
  <si>
    <t>Unrealized</t>
  </si>
  <si>
    <t>To be Exited</t>
  </si>
  <si>
    <t>Realized</t>
  </si>
  <si>
    <t>Geography</t>
  </si>
  <si>
    <t>Representative</t>
  </si>
  <si>
    <t>In Liquidation</t>
  </si>
  <si>
    <t>USD, Million</t>
  </si>
  <si>
    <t>Negotiating final terms of a new round at $1.5Bn</t>
  </si>
  <si>
    <t>Held at cost.</t>
  </si>
  <si>
    <t>Held at cost. To be exited</t>
  </si>
  <si>
    <t>#</t>
  </si>
  <si>
    <t xml:space="preserve">Investments </t>
  </si>
  <si>
    <t>Current Shares/Units</t>
  </si>
  <si>
    <t>As per 3rd Party | Ardent Estimates</t>
  </si>
  <si>
    <t>ONT plc</t>
  </si>
  <si>
    <t>vTv Therapeutics Inc.</t>
  </si>
  <si>
    <t xml:space="preserve"> Honor is closing a new round at RMB 310B</t>
  </si>
  <si>
    <t>Note:</t>
  </si>
  <si>
    <t>USD AED</t>
  </si>
  <si>
    <t>Contributions (in USD, Mn)</t>
  </si>
  <si>
    <t>Notes</t>
  </si>
  <si>
    <t>Remaining Value</t>
  </si>
  <si>
    <t xml:space="preserve"> (in USD, Mn)</t>
  </si>
  <si>
    <t>Contribution</t>
  </si>
  <si>
    <t>DPI</t>
  </si>
  <si>
    <t>RVPI</t>
  </si>
  <si>
    <t>Guy Harmelin (Independent Director)</t>
  </si>
  <si>
    <t>Martin Edelman</t>
  </si>
  <si>
    <t>Viktor</t>
  </si>
  <si>
    <t>Tariq (Board), Talal (Observer)</t>
  </si>
  <si>
    <t>Peng Xiao, Elaine</t>
  </si>
  <si>
    <t xml:space="preserve">Peng Xiao </t>
  </si>
  <si>
    <t>Eric Xing</t>
  </si>
  <si>
    <t>None appointed</t>
  </si>
  <si>
    <t>TBC</t>
  </si>
  <si>
    <t xml:space="preserve">Guy Harmelin </t>
  </si>
  <si>
    <t>1 Observer</t>
  </si>
  <si>
    <t>1 Board</t>
  </si>
  <si>
    <t>2 Board</t>
  </si>
  <si>
    <t>1 Board + 1 Observer</t>
  </si>
  <si>
    <t>New Space Capital SCSp</t>
  </si>
  <si>
    <t xml:space="preserve">Talal </t>
  </si>
  <si>
    <t xml:space="preserve"> 3rd Capital Call</t>
  </si>
  <si>
    <t>4th Capital Call</t>
  </si>
  <si>
    <t>16/11/2020</t>
  </si>
  <si>
    <t>5th Capital Call-Partial return of the 4th Capital Call</t>
  </si>
  <si>
    <t>5th Capital Call</t>
  </si>
  <si>
    <t>6th Capital Call-Partial return of the 4th Capital Call</t>
  </si>
  <si>
    <t>6th Capital Call</t>
  </si>
  <si>
    <t>6th Capital Call-Dividends from Project Topscore</t>
  </si>
  <si>
    <t>7th Capital Call</t>
  </si>
  <si>
    <t>8th Capital Call</t>
  </si>
  <si>
    <t>8th Capital Call-Dividends from Project Topscore</t>
  </si>
  <si>
    <t>9th Capital Call-Return of Capital Fund</t>
  </si>
  <si>
    <t xml:space="preserve">12th Capital Call </t>
  </si>
  <si>
    <t>Entity</t>
  </si>
  <si>
    <t>3rd Capital Call</t>
  </si>
  <si>
    <t>2nd Capital Call</t>
  </si>
  <si>
    <t>New Space Capital Fund I</t>
  </si>
  <si>
    <t>(Dr. Fahad) TBC</t>
  </si>
  <si>
    <t>NOTES</t>
  </si>
  <si>
    <t>1</t>
  </si>
  <si>
    <t>2</t>
  </si>
  <si>
    <t>3</t>
  </si>
  <si>
    <t>4</t>
  </si>
  <si>
    <r>
      <t xml:space="preserve">1. Jollychic Holding : </t>
    </r>
    <r>
      <rPr>
        <sz val="11"/>
        <color theme="1"/>
        <rFont val="Garamond"/>
        <family val="1"/>
      </rPr>
      <t>Peng Xiao held the directorship until Jun 2021</t>
    </r>
  </si>
  <si>
    <r>
      <rPr>
        <b/>
        <sz val="11"/>
        <color theme="1"/>
        <rFont val="Garamond"/>
        <family val="1"/>
      </rPr>
      <t>1. Esyasoft:</t>
    </r>
    <r>
      <rPr>
        <sz val="11"/>
        <color theme="1"/>
        <rFont val="Garamond"/>
        <family val="1"/>
      </rPr>
      <t xml:space="preserve"> we held a Board seat, with Monty Aw as the representative, until Jun 2022</t>
    </r>
  </si>
  <si>
    <r>
      <t xml:space="preserve">2. Beyond Limits: </t>
    </r>
    <r>
      <rPr>
        <sz val="11"/>
        <color theme="1"/>
        <rFont val="Garamond"/>
        <family val="1"/>
      </rPr>
      <t xml:space="preserve">possibility of the 2nd Board seat in case we invest (an additional / an earlier committed) </t>
    </r>
    <r>
      <rPr>
        <b/>
        <sz val="11"/>
        <color theme="1"/>
        <rFont val="Garamond"/>
        <family val="1"/>
      </rPr>
      <t>$10m</t>
    </r>
  </si>
  <si>
    <t>n/a</t>
  </si>
  <si>
    <t>Monty Aw represented earlier</t>
  </si>
  <si>
    <t>Promissory Note</t>
  </si>
  <si>
    <t>Loan</t>
  </si>
  <si>
    <t xml:space="preserve">Loan </t>
  </si>
  <si>
    <t>NOTES:</t>
  </si>
  <si>
    <t>In default</t>
  </si>
  <si>
    <t>Distributions (in USD, Mn)</t>
  </si>
  <si>
    <t>L O AN | P R O M I S S O R Y   N O T E S | D E B T</t>
  </si>
  <si>
    <t>EUR</t>
  </si>
  <si>
    <t>Consideration (shares)</t>
  </si>
  <si>
    <t>Drawdown1</t>
  </si>
  <si>
    <t>Drawdown2</t>
  </si>
  <si>
    <r>
      <t>Vintage</t>
    </r>
    <r>
      <rPr>
        <b/>
        <vertAlign val="superscript"/>
        <sz val="11"/>
        <color theme="0"/>
        <rFont val="Garamond"/>
        <family val="1"/>
      </rPr>
      <t>ἀ</t>
    </r>
  </si>
  <si>
    <t>ἀ = Vintage corresponds to the year of the first investment made</t>
  </si>
  <si>
    <t>NR</t>
  </si>
  <si>
    <t xml:space="preserve">NR =No representation </t>
  </si>
  <si>
    <t>Confirm appoinment</t>
  </si>
  <si>
    <t>Seeking Exit</t>
  </si>
  <si>
    <t>Exercise Warrants</t>
  </si>
  <si>
    <t xml:space="preserve">Actions </t>
  </si>
  <si>
    <t>Color Code</t>
  </si>
  <si>
    <t>Synergies / JV</t>
  </si>
  <si>
    <r>
      <rPr>
        <b/>
        <sz val="11"/>
        <color theme="1" tint="0.249977111117893"/>
        <rFont val="Garamond"/>
        <family val="1"/>
      </rPr>
      <t>NA</t>
    </r>
    <r>
      <rPr>
        <sz val="11"/>
        <color theme="1" tint="0.249977111117893"/>
        <rFont val="Garamond"/>
        <family val="1"/>
      </rPr>
      <t xml:space="preserve"> = Not applicable or Not available</t>
    </r>
  </si>
  <si>
    <r>
      <rPr>
        <b/>
        <sz val="11"/>
        <color theme="1" tint="0.249977111117893"/>
        <rFont val="Garamond"/>
        <family val="1"/>
      </rPr>
      <t>NM</t>
    </r>
    <r>
      <rPr>
        <sz val="11"/>
        <color theme="1" tint="0.249977111117893"/>
        <rFont val="Garamond"/>
        <family val="1"/>
      </rPr>
      <t xml:space="preserve"> = Not meaningful</t>
    </r>
  </si>
  <si>
    <r>
      <rPr>
        <b/>
        <sz val="11"/>
        <color theme="1" tint="0.249977111117893"/>
        <rFont val="Garamond"/>
        <family val="1"/>
      </rPr>
      <t>G42</t>
    </r>
    <r>
      <rPr>
        <sz val="11"/>
        <color theme="1" tint="0.249977111117893"/>
        <rFont val="Garamond"/>
        <family val="1"/>
      </rPr>
      <t xml:space="preserve"> = G42 Investments AI Holding RSC Ltd</t>
    </r>
  </si>
  <si>
    <r>
      <rPr>
        <b/>
        <sz val="11"/>
        <color theme="1" tint="0.249977111117893"/>
        <rFont val="Garamond"/>
        <family val="1"/>
      </rPr>
      <t>Mozn</t>
    </r>
    <r>
      <rPr>
        <sz val="11"/>
        <color theme="1" tint="0.249977111117893"/>
        <rFont val="Garamond"/>
        <family val="1"/>
      </rPr>
      <t xml:space="preserve"> = Mozn Holding RSC Ltd</t>
    </r>
  </si>
  <si>
    <r>
      <rPr>
        <b/>
        <sz val="11"/>
        <color theme="1" tint="0.249977111117893"/>
        <rFont val="Garamond"/>
        <family val="1"/>
      </rPr>
      <t>QAZ42</t>
    </r>
    <r>
      <rPr>
        <sz val="11"/>
        <color theme="1" tint="0.249977111117893"/>
        <rFont val="Garamond"/>
        <family val="1"/>
      </rPr>
      <t xml:space="preserve"> = QAZ42 Investment SPV RSC Ltd</t>
    </r>
  </si>
  <si>
    <r>
      <rPr>
        <b/>
        <sz val="11"/>
        <color theme="1" tint="0.249977111117893"/>
        <rFont val="Garamond"/>
        <family val="1"/>
      </rPr>
      <t xml:space="preserve">Smart </t>
    </r>
    <r>
      <rPr>
        <sz val="11"/>
        <color theme="1" tint="0.249977111117893"/>
        <rFont val="Garamond"/>
        <family val="1"/>
      </rPr>
      <t>Interaction = Smart Interaction1 Holding SPV RSC LTD</t>
    </r>
  </si>
  <si>
    <r>
      <rPr>
        <b/>
        <sz val="11"/>
        <color theme="1" tint="0.249977111117893"/>
        <rFont val="Garamond"/>
        <family val="1"/>
      </rPr>
      <t xml:space="preserve">Enterprise </t>
    </r>
    <r>
      <rPr>
        <sz val="11"/>
        <color theme="1" tint="0.249977111117893"/>
        <rFont val="Garamond"/>
        <family val="1"/>
      </rPr>
      <t>Connection = Enterprises Connection Holding RSC Ltd</t>
    </r>
  </si>
  <si>
    <t xml:space="preserve">Sector </t>
  </si>
  <si>
    <t>E QU I T Y</t>
  </si>
  <si>
    <r>
      <t xml:space="preserve">Board Representation </t>
    </r>
    <r>
      <rPr>
        <b/>
        <vertAlign val="superscript"/>
        <sz val="11"/>
        <color theme="0"/>
        <rFont val="Garamond"/>
        <family val="1"/>
      </rPr>
      <t>‡</t>
    </r>
  </si>
  <si>
    <r>
      <t xml:space="preserve">‡ Board Representation : </t>
    </r>
    <r>
      <rPr>
        <sz val="11"/>
        <color theme="1"/>
        <rFont val="Garamond"/>
        <family val="1"/>
      </rPr>
      <t>as a Board Seat, Observer, or Advisor</t>
    </r>
  </si>
  <si>
    <r>
      <t xml:space="preserve">3. Cerebras :  </t>
    </r>
    <r>
      <rPr>
        <sz val="11"/>
        <color theme="1"/>
        <rFont val="Garamond"/>
        <family val="1"/>
      </rPr>
      <t xml:space="preserve">possibility of a Board seat, If G42 holds &gt;10% with rights to exercise at least 20% of warrant </t>
    </r>
  </si>
  <si>
    <t>Exit plan in progress</t>
  </si>
  <si>
    <t>Q1'22  report</t>
  </si>
  <si>
    <r>
      <t>Flyr Warrants</t>
    </r>
    <r>
      <rPr>
        <vertAlign val="superscript"/>
        <sz val="11"/>
        <rFont val="Garamond"/>
        <family val="1"/>
      </rPr>
      <t>a</t>
    </r>
  </si>
  <si>
    <r>
      <t xml:space="preserve">DN Warrants </t>
    </r>
    <r>
      <rPr>
        <vertAlign val="superscript"/>
        <sz val="11"/>
        <rFont val="Garamond"/>
        <family val="1"/>
      </rPr>
      <t>b</t>
    </r>
  </si>
  <si>
    <t>Additional Upside Section:</t>
  </si>
  <si>
    <t>Notes:</t>
  </si>
  <si>
    <t>Shares</t>
  </si>
  <si>
    <t>% Ownership</t>
  </si>
  <si>
    <t>Source</t>
  </si>
  <si>
    <t>10Q report 15Aug</t>
  </si>
  <si>
    <t>Dan Kong</t>
  </si>
  <si>
    <t>Txn docs</t>
  </si>
  <si>
    <t>Pitchbook triangulation</t>
  </si>
  <si>
    <t>Cap Table</t>
  </si>
  <si>
    <t>LSE Announcement</t>
  </si>
  <si>
    <t>Equity</t>
  </si>
  <si>
    <t>Type</t>
  </si>
  <si>
    <t>Cashflows</t>
  </si>
  <si>
    <t>Residual Value</t>
  </si>
  <si>
    <t>XIRR</t>
  </si>
  <si>
    <t>Combined</t>
  </si>
  <si>
    <t>RPI</t>
  </si>
  <si>
    <t>Contributions</t>
  </si>
  <si>
    <t>Drawdown3</t>
  </si>
  <si>
    <t>Drawdown4</t>
  </si>
  <si>
    <t>Return of Capital</t>
  </si>
  <si>
    <t>Contributions (USD, Mn)</t>
  </si>
  <si>
    <t>Distributions (USD, Mn)</t>
  </si>
  <si>
    <r>
      <t xml:space="preserve">vTv $30m milestn payment </t>
    </r>
    <r>
      <rPr>
        <vertAlign val="superscript"/>
        <sz val="11"/>
        <rFont val="Garamond"/>
        <family val="1"/>
      </rPr>
      <t>c</t>
    </r>
  </si>
  <si>
    <t>Distribution</t>
  </si>
  <si>
    <t>Date of NAV</t>
  </si>
  <si>
    <t xml:space="preserve">RPI </t>
  </si>
  <si>
    <t>Acies Investments Fund I, L.P.</t>
  </si>
  <si>
    <t>Fund Level Summary</t>
  </si>
  <si>
    <t>Overall Summary</t>
  </si>
  <si>
    <t>EQUITY</t>
  </si>
  <si>
    <t>DEBT</t>
  </si>
  <si>
    <t>FUNDS</t>
  </si>
  <si>
    <t>TOTAL</t>
  </si>
  <si>
    <t>Investtment Level Summary</t>
  </si>
  <si>
    <t xml:space="preserve">Contributions </t>
  </si>
  <si>
    <t xml:space="preserve">Distributions </t>
  </si>
  <si>
    <t># Investments</t>
  </si>
  <si>
    <t xml:space="preserve">D A S H B O A R D </t>
  </si>
  <si>
    <t>As of date</t>
  </si>
  <si>
    <t>Q1 2019</t>
  </si>
  <si>
    <t>Period</t>
  </si>
  <si>
    <t>Q2 2019</t>
  </si>
  <si>
    <t>Q3 2019</t>
  </si>
  <si>
    <t>Q4 2019</t>
  </si>
  <si>
    <t>Q1 2020</t>
  </si>
  <si>
    <t>Q2 2020</t>
  </si>
  <si>
    <t>Q3 2020</t>
  </si>
  <si>
    <t>Q4 2020</t>
  </si>
  <si>
    <t>Q1 2021</t>
  </si>
  <si>
    <t>Q2 2021</t>
  </si>
  <si>
    <t>Q3 2021</t>
  </si>
  <si>
    <t>Q4 2021</t>
  </si>
  <si>
    <t>Q1 2022</t>
  </si>
  <si>
    <t>Q2 2022</t>
  </si>
  <si>
    <t>Q3 2022</t>
  </si>
  <si>
    <t>Q3-2022</t>
  </si>
  <si>
    <t>Q4-2022</t>
  </si>
  <si>
    <t>Q1-2023</t>
  </si>
  <si>
    <t>Q2-2023</t>
  </si>
  <si>
    <t>Q3-2023</t>
  </si>
  <si>
    <t>Q4-2023</t>
  </si>
  <si>
    <t xml:space="preserve"> Commitment</t>
  </si>
  <si>
    <t xml:space="preserve">No funding projected for North Summit Fund </t>
  </si>
  <si>
    <t>KEY PORTFOLIO IRR</t>
  </si>
  <si>
    <t>figures in USD Millions</t>
  </si>
  <si>
    <t>Portfolio 1</t>
  </si>
  <si>
    <t>Eliminated</t>
  </si>
  <si>
    <t xml:space="preserve">Distribution </t>
  </si>
  <si>
    <t>Gain</t>
  </si>
  <si>
    <t>TOP LOSERS</t>
  </si>
  <si>
    <t>TOP GAINERS</t>
  </si>
  <si>
    <t>TOTAL MOVEMENT</t>
  </si>
  <si>
    <t>ATTRIBUTION SUMMARY</t>
  </si>
  <si>
    <t xml:space="preserve">A T T R I B U T I O N    S U M M A R Y </t>
  </si>
  <si>
    <t>CASHFLOW REQUIREMENT</t>
  </si>
  <si>
    <t>CASH DEPLOYED OVER TIME…</t>
  </si>
  <si>
    <t>IRR - Debt</t>
  </si>
  <si>
    <t>IRR - FUNDS</t>
  </si>
  <si>
    <t>IRR - Equity (Individual Investments)</t>
  </si>
  <si>
    <t>IRR - Equity (Select Investments)</t>
  </si>
  <si>
    <t>Select Portfolio1 IRR</t>
  </si>
  <si>
    <t>Portfolio</t>
  </si>
  <si>
    <t>Vintage 2019 | Equity</t>
  </si>
  <si>
    <t>Vintage 2020 | Equity</t>
  </si>
  <si>
    <t>Vintage 2021 | Equity</t>
  </si>
  <si>
    <t>Vintage 2020 includes Esyasoft, BL, ONT, Heygears</t>
  </si>
  <si>
    <t>Vintage 2019 includes Jollychic, Mena Mobile, Flyr</t>
  </si>
  <si>
    <t>Vintage 2021 includes Endless, Instadeep</t>
  </si>
  <si>
    <t>Select Portfolio1 includes Jollychic, Mena Mobile, Flyr, Esyasoft, BL, ONT, Heygears, Endless, Instadeep</t>
  </si>
  <si>
    <t xml:space="preserve">Remaining </t>
  </si>
  <si>
    <t>Negative outlook</t>
  </si>
  <si>
    <t>% OWNERSHIP</t>
  </si>
  <si>
    <t>No particular view on this</t>
  </si>
  <si>
    <t>No action / under investigation</t>
  </si>
  <si>
    <t xml:space="preserve">Positive outlook </t>
  </si>
  <si>
    <t>No improvement or decline</t>
  </si>
  <si>
    <t>Geograhpy</t>
  </si>
  <si>
    <t>USA</t>
  </si>
  <si>
    <t>IRR - All Investments (Equity, Debt, Funds)</t>
  </si>
  <si>
    <t>Asia-China</t>
  </si>
  <si>
    <t>MiddleEast</t>
  </si>
  <si>
    <t>Rest of Asia</t>
  </si>
  <si>
    <t>Europe</t>
  </si>
  <si>
    <t>Mobile Gaming</t>
  </si>
  <si>
    <t>Utilities-Tech</t>
  </si>
  <si>
    <t xml:space="preserve">3D Printing </t>
  </si>
  <si>
    <t>Fintech</t>
  </si>
  <si>
    <t>Semiconductor</t>
  </si>
  <si>
    <t>Hardware-SmartDevices</t>
  </si>
  <si>
    <t>Ecommerce</t>
  </si>
  <si>
    <t>Oil &amp; Gas AI</t>
  </si>
  <si>
    <t>Cloud Computing</t>
  </si>
  <si>
    <t>Computer Networks</t>
  </si>
  <si>
    <t>BioTechnology</t>
  </si>
  <si>
    <t>Edutech</t>
  </si>
  <si>
    <t>B2B SaaS</t>
  </si>
  <si>
    <t>Consulting</t>
  </si>
  <si>
    <t>Select Cashflow for</t>
  </si>
  <si>
    <t>Sector</t>
  </si>
  <si>
    <t>Geogrpahy</t>
  </si>
  <si>
    <t>Asset Class Type</t>
  </si>
  <si>
    <t>Count</t>
  </si>
  <si>
    <t>Middle East</t>
  </si>
  <si>
    <t>Equity Only</t>
  </si>
  <si>
    <t>Includes Equity, Debt, Funds</t>
  </si>
  <si>
    <t>IRR - Select (All Investments, includes Equity, Debt, Funds)</t>
  </si>
  <si>
    <t>Exited / or seeking exit</t>
  </si>
  <si>
    <t>Finance team</t>
  </si>
  <si>
    <r>
      <rPr>
        <b/>
        <sz val="11"/>
        <color theme="1"/>
        <rFont val="Garamond"/>
        <family val="1"/>
      </rPr>
      <t xml:space="preserve">a) Flyr: </t>
    </r>
    <r>
      <rPr>
        <sz val="11"/>
        <color theme="1"/>
        <rFont val="Garamond"/>
        <family val="1"/>
      </rPr>
      <t>For every $1m of revenue, 194,477 shares, capped at 1,264,1000 (B-1) shares shall be issued to Mozn</t>
    </r>
  </si>
  <si>
    <r>
      <t>b) DriveNets:</t>
    </r>
    <r>
      <rPr>
        <sz val="11"/>
        <color theme="1"/>
        <rFont val="Garamond"/>
        <family val="1"/>
      </rPr>
      <t xml:space="preserve"> Share warrants exercisable upon the achievement of target revenue of clients referred by G42, and corresponding milestones</t>
    </r>
  </si>
  <si>
    <r>
      <rPr>
        <b/>
        <sz val="11"/>
        <color theme="1"/>
        <rFont val="Garamond"/>
        <family val="1"/>
      </rPr>
      <t xml:space="preserve">TBC </t>
    </r>
    <r>
      <rPr>
        <sz val="11"/>
        <color theme="1"/>
        <rFont val="Garamond"/>
        <family val="1"/>
      </rPr>
      <t>= to be confirmed</t>
    </r>
  </si>
  <si>
    <r>
      <t xml:space="preserve">c) vTv Therapeutics: </t>
    </r>
    <r>
      <rPr>
        <sz val="11"/>
        <color theme="1"/>
        <rFont val="Garamond"/>
        <family val="1"/>
      </rPr>
      <t>Potential issuance of $30m in additional shares, if FDA approval received for the drug TTP399</t>
    </r>
  </si>
  <si>
    <r>
      <rPr>
        <b/>
        <sz val="11"/>
        <color theme="1"/>
        <rFont val="Garamond"/>
        <family val="1"/>
      </rPr>
      <t>d) Acies Investments Fund I LP:</t>
    </r>
    <r>
      <rPr>
        <sz val="11"/>
        <color theme="1"/>
        <rFont val="Garamond"/>
        <family val="1"/>
      </rPr>
      <t xml:space="preserve"> Being the Anchor investor, entitled to 9.9% of the aggregate carried interest earned by the GP</t>
    </r>
  </si>
  <si>
    <t>Investment type</t>
  </si>
  <si>
    <r>
      <t>Quarterly (1</t>
    </r>
    <r>
      <rPr>
        <b/>
        <vertAlign val="superscript"/>
        <sz val="11"/>
        <color theme="1"/>
        <rFont val="Calibri"/>
        <family val="2"/>
      </rPr>
      <t>st</t>
    </r>
    <r>
      <rPr>
        <b/>
        <sz val="11"/>
        <color theme="1"/>
        <rFont val="Calibri"/>
        <family val="2"/>
      </rPr>
      <t xml:space="preserve"> April, July and October)</t>
    </r>
  </si>
  <si>
    <t>Listed securities on a recognised exchange</t>
  </si>
  <si>
    <t>1. Number of securities held, including:</t>
  </si>
  <si>
    <t>details of any movement in number of securities held</t>
  </si>
  <si>
    <t>exercise of conversion rights</t>
  </si>
  <si>
    <t>changes to the terms of the instrument</t>
  </si>
  <si>
    <t>amalgamation/ splitting of instrument classes</t>
  </si>
  <si>
    <t>bonus shares</t>
  </si>
  <si>
    <t>additional instruments subscribed</t>
  </si>
  <si>
    <t>dividend, etc.</t>
  </si>
  <si>
    <t xml:space="preserve">2. Fair value of the listed portfolio based on quoted stock exchange (MTM) price </t>
  </si>
  <si>
    <t>Unlisted corporate investments held</t>
  </si>
  <si>
    <t>2. Any events or conditions that indicate significant increase/ decrease in the fair value previously recorded for individual investments</t>
  </si>
  <si>
    <t>3. Refresh the valuation at which each investment in the portfolio is previously carried</t>
  </si>
  <si>
    <t>Investments in Funds (closed ended)</t>
  </si>
  <si>
    <t>1. Any events or conditions that indicate significant increase/ decrease in the fair value previously recorded for individual investments</t>
  </si>
  <si>
    <t>2. Fair value of investment in each Fund based on Fund Manager’s/ General Partner’s report for the previous quarter</t>
  </si>
  <si>
    <t>Changes during the Period</t>
  </si>
  <si>
    <t>Qtr</t>
  </si>
  <si>
    <t>At Series C PPS $18.75/share with 20% discount</t>
  </si>
  <si>
    <t>Held at cost (as per revised management guidance)</t>
  </si>
  <si>
    <t>Listed &amp; marked to market</t>
  </si>
  <si>
    <r>
      <rPr>
        <sz val="11"/>
        <color theme="1"/>
        <rFont val="Calibri"/>
        <family val="2"/>
      </rPr>
      <t>•</t>
    </r>
    <r>
      <rPr>
        <sz val="11"/>
        <color theme="1"/>
        <rFont val="Garamond"/>
        <family val="1"/>
      </rPr>
      <t xml:space="preserve"> For estimating the NAV the share price for ONT and vTv Therapeutics is taken as of 15/09 (the latest available as of the date)</t>
    </r>
  </si>
  <si>
    <t>1a</t>
  </si>
  <si>
    <t>1b</t>
  </si>
  <si>
    <t>1c</t>
  </si>
  <si>
    <t>1d</t>
  </si>
  <si>
    <t xml:space="preserve">Opening </t>
  </si>
  <si>
    <t>Acquired</t>
  </si>
  <si>
    <t>Re-organisation</t>
  </si>
  <si>
    <t>Sale / Transfer</t>
  </si>
  <si>
    <t xml:space="preserve">Closing </t>
  </si>
  <si>
    <r>
      <t>Monthly (25</t>
    </r>
    <r>
      <rPr>
        <b/>
        <vertAlign val="superscript"/>
        <sz val="11"/>
        <color theme="1"/>
        <rFont val="Calibri"/>
        <family val="2"/>
      </rPr>
      <t>th</t>
    </r>
    <r>
      <rPr>
        <b/>
        <sz val="11"/>
        <color theme="1"/>
        <rFont val="Calibri"/>
        <family val="2"/>
      </rPr>
      <t xml:space="preserve"> of each month other than quarter-end)</t>
    </r>
  </si>
  <si>
    <r>
      <t>Annually (2</t>
    </r>
    <r>
      <rPr>
        <b/>
        <vertAlign val="superscript"/>
        <sz val="11"/>
        <color theme="1"/>
        <rFont val="Calibri"/>
        <family val="2"/>
      </rPr>
      <t>nd</t>
    </r>
    <r>
      <rPr>
        <b/>
        <sz val="11"/>
        <color theme="1"/>
        <rFont val="Calibri"/>
        <family val="2"/>
      </rPr>
      <t xml:space="preserve"> January following year-end)</t>
    </r>
  </si>
  <si>
    <t>Ref. to summary</t>
  </si>
  <si>
    <t>1b, 1c, 1d</t>
  </si>
  <si>
    <t>2. Any events or conditions that indicate significant decrease in the fair value previously recorded for individual investments</t>
  </si>
  <si>
    <r>
      <t xml:space="preserve">4. Obtain an external valuer’s report of fair value of each investment in the portfolio as at 30th September </t>
    </r>
    <r>
      <rPr>
        <b/>
        <sz val="11"/>
        <color theme="1"/>
        <rFont val="Calibri"/>
        <family val="2"/>
      </rPr>
      <t>(by 30</t>
    </r>
    <r>
      <rPr>
        <b/>
        <vertAlign val="superscript"/>
        <sz val="11"/>
        <color theme="1"/>
        <rFont val="Calibri"/>
        <family val="2"/>
      </rPr>
      <t>th</t>
    </r>
    <r>
      <rPr>
        <b/>
        <sz val="11"/>
        <color theme="1"/>
        <rFont val="Calibri"/>
        <family val="2"/>
      </rPr>
      <t xml:space="preserve"> November)</t>
    </r>
  </si>
  <si>
    <r>
      <t>5. Carry out an internal refresh as at 31</t>
    </r>
    <r>
      <rPr>
        <vertAlign val="superscript"/>
        <sz val="11"/>
        <color theme="1"/>
        <rFont val="Calibri"/>
        <family val="2"/>
      </rPr>
      <t>st</t>
    </r>
    <r>
      <rPr>
        <sz val="11"/>
        <color theme="1"/>
        <rFont val="Calibri"/>
        <family val="2"/>
      </rPr>
      <t xml:space="preserve"> December of the external valuer’s report of fair value </t>
    </r>
    <r>
      <rPr>
        <b/>
        <sz val="11"/>
        <color theme="1"/>
        <rFont val="Calibri"/>
        <family val="2"/>
      </rPr>
      <t>(by 5</t>
    </r>
    <r>
      <rPr>
        <b/>
        <vertAlign val="superscript"/>
        <sz val="11"/>
        <color theme="1"/>
        <rFont val="Calibri"/>
        <family val="2"/>
      </rPr>
      <t>th</t>
    </r>
    <r>
      <rPr>
        <b/>
        <sz val="11"/>
        <color theme="1"/>
        <rFont val="Calibri"/>
        <family val="2"/>
      </rPr>
      <t xml:space="preserve"> January following the year-end)</t>
    </r>
  </si>
  <si>
    <r>
      <t xml:space="preserve">2. Fair value of investment in each Fund based on Fund Manager’s/ General Partner’s report for the previous quarter </t>
    </r>
    <r>
      <rPr>
        <b/>
        <sz val="11"/>
        <color theme="1"/>
        <rFont val="Calibri"/>
        <family val="2"/>
      </rPr>
      <t>(by 5</t>
    </r>
    <r>
      <rPr>
        <b/>
        <vertAlign val="superscript"/>
        <sz val="11"/>
        <color theme="1"/>
        <rFont val="Calibri"/>
        <family val="2"/>
      </rPr>
      <t>th</t>
    </r>
    <r>
      <rPr>
        <b/>
        <sz val="11"/>
        <color theme="1"/>
        <rFont val="Calibri"/>
        <family val="2"/>
      </rPr>
      <t xml:space="preserve"> January following the year-end)</t>
    </r>
  </si>
  <si>
    <t>Dividend / Interest</t>
  </si>
  <si>
    <t>Listed</t>
  </si>
  <si>
    <t>Listed / Unlisted</t>
  </si>
  <si>
    <t xml:space="preserve">vTv Therapeutics : </t>
  </si>
  <si>
    <t>NAV | 30 Jun 2022</t>
  </si>
  <si>
    <t>Exit at $5m (10th May) | Residual value = 0</t>
  </si>
  <si>
    <t>North Summit Capital</t>
  </si>
  <si>
    <t>Portfolio Exit Plan in Progress</t>
  </si>
  <si>
    <t>Sinovation Disrupt Fund</t>
  </si>
  <si>
    <t>Expect valuation to rise as some of its portfolio companies are in the market to raise new funds</t>
  </si>
  <si>
    <t>PPS | 30 Sep 2022</t>
  </si>
  <si>
    <t>Acies Investments Fund I, LP</t>
  </si>
  <si>
    <r>
      <t xml:space="preserve">G42 Investments AI Holding RSC Ltd (G42 Investments) has been issued 10.3 million shares representing c. 10% of vTv on a fully diluted basis. 50% of the consideration has been paid and the remaining 50% will be payable within next 12 months. The promissory note to pay the second US$12.5 million has been issued by G42 Investments with an equity commitment letter/guarantee in place between Group 42 Holdings Ltd and G42 Investments with Group 42 Holdings to stand behind G42 Investments obligations under the promissory note.   The agreements also provide for the potential issuance of US$ 30 million in additional shares of Class A Common Stock to G42 Investments (or cash in lieu of such issuance at the option of G42 Investments) if the United States Food and Drug Administration (the “FDA”) approves the marketing and sale of a pharmaceutical product containing TTP399 </t>
    </r>
    <r>
      <rPr>
        <i/>
        <sz val="11"/>
        <rFont val="Garamond"/>
        <family val="1"/>
      </rPr>
      <t>(Relevant documents to be perused by the consolidation / reporting team for details and corresponding implications, if any)</t>
    </r>
  </si>
  <si>
    <t>Drivenets</t>
  </si>
  <si>
    <t xml:space="preserve">Honor </t>
  </si>
  <si>
    <t>No. of securities held (Movement during the Period)</t>
  </si>
  <si>
    <t>Jollychic</t>
  </si>
  <si>
    <t>Esyasoft Holding</t>
  </si>
  <si>
    <t>Flyr</t>
  </si>
  <si>
    <t xml:space="preserve">For Comments Refer to Note </t>
  </si>
  <si>
    <t>Glass Earth Holdings LLC</t>
  </si>
  <si>
    <t xml:space="preserve">RMB 80 Mn of Registered Capital for RMB 5.7 Bn </t>
  </si>
  <si>
    <t>- 50% of the investment has been financed by profit sharing loan.
- Further, in case of exit of G42’s investment, 50% of the sale proceeds shall be paid to the lender as full and final settlement of the outstanding liability 
- Exit for this investment is under process. Buyback agreement is pending for signature internally. (Relevant documents to be perused by the consolidation / reporting team for details and corresponding implications, if any)
- Dividend receivable amounting to US$ 3.2 m will be waived upon exit of this investment</t>
  </si>
  <si>
    <t>Within five years of the Initial Closing, for every USD 1mn of Qualifying Revenue generated, Flyr will issue, at no additional charge, 194,477 B-1 Prefs in the name of G42, up to a maximum of 1,264,100 B-1 Prefs.</t>
  </si>
  <si>
    <t>Investment in Esyasoft is in the form of Convertible Note which will convert to 21% interest on conversion on a fully diluted basis. As per Dec 2020 FS of Esyasoft, the CN was reflected as Debt
- Exit of US$ 2.5 Mn Convertible Note @ 2.0x (MoC) i.e. US$ 5 Mn in May 22
- US$ 0.4 Mn represents Working Capital Loan</t>
  </si>
  <si>
    <t>During 2021, Jollychic Holding Ltd has filed for its liquidation. Therefore, investment is considered to be fully impaired in Dec 21.</t>
  </si>
  <si>
    <t>Investment is marked down based on the inputs received from 3rd party.</t>
  </si>
  <si>
    <t>Mozn's holding is RMB 4,753,356.29 of the Registered Capital.</t>
  </si>
  <si>
    <t>Invested in Q3 2022</t>
  </si>
  <si>
    <t>Share warrants excisable upon the achievement of target revenue of clients by referred G42. The milestones of each target revenue and respective conversion were stated in the Term Sheet.</t>
  </si>
  <si>
    <t>Business targeting raising funds by the end of FY2022</t>
  </si>
  <si>
    <t xml:space="preserve">The investment is currently undergoing a CFIUS review. </t>
  </si>
  <si>
    <t>Received an acuiqisiton bid from BioNtech</t>
  </si>
  <si>
    <t>17,18,19: no comments</t>
  </si>
  <si>
    <t>Mena Mobile (Debt)</t>
  </si>
  <si>
    <t>Esyasoft Holding (Debt)</t>
  </si>
  <si>
    <t>Ibid</t>
  </si>
  <si>
    <t>G42 negotiated conversion of €2.3m GP investment into LP investment to vote in favor of new LP proposal. Final details of conversion awaited</t>
  </si>
  <si>
    <t>Written off. Debt security of Glass Earth issued in 2019 were fully provided for.</t>
  </si>
  <si>
    <t xml:space="preserve">Outstanding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</si>
</sst>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8" formatCode="&quot;AED&quot;#,##0.00;[Red]\-&quot;AED&quot;#,##0.00"/>
    <numFmt numFmtId="43" formatCode="_-* #,##0.00_-;\-* #,##0.00_-;_-* &quot;-&quot;??_-;_-@_-"/>
    <numFmt numFmtId="164" formatCode="_(* #,##0.00_);_(* \(#,##0.00\);_(* &quot;-&quot;??_);_(@_)"/>
    <numFmt numFmtId="165" formatCode="&quot;$&quot;#,##0.00_);[Red]\(&quot;$&quot;#,##0.00\)"/>
    <numFmt numFmtId="166" formatCode="_(&quot;$&quot;* #,##0.00_);_(&quot;$&quot;* \(#,##0.00\);_(&quot;$&quot;* &quot;-&quot;??_);_(@_)"/>
    <numFmt numFmtId="167" formatCode="_-[$£-809]* #,##0.00_-;\-[$£-809]* #,##0.00_-;_-[$£-809]* &quot;-&quot;??_-;_-@_-"/>
    <numFmt numFmtId="168" formatCode="&quot;$&quot;#,##0_);[Red]\(&quot;$&quot;#,##0\)"/>
    <numFmt numFmtId="169" formatCode="0.00\x"/>
    <numFmt numFmtId="170" formatCode="0.0%"/>
    <numFmt numFmtId="171" formatCode="0.00%_);\(0.00%\);0.00%_);@_)"/>
    <numFmt numFmtId="172" formatCode="[$$-409]#,##0.0_);\([$$-409]#,##0.0\);[$$-409]#,##0.0_);@_)"/>
    <numFmt numFmtId="173" formatCode="[$$-409]#,##0_);\([$$-409]#,##0\);[$$-409]#,##0_);@_)"/>
    <numFmt numFmtId="174" formatCode="_(* #,##0_);_(* \(#,##0\);_(* &quot;-&quot;??_);_(@_)"/>
    <numFmt numFmtId="175" formatCode="0.0\x"/>
    <numFmt numFmtId="176" formatCode="&quot;$&quot;#,##0.0_);[Red]\(&quot;$&quot;#,##0.0\)"/>
    <numFmt numFmtId="177" formatCode="[$-14C09]d\ mmm\ yyyy;@"/>
    <numFmt numFmtId="178" formatCode="#,##0.000000;[Red]#,##0.000000"/>
    <numFmt numFmtId="179" formatCode="[$$-409]#,##0.00_);\([$$-409]#,##0.00\);[$$-409]#,##0.00_);@_)"/>
    <numFmt numFmtId="180" formatCode="[$£-809]#,##0;[Red][$£-809]#,##0"/>
    <numFmt numFmtId="181" formatCode="[$£-809]#,##0"/>
    <numFmt numFmtId="182" formatCode="&quot;€&quot;#,##0.000_);[Red]\(&quot;€&quot;#,##0.000\)"/>
    <numFmt numFmtId="183" formatCode="&quot;€&quot;#,##0.0_);[Red]\(&quot;€&quot;#,##0.0\)"/>
    <numFmt numFmtId="184" formatCode="#,##0.0;[Red]#,##0.0"/>
    <numFmt numFmtId="185" formatCode="#,##0.00\x"/>
    <numFmt numFmtId="186" formatCode="#,##0.00;[Red]#,##0.00"/>
    <numFmt numFmtId="187" formatCode="[$$-409]#,##0.00_ ;[Red]\-[$$-409]#,##0.00\ "/>
    <numFmt numFmtId="194" formatCode="&quot;AED&quot;#,##0.00"/>
    <numFmt numFmtId="197" formatCode="#,##0;[Red]#,##0"/>
  </numFmts>
  <fonts count="66" x14ac:knownFonts="1">
    <font>
      <sz val="11"/>
      <color theme="1"/>
      <name val="Calibri"/>
      <family val="2"/>
      <scheme val="minor"/>
    </font>
    <font>
      <sz val="11"/>
      <color theme="1"/>
      <name val="Calibri"/>
      <family val="2"/>
      <scheme val="minor"/>
    </font>
    <font>
      <b/>
      <sz val="11"/>
      <color theme="0"/>
      <name val="Garamond"/>
      <family val="1"/>
    </font>
    <font>
      <sz val="12"/>
      <color theme="1"/>
      <name val="Calibri"/>
      <family val="2"/>
      <scheme val="minor"/>
    </font>
    <font>
      <sz val="10"/>
      <color theme="1"/>
      <name val="Calibri"/>
      <family val="2"/>
      <scheme val="minor"/>
    </font>
    <font>
      <sz val="10"/>
      <color theme="0"/>
      <name val="Calibri"/>
      <family val="2"/>
      <scheme val="minor"/>
    </font>
    <font>
      <b/>
      <sz val="11"/>
      <color theme="2" tint="-9.9978637043366805E-2"/>
      <name val="Garamond"/>
      <family val="1"/>
    </font>
    <font>
      <u/>
      <sz val="11"/>
      <color theme="10"/>
      <name val="Calibri"/>
      <family val="2"/>
      <scheme val="minor"/>
    </font>
    <font>
      <b/>
      <sz val="10"/>
      <color rgb="FF0000CC"/>
      <name val="Calibri"/>
      <family val="2"/>
      <scheme val="minor"/>
    </font>
    <font>
      <sz val="10"/>
      <color theme="10"/>
      <name val="Calibri"/>
      <family val="2"/>
      <scheme val="minor"/>
    </font>
    <font>
      <sz val="10"/>
      <color rgb="FF000000"/>
      <name val="Calibri"/>
      <family val="2"/>
      <scheme val="minor"/>
    </font>
    <font>
      <b/>
      <sz val="10"/>
      <color theme="1"/>
      <name val="Calibri"/>
      <family val="2"/>
      <scheme val="minor"/>
    </font>
    <font>
      <b/>
      <u/>
      <sz val="10"/>
      <color theme="1"/>
      <name val="Calibri"/>
      <family val="2"/>
      <scheme val="minor"/>
    </font>
    <font>
      <sz val="11"/>
      <color theme="1" tint="0.249977111117893"/>
      <name val="Garamond"/>
      <family val="1"/>
    </font>
    <font>
      <b/>
      <sz val="11"/>
      <color theme="1" tint="0.249977111117893"/>
      <name val="Garamond"/>
      <family val="1"/>
    </font>
    <font>
      <b/>
      <sz val="11"/>
      <color rgb="FF0000CC"/>
      <name val="Garamond"/>
      <family val="1"/>
    </font>
    <font>
      <sz val="11"/>
      <color theme="1"/>
      <name val="Garamond"/>
      <family val="1"/>
    </font>
    <font>
      <sz val="9"/>
      <color theme="1"/>
      <name val="Garamond"/>
      <family val="1"/>
    </font>
    <font>
      <b/>
      <sz val="11"/>
      <color theme="1"/>
      <name val="Garamond"/>
      <family val="1"/>
    </font>
    <font>
      <b/>
      <sz val="9"/>
      <color theme="0"/>
      <name val="Garamond"/>
      <family val="1"/>
    </font>
    <font>
      <sz val="11"/>
      <color rgb="FFFF0000"/>
      <name val="Garamond"/>
      <family val="1"/>
    </font>
    <font>
      <i/>
      <sz val="11"/>
      <color theme="1" tint="0.249977111117893"/>
      <name val="Garamond"/>
      <family val="1"/>
    </font>
    <font>
      <sz val="10"/>
      <color theme="0"/>
      <name val="Garamond"/>
      <family val="1"/>
    </font>
    <font>
      <sz val="10"/>
      <color theme="1"/>
      <name val="Garamond"/>
      <family val="1"/>
    </font>
    <font>
      <b/>
      <sz val="10"/>
      <color theme="0"/>
      <name val="Garamond"/>
      <family val="1"/>
    </font>
    <font>
      <b/>
      <sz val="10"/>
      <color theme="1"/>
      <name val="Garamond"/>
      <family val="1"/>
    </font>
    <font>
      <sz val="10"/>
      <color rgb="FF1F1F1F"/>
      <name val="Garamond"/>
      <family val="1"/>
    </font>
    <font>
      <b/>
      <vertAlign val="superscript"/>
      <sz val="11"/>
      <color theme="0"/>
      <name val="Garamond"/>
      <family val="1"/>
    </font>
    <font>
      <b/>
      <i/>
      <sz val="11"/>
      <color theme="0"/>
      <name val="Garamond"/>
      <family val="1"/>
    </font>
    <font>
      <sz val="9"/>
      <color indexed="81"/>
      <name val="Tahoma"/>
      <family val="2"/>
    </font>
    <font>
      <b/>
      <sz val="9"/>
      <color indexed="81"/>
      <name val="Tahoma"/>
      <family val="2"/>
    </font>
    <font>
      <sz val="11"/>
      <name val="Garamond"/>
      <family val="1"/>
    </font>
    <font>
      <vertAlign val="superscript"/>
      <sz val="11"/>
      <name val="Garamond"/>
      <family val="1"/>
    </font>
    <font>
      <b/>
      <sz val="11"/>
      <name val="Garamond"/>
      <family val="1"/>
    </font>
    <font>
      <sz val="11"/>
      <color theme="0"/>
      <name val="Garamond"/>
      <family val="1"/>
    </font>
    <font>
      <sz val="11"/>
      <color rgb="FF0000CC"/>
      <name val="Garamond"/>
      <family val="1"/>
    </font>
    <font>
      <i/>
      <sz val="11"/>
      <color theme="1"/>
      <name val="Garamond"/>
      <family val="1"/>
    </font>
    <font>
      <i/>
      <sz val="11"/>
      <color rgb="FF0000CC"/>
      <name val="Garamond"/>
      <family val="1"/>
    </font>
    <font>
      <b/>
      <sz val="10"/>
      <color rgb="FF0000CC"/>
      <name val="Garamond"/>
      <family val="1"/>
    </font>
    <font>
      <sz val="10"/>
      <name val="Garamond"/>
      <family val="1"/>
    </font>
    <font>
      <sz val="10"/>
      <color theme="1" tint="0.249977111117893"/>
      <name val="Garamond"/>
      <family val="1"/>
    </font>
    <font>
      <b/>
      <sz val="10"/>
      <color theme="1" tint="0.249977111117893"/>
      <name val="Garamond"/>
      <family val="1"/>
    </font>
    <font>
      <i/>
      <sz val="10"/>
      <color theme="1"/>
      <name val="Garamond"/>
      <family val="1"/>
    </font>
    <font>
      <b/>
      <i/>
      <sz val="10"/>
      <color theme="1"/>
      <name val="Garamond"/>
      <family val="1"/>
    </font>
    <font>
      <b/>
      <i/>
      <sz val="11"/>
      <color theme="1"/>
      <name val="Garamond"/>
      <family val="1"/>
    </font>
    <font>
      <b/>
      <sz val="9"/>
      <color theme="1"/>
      <name val="Garamond"/>
      <family val="1"/>
    </font>
    <font>
      <b/>
      <sz val="22"/>
      <color theme="1"/>
      <name val="Garamond"/>
      <family val="1"/>
    </font>
    <font>
      <sz val="11"/>
      <color theme="1" tint="0.34998626667073579"/>
      <name val="Garamond"/>
      <family val="1"/>
    </font>
    <font>
      <sz val="9"/>
      <color theme="1" tint="0.34998626667073579"/>
      <name val="Garamond"/>
      <family val="1"/>
    </font>
    <font>
      <sz val="10"/>
      <color theme="1" tint="0.34998626667073579"/>
      <name val="Garamond"/>
      <family val="1"/>
    </font>
    <font>
      <b/>
      <i/>
      <sz val="11"/>
      <color theme="1" tint="0.249977111117893"/>
      <name val="Garamond"/>
      <family val="1"/>
    </font>
    <font>
      <b/>
      <i/>
      <sz val="11"/>
      <color theme="2" tint="-9.9978637043366805E-2"/>
      <name val="Garamond"/>
      <family val="1"/>
    </font>
    <font>
      <b/>
      <sz val="11"/>
      <color theme="0" tint="-4.9989318521683403E-2"/>
      <name val="Garamond"/>
      <family val="1"/>
    </font>
    <font>
      <i/>
      <sz val="9"/>
      <color theme="0" tint="-0.14999847407452621"/>
      <name val="Garamond"/>
      <family val="1"/>
    </font>
    <font>
      <b/>
      <sz val="11"/>
      <color theme="1"/>
      <name val="Calibri"/>
      <family val="2"/>
    </font>
    <font>
      <b/>
      <vertAlign val="superscript"/>
      <sz val="11"/>
      <color theme="1"/>
      <name val="Calibri"/>
      <family val="2"/>
    </font>
    <font>
      <sz val="11"/>
      <color theme="1"/>
      <name val="Calibri"/>
      <family val="2"/>
    </font>
    <font>
      <sz val="11"/>
      <color theme="0" tint="-0.249977111117893"/>
      <name val="Garamond"/>
      <family val="1"/>
    </font>
    <font>
      <b/>
      <sz val="11"/>
      <color theme="0" tint="-0.249977111117893"/>
      <name val="Garamond"/>
      <family val="1"/>
    </font>
    <font>
      <sz val="9"/>
      <color theme="0"/>
      <name val="Garamond"/>
      <family val="1"/>
    </font>
    <font>
      <sz val="11"/>
      <color theme="1"/>
      <name val="Garamond"/>
      <family val="2"/>
    </font>
    <font>
      <vertAlign val="superscript"/>
      <sz val="11"/>
      <color theme="1"/>
      <name val="Calibri"/>
      <family val="2"/>
    </font>
    <font>
      <b/>
      <sz val="11"/>
      <color rgb="FF0000FF"/>
      <name val="Garamond"/>
      <family val="1"/>
    </font>
    <font>
      <b/>
      <sz val="11"/>
      <color theme="7" tint="0.79998168889431442"/>
      <name val="Garamond"/>
      <family val="1"/>
    </font>
    <font>
      <sz val="11"/>
      <color theme="1" tint="0.499984740745262"/>
      <name val="Garamond"/>
      <family val="1"/>
    </font>
    <font>
      <i/>
      <sz val="11"/>
      <name val="Garamond"/>
      <family val="1"/>
    </font>
  </fonts>
  <fills count="27">
    <fill>
      <patternFill patternType="none"/>
    </fill>
    <fill>
      <patternFill patternType="gray125"/>
    </fill>
    <fill>
      <patternFill patternType="solid">
        <fgColor rgb="FF002060"/>
        <bgColor indexed="64"/>
      </patternFill>
    </fill>
    <fill>
      <patternFill patternType="solid">
        <fgColor theme="4" tint="0.79998168889431442"/>
        <bgColor indexed="64"/>
      </patternFill>
    </fill>
    <fill>
      <patternFill patternType="solid">
        <fgColor theme="0"/>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3" tint="-0.249977111117893"/>
        <bgColor indexed="64"/>
      </patternFill>
    </fill>
    <fill>
      <patternFill patternType="solid">
        <fgColor theme="2" tint="-0.499984740745262"/>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5" tint="0.59999389629810485"/>
        <bgColor indexed="64"/>
      </patternFill>
    </fill>
    <fill>
      <patternFill patternType="solid">
        <fgColor theme="2" tint="-0.749992370372631"/>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5117038483843"/>
        <bgColor indexed="64"/>
      </patternFill>
    </fill>
    <fill>
      <patternFill patternType="solid">
        <fgColor theme="9" tint="0.39997558519241921"/>
        <bgColor indexed="64"/>
      </patternFill>
    </fill>
    <fill>
      <patternFill patternType="solid">
        <fgColor rgb="FFF8483A"/>
        <bgColor indexed="64"/>
      </patternFill>
    </fill>
    <fill>
      <patternFill patternType="solid">
        <fgColor theme="4" tint="0.59999389629810485"/>
        <bgColor indexed="64"/>
      </patternFill>
    </fill>
    <fill>
      <patternFill patternType="solid">
        <fgColor theme="7" tint="0.39997558519241921"/>
        <bgColor indexed="64"/>
      </patternFill>
    </fill>
    <fill>
      <patternFill patternType="solid">
        <fgColor rgb="FFFFC000"/>
        <bgColor indexed="64"/>
      </patternFill>
    </fill>
    <fill>
      <patternFill patternType="solid">
        <fgColor theme="0" tint="-0.34998626667073579"/>
        <bgColor indexed="64"/>
      </patternFill>
    </fill>
    <fill>
      <patternFill patternType="solid">
        <fgColor theme="7" tint="-0.249977111117893"/>
        <bgColor indexed="64"/>
      </patternFill>
    </fill>
    <fill>
      <patternFill patternType="solid">
        <fgColor theme="8" tint="-0.499984740745262"/>
        <bgColor indexed="64"/>
      </patternFill>
    </fill>
    <fill>
      <patternFill patternType="solid">
        <fgColor rgb="FFFFFF00"/>
        <bgColor indexed="64"/>
      </patternFill>
    </fill>
    <fill>
      <patternFill patternType="solid">
        <fgColor theme="0" tint="-4.9989318521683403E-2"/>
        <bgColor indexed="64"/>
      </patternFill>
    </fill>
  </fills>
  <borders count="43">
    <border>
      <left/>
      <right/>
      <top/>
      <bottom/>
      <diagonal/>
    </border>
    <border>
      <left/>
      <right/>
      <top style="thin">
        <color indexed="64"/>
      </top>
      <bottom/>
      <diagonal/>
    </border>
    <border>
      <left/>
      <right/>
      <top/>
      <bottom style="hair">
        <color auto="1"/>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right/>
      <top style="thin">
        <color rgb="FFEEEEEC"/>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left>
      <right style="thin">
        <color theme="0"/>
      </right>
      <top style="thin">
        <color theme="0"/>
      </top>
      <bottom/>
      <diagonal/>
    </border>
    <border>
      <left style="medium">
        <color theme="1" tint="0.499984740745262"/>
      </left>
      <right/>
      <top style="medium">
        <color theme="1" tint="0.499984740745262"/>
      </top>
      <bottom/>
      <diagonal/>
    </border>
    <border>
      <left/>
      <right/>
      <top style="medium">
        <color theme="1" tint="0.499984740745262"/>
      </top>
      <bottom/>
      <diagonal/>
    </border>
    <border>
      <left/>
      <right style="medium">
        <color theme="1" tint="0.499984740745262"/>
      </right>
      <top style="medium">
        <color theme="1" tint="0.499984740745262"/>
      </top>
      <bottom/>
      <diagonal/>
    </border>
    <border>
      <left style="medium">
        <color theme="1" tint="0.499984740745262"/>
      </left>
      <right/>
      <top/>
      <bottom/>
      <diagonal/>
    </border>
    <border>
      <left/>
      <right style="medium">
        <color theme="1" tint="0.499984740745262"/>
      </right>
      <top/>
      <bottom/>
      <diagonal/>
    </border>
    <border>
      <left style="medium">
        <color theme="1" tint="0.499984740745262"/>
      </left>
      <right/>
      <top/>
      <bottom style="medium">
        <color theme="1" tint="0.499984740745262"/>
      </bottom>
      <diagonal/>
    </border>
    <border>
      <left/>
      <right/>
      <top/>
      <bottom style="medium">
        <color theme="1" tint="0.499984740745262"/>
      </bottom>
      <diagonal/>
    </border>
    <border>
      <left/>
      <right style="medium">
        <color theme="1" tint="0.499984740745262"/>
      </right>
      <top/>
      <bottom style="medium">
        <color theme="1" tint="0.499984740745262"/>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thin">
        <color theme="1" tint="0.499984740745262"/>
      </right>
      <top style="thin">
        <color theme="1" tint="0.499984740745262"/>
      </top>
      <bottom style="thin">
        <color theme="1"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0">
    <xf numFmtId="0" fontId="0" fillId="0" borderId="0"/>
    <xf numFmtId="9" fontId="1" fillId="0" borderId="0" applyFont="0" applyFill="0" applyBorder="0" applyAlignment="0" applyProtection="0"/>
    <xf numFmtId="164" fontId="1" fillId="0" borderId="0" applyFont="0" applyFill="0" applyBorder="0" applyAlignment="0" applyProtection="0"/>
    <xf numFmtId="0" fontId="3" fillId="0" borderId="0"/>
    <xf numFmtId="164" fontId="3" fillId="0" borderId="0" applyFont="0" applyFill="0" applyBorder="0" applyAlignment="0" applyProtection="0"/>
    <xf numFmtId="166" fontId="3" fillId="0" borderId="0" applyFont="0" applyFill="0" applyBorder="0" applyAlignment="0" applyProtection="0"/>
    <xf numFmtId="0" fontId="7" fillId="0" borderId="0" applyNumberFormat="0" applyFill="0" applyBorder="0" applyAlignment="0" applyProtection="0"/>
    <xf numFmtId="0" fontId="1" fillId="0" borderId="0"/>
    <xf numFmtId="43" fontId="1" fillId="0" borderId="0" applyFont="0" applyFill="0" applyBorder="0" applyAlignment="0" applyProtection="0"/>
    <xf numFmtId="166" fontId="1" fillId="0" borderId="0" applyFont="0" applyFill="0" applyBorder="0" applyAlignment="0" applyProtection="0"/>
  </cellStyleXfs>
  <cellXfs count="559">
    <xf numFmtId="0" fontId="0" fillId="0" borderId="0" xfId="0"/>
    <xf numFmtId="0" fontId="2" fillId="2" borderId="0" xfId="0" applyFont="1" applyFill="1" applyBorder="1" applyAlignment="1">
      <alignment horizontal="center" vertical="center" wrapText="1"/>
    </xf>
    <xf numFmtId="0" fontId="4" fillId="0" borderId="0" xfId="0" applyFont="1" applyAlignment="1">
      <alignment horizontal="center"/>
    </xf>
    <xf numFmtId="0" fontId="4" fillId="0" borderId="0" xfId="0" applyFont="1"/>
    <xf numFmtId="0" fontId="4" fillId="0" borderId="8" xfId="0" applyFont="1" applyBorder="1"/>
    <xf numFmtId="10" fontId="9" fillId="0" borderId="0" xfId="6" applyNumberFormat="1" applyFont="1" applyFill="1" applyBorder="1" applyAlignment="1">
      <alignment horizontal="center" vertical="center"/>
    </xf>
    <xf numFmtId="0" fontId="4" fillId="0" borderId="0" xfId="0" applyFont="1" applyBorder="1"/>
    <xf numFmtId="0" fontId="4" fillId="0" borderId="11" xfId="0" applyFont="1" applyBorder="1" applyAlignment="1">
      <alignment horizontal="left" wrapText="1"/>
    </xf>
    <xf numFmtId="3" fontId="11" fillId="0" borderId="11" xfId="0" applyNumberFormat="1" applyFont="1" applyBorder="1" applyAlignment="1">
      <alignment horizontal="right"/>
    </xf>
    <xf numFmtId="0" fontId="4" fillId="0" borderId="5" xfId="0" applyFont="1" applyBorder="1"/>
    <xf numFmtId="0" fontId="4" fillId="0" borderId="3" xfId="0" applyFont="1" applyBorder="1"/>
    <xf numFmtId="0" fontId="4" fillId="0" borderId="3" xfId="0" applyFont="1" applyBorder="1" applyAlignment="1">
      <alignment horizontal="center"/>
    </xf>
    <xf numFmtId="0" fontId="4" fillId="0" borderId="6" xfId="0" applyFont="1" applyBorder="1"/>
    <xf numFmtId="0" fontId="4" fillId="0" borderId="7" xfId="0" applyFont="1" applyBorder="1"/>
    <xf numFmtId="0" fontId="8" fillId="0" borderId="0" xfId="0" applyFont="1" applyBorder="1" applyAlignment="1">
      <alignment horizontal="left"/>
    </xf>
    <xf numFmtId="0" fontId="4" fillId="0" borderId="0" xfId="0" applyFont="1" applyBorder="1" applyAlignment="1">
      <alignment horizontal="center"/>
    </xf>
    <xf numFmtId="0" fontId="4" fillId="0" borderId="0" xfId="0" applyFont="1" applyBorder="1" applyAlignment="1">
      <alignment horizontal="right"/>
    </xf>
    <xf numFmtId="0" fontId="5" fillId="8" borderId="0" xfId="7" applyFont="1" applyFill="1" applyBorder="1" applyAlignment="1">
      <alignment horizontal="center" vertical="center" wrapText="1"/>
    </xf>
    <xf numFmtId="15" fontId="4" fillId="9" borderId="0" xfId="7" applyNumberFormat="1" applyFont="1" applyFill="1" applyBorder="1" applyAlignment="1">
      <alignment horizontal="center"/>
    </xf>
    <xf numFmtId="0" fontId="11" fillId="0" borderId="0" xfId="0" applyFont="1" applyBorder="1" applyAlignment="1">
      <alignment horizontal="left"/>
    </xf>
    <xf numFmtId="174" fontId="4" fillId="0" borderId="0" xfId="2" applyNumberFormat="1" applyFont="1" applyBorder="1"/>
    <xf numFmtId="3" fontId="4" fillId="0" borderId="0" xfId="0" applyNumberFormat="1" applyFont="1" applyFill="1" applyBorder="1" applyAlignment="1">
      <alignment horizontal="left" vertical="top"/>
    </xf>
    <xf numFmtId="3" fontId="11" fillId="0" borderId="0" xfId="0" applyNumberFormat="1" applyFont="1" applyFill="1" applyBorder="1" applyAlignment="1">
      <alignment horizontal="right"/>
    </xf>
    <xf numFmtId="0" fontId="10" fillId="0" borderId="0" xfId="0" applyFont="1" applyBorder="1" applyAlignment="1">
      <alignment horizontal="left" vertical="center"/>
    </xf>
    <xf numFmtId="3" fontId="4" fillId="0" borderId="0" xfId="0" applyNumberFormat="1" applyFont="1" applyBorder="1" applyAlignment="1">
      <alignment horizontal="center"/>
    </xf>
    <xf numFmtId="0" fontId="4" fillId="0" borderId="0" xfId="0" applyFont="1" applyFill="1" applyBorder="1" applyAlignment="1">
      <alignment horizontal="left"/>
    </xf>
    <xf numFmtId="164" fontId="4" fillId="0" borderId="0" xfId="0" applyNumberFormat="1" applyFont="1" applyBorder="1"/>
    <xf numFmtId="3" fontId="10" fillId="0" borderId="0" xfId="0" applyNumberFormat="1" applyFont="1" applyBorder="1" applyAlignment="1">
      <alignment horizontal="center" vertical="center"/>
    </xf>
    <xf numFmtId="0" fontId="4" fillId="0" borderId="0" xfId="0" applyFont="1" applyBorder="1" applyAlignment="1">
      <alignment horizontal="left"/>
    </xf>
    <xf numFmtId="171" fontId="4" fillId="0" borderId="0" xfId="0" applyNumberFormat="1" applyFont="1" applyBorder="1" applyAlignment="1">
      <alignment horizontal="center"/>
    </xf>
    <xf numFmtId="0" fontId="4" fillId="0" borderId="0" xfId="0" applyFont="1" applyFill="1" applyBorder="1" applyAlignment="1">
      <alignment horizontal="left" wrapText="1"/>
    </xf>
    <xf numFmtId="16" fontId="8" fillId="0" borderId="0" xfId="0" applyNumberFormat="1" applyFont="1" applyBorder="1" applyAlignment="1">
      <alignment horizontal="center"/>
    </xf>
    <xf numFmtId="0" fontId="8" fillId="0" borderId="0" xfId="0" applyFont="1" applyBorder="1" applyAlignment="1">
      <alignment horizontal="center"/>
    </xf>
    <xf numFmtId="9" fontId="4" fillId="0" borderId="0" xfId="0" applyNumberFormat="1" applyFont="1" applyBorder="1" applyAlignment="1">
      <alignment horizontal="center"/>
    </xf>
    <xf numFmtId="3" fontId="4" fillId="0" borderId="0" xfId="0" applyNumberFormat="1" applyFont="1" applyBorder="1" applyAlignment="1">
      <alignment horizontal="right"/>
    </xf>
    <xf numFmtId="172" fontId="4" fillId="0" borderId="0" xfId="0" applyNumberFormat="1" applyFont="1" applyBorder="1" applyAlignment="1">
      <alignment horizontal="center"/>
    </xf>
    <xf numFmtId="10" fontId="4" fillId="0" borderId="0" xfId="1" applyNumberFormat="1" applyFont="1" applyBorder="1" applyAlignment="1">
      <alignment horizontal="right"/>
    </xf>
    <xf numFmtId="0" fontId="11" fillId="0" borderId="0" xfId="0" applyFont="1" applyBorder="1" applyAlignment="1">
      <alignment horizontal="center"/>
    </xf>
    <xf numFmtId="16" fontId="11" fillId="0" borderId="0" xfId="0" applyNumberFormat="1" applyFont="1" applyBorder="1" applyAlignment="1">
      <alignment horizontal="center"/>
    </xf>
    <xf numFmtId="16" fontId="4" fillId="0" borderId="0" xfId="0" applyNumberFormat="1" applyFont="1" applyBorder="1" applyAlignment="1">
      <alignment horizontal="right"/>
    </xf>
    <xf numFmtId="173" fontId="4" fillId="9" borderId="0" xfId="7" applyNumberFormat="1" applyFont="1" applyFill="1" applyBorder="1" applyAlignment="1">
      <alignment horizontal="center"/>
    </xf>
    <xf numFmtId="173" fontId="4" fillId="9" borderId="0" xfId="4" applyNumberFormat="1" applyFont="1" applyFill="1" applyBorder="1" applyAlignment="1">
      <alignment horizontal="center"/>
    </xf>
    <xf numFmtId="0" fontId="12" fillId="0" borderId="0" xfId="0" applyFont="1" applyBorder="1"/>
    <xf numFmtId="169" fontId="4" fillId="0" borderId="0" xfId="0" applyNumberFormat="1" applyFont="1" applyBorder="1" applyAlignment="1">
      <alignment horizontal="center"/>
    </xf>
    <xf numFmtId="167" fontId="4" fillId="0" borderId="0" xfId="0" applyNumberFormat="1" applyFont="1" applyBorder="1" applyAlignment="1">
      <alignment horizontal="right"/>
    </xf>
    <xf numFmtId="174" fontId="4" fillId="0" borderId="0" xfId="2" applyNumberFormat="1" applyFont="1" applyBorder="1" applyAlignment="1">
      <alignment horizontal="right"/>
    </xf>
    <xf numFmtId="173" fontId="4" fillId="9" borderId="0" xfId="7" applyNumberFormat="1" applyFont="1" applyFill="1" applyBorder="1" applyAlignment="1">
      <alignment horizontal="right"/>
    </xf>
    <xf numFmtId="169" fontId="4" fillId="0" borderId="0" xfId="0" applyNumberFormat="1" applyFont="1" applyBorder="1" applyAlignment="1">
      <alignment horizontal="right"/>
    </xf>
    <xf numFmtId="173" fontId="4" fillId="9" borderId="0" xfId="4" applyNumberFormat="1" applyFont="1" applyFill="1" applyBorder="1" applyAlignment="1">
      <alignment horizontal="right"/>
    </xf>
    <xf numFmtId="15" fontId="4" fillId="0" borderId="0" xfId="0" applyNumberFormat="1" applyFont="1" applyBorder="1" applyAlignment="1">
      <alignment horizontal="center"/>
    </xf>
    <xf numFmtId="173" fontId="4" fillId="0" borderId="0" xfId="0" applyNumberFormat="1" applyFont="1" applyBorder="1" applyAlignment="1">
      <alignment horizontal="right"/>
    </xf>
    <xf numFmtId="0" fontId="4" fillId="0" borderId="9" xfId="0" applyFont="1" applyBorder="1"/>
    <xf numFmtId="0" fontId="4" fillId="0" borderId="4" xfId="0" applyFont="1" applyBorder="1"/>
    <xf numFmtId="0" fontId="4" fillId="0" borderId="4" xfId="0" applyFont="1" applyBorder="1" applyAlignment="1">
      <alignment horizontal="center"/>
    </xf>
    <xf numFmtId="0" fontId="4" fillId="0" borderId="10" xfId="0" applyFont="1" applyBorder="1"/>
    <xf numFmtId="0" fontId="4" fillId="0" borderId="4" xfId="0" applyFont="1" applyBorder="1" applyAlignment="1">
      <alignment horizontal="right"/>
    </xf>
    <xf numFmtId="165" fontId="13" fillId="0" borderId="2" xfId="0" applyNumberFormat="1" applyFont="1" applyFill="1" applyBorder="1" applyAlignment="1">
      <alignment horizontal="center" vertical="center"/>
    </xf>
    <xf numFmtId="0" fontId="2" fillId="2" borderId="0" xfId="0" applyFont="1" applyFill="1" applyBorder="1" applyAlignment="1">
      <alignment horizontal="left" vertical="center" wrapText="1"/>
    </xf>
    <xf numFmtId="165" fontId="14" fillId="0" borderId="2" xfId="0" applyNumberFormat="1" applyFont="1" applyFill="1" applyBorder="1" applyAlignment="1">
      <alignment horizontal="left" vertical="center"/>
    </xf>
    <xf numFmtId="165" fontId="14" fillId="0" borderId="0" xfId="0" applyNumberFormat="1" applyFont="1" applyFill="1" applyBorder="1" applyAlignment="1">
      <alignment horizontal="left" vertical="center"/>
    </xf>
    <xf numFmtId="1" fontId="13" fillId="0" borderId="2" xfId="2" applyNumberFormat="1" applyFont="1" applyFill="1" applyBorder="1" applyAlignment="1">
      <alignment horizontal="center" vertical="center"/>
    </xf>
    <xf numFmtId="165" fontId="13" fillId="0" borderId="0" xfId="0" applyNumberFormat="1" applyFont="1" applyFill="1" applyBorder="1" applyAlignment="1">
      <alignment horizontal="center" vertical="center"/>
    </xf>
    <xf numFmtId="165" fontId="6" fillId="0" borderId="0" xfId="0" applyNumberFormat="1" applyFont="1" applyFill="1" applyBorder="1" applyAlignment="1">
      <alignment horizontal="center" vertical="center"/>
    </xf>
    <xf numFmtId="165" fontId="14" fillId="3" borderId="1" xfId="0" applyNumberFormat="1" applyFont="1" applyFill="1" applyBorder="1" applyAlignment="1">
      <alignment horizontal="center" vertical="center"/>
    </xf>
    <xf numFmtId="175" fontId="13" fillId="0" borderId="2" xfId="0" applyNumberFormat="1" applyFont="1" applyFill="1" applyBorder="1" applyAlignment="1">
      <alignment horizontal="center" vertical="center"/>
    </xf>
    <xf numFmtId="175" fontId="14" fillId="3" borderId="1" xfId="0" applyNumberFormat="1" applyFont="1" applyFill="1" applyBorder="1" applyAlignment="1">
      <alignment horizontal="center" vertical="center"/>
    </xf>
    <xf numFmtId="175" fontId="6" fillId="0" borderId="0" xfId="0" applyNumberFormat="1" applyFont="1" applyFill="1" applyBorder="1" applyAlignment="1">
      <alignment horizontal="center" vertical="center"/>
    </xf>
    <xf numFmtId="165" fontId="13" fillId="0" borderId="0" xfId="0" applyNumberFormat="1" applyFont="1" applyFill="1" applyBorder="1" applyAlignment="1">
      <alignment horizontal="left" vertical="center"/>
    </xf>
    <xf numFmtId="1" fontId="13" fillId="0" borderId="0" xfId="2" applyNumberFormat="1" applyFont="1" applyFill="1" applyBorder="1" applyAlignment="1">
      <alignment horizontal="center" vertical="center"/>
    </xf>
    <xf numFmtId="175" fontId="13" fillId="0" borderId="0" xfId="0" applyNumberFormat="1" applyFont="1" applyFill="1" applyBorder="1" applyAlignment="1">
      <alignment horizontal="center" vertical="center"/>
    </xf>
    <xf numFmtId="165" fontId="15" fillId="0" borderId="2" xfId="0" applyNumberFormat="1" applyFont="1" applyFill="1" applyBorder="1" applyAlignment="1">
      <alignment horizontal="left" vertical="center"/>
    </xf>
    <xf numFmtId="176" fontId="13" fillId="0" borderId="2" xfId="0" applyNumberFormat="1" applyFont="1" applyFill="1" applyBorder="1" applyAlignment="1">
      <alignment horizontal="center" vertical="center"/>
    </xf>
    <xf numFmtId="176" fontId="14" fillId="3" borderId="1" xfId="0" applyNumberFormat="1" applyFont="1" applyFill="1" applyBorder="1" applyAlignment="1">
      <alignment horizontal="center" vertical="center"/>
    </xf>
    <xf numFmtId="176" fontId="6" fillId="0" borderId="0" xfId="0" applyNumberFormat="1" applyFont="1" applyFill="1" applyBorder="1" applyAlignment="1">
      <alignment horizontal="center" vertical="center"/>
    </xf>
    <xf numFmtId="170" fontId="13" fillId="0" borderId="2" xfId="1" applyNumberFormat="1" applyFont="1" applyFill="1" applyBorder="1" applyAlignment="1">
      <alignment horizontal="center" vertical="center"/>
    </xf>
    <xf numFmtId="170" fontId="14" fillId="3" borderId="1" xfId="1" applyNumberFormat="1" applyFont="1" applyFill="1" applyBorder="1" applyAlignment="1">
      <alignment horizontal="center" vertical="center"/>
    </xf>
    <xf numFmtId="170" fontId="6" fillId="0" borderId="0" xfId="1" applyNumberFormat="1" applyFont="1" applyFill="1" applyBorder="1" applyAlignment="1">
      <alignment horizontal="center" vertical="center"/>
    </xf>
    <xf numFmtId="170" fontId="13" fillId="0" borderId="0" xfId="1" applyNumberFormat="1" applyFont="1" applyFill="1" applyBorder="1" applyAlignment="1">
      <alignment horizontal="center" vertical="center"/>
    </xf>
    <xf numFmtId="176" fontId="13" fillId="0" borderId="0" xfId="0" applyNumberFormat="1" applyFont="1" applyFill="1" applyBorder="1" applyAlignment="1">
      <alignment horizontal="center" vertical="center"/>
    </xf>
    <xf numFmtId="0" fontId="0" fillId="0" borderId="0" xfId="0" applyAlignment="1">
      <alignment horizontal="left"/>
    </xf>
    <xf numFmtId="0" fontId="16" fillId="0" borderId="0" xfId="0" applyFont="1"/>
    <xf numFmtId="0" fontId="16" fillId="0" borderId="0" xfId="0" applyFont="1" applyAlignment="1">
      <alignment horizontal="center"/>
    </xf>
    <xf numFmtId="3" fontId="14" fillId="0" borderId="0" xfId="0" applyNumberFormat="1" applyFont="1" applyFill="1" applyBorder="1" applyAlignment="1">
      <alignment horizontal="center" vertical="center"/>
    </xf>
    <xf numFmtId="0" fontId="17" fillId="0" borderId="0" xfId="0" applyFont="1"/>
    <xf numFmtId="14" fontId="17" fillId="6" borderId="0" xfId="3" applyNumberFormat="1" applyFont="1" applyFill="1"/>
    <xf numFmtId="177" fontId="17" fillId="6" borderId="0" xfId="3" applyNumberFormat="1" applyFont="1" applyFill="1" applyAlignment="1">
      <alignment horizontal="center"/>
    </xf>
    <xf numFmtId="14" fontId="17" fillId="11" borderId="0" xfId="3" applyNumberFormat="1" applyFont="1" applyFill="1"/>
    <xf numFmtId="177" fontId="17" fillId="11" borderId="0" xfId="3" applyNumberFormat="1" applyFont="1" applyFill="1" applyAlignment="1">
      <alignment horizontal="center"/>
    </xf>
    <xf numFmtId="0" fontId="17" fillId="0" borderId="0" xfId="0" applyFont="1" applyAlignment="1">
      <alignment horizontal="center"/>
    </xf>
    <xf numFmtId="14" fontId="17" fillId="6" borderId="0" xfId="3" applyNumberFormat="1" applyFont="1" applyFill="1" applyAlignment="1">
      <alignment horizontal="center"/>
    </xf>
    <xf numFmtId="14" fontId="17" fillId="11" borderId="0" xfId="3" applyNumberFormat="1" applyFont="1" applyFill="1" applyAlignment="1">
      <alignment horizontal="center"/>
    </xf>
    <xf numFmtId="0" fontId="17" fillId="0" borderId="0" xfId="0" applyFont="1" applyFill="1"/>
    <xf numFmtId="0" fontId="18" fillId="0" borderId="0" xfId="0" applyFont="1"/>
    <xf numFmtId="165" fontId="17" fillId="6" borderId="0" xfId="4" applyNumberFormat="1" applyFont="1" applyFill="1" applyAlignment="1">
      <alignment horizontal="center"/>
    </xf>
    <xf numFmtId="165" fontId="17" fillId="11" borderId="0" xfId="4" applyNumberFormat="1" applyFont="1" applyFill="1" applyAlignment="1">
      <alignment horizontal="center"/>
    </xf>
    <xf numFmtId="0" fontId="19" fillId="7" borderId="0" xfId="3" applyFont="1" applyFill="1" applyAlignment="1">
      <alignment vertical="center" wrapText="1"/>
    </xf>
    <xf numFmtId="177" fontId="19" fillId="7" borderId="0" xfId="3" applyNumberFormat="1" applyFont="1" applyFill="1" applyAlignment="1">
      <alignment horizontal="center" vertical="center" wrapText="1"/>
    </xf>
    <xf numFmtId="0" fontId="19" fillId="7" borderId="0" xfId="3" applyFont="1" applyFill="1" applyAlignment="1">
      <alignment horizontal="center" vertical="center" wrapText="1"/>
    </xf>
    <xf numFmtId="0" fontId="17" fillId="0" borderId="0" xfId="0" applyFont="1" applyAlignment="1">
      <alignment wrapText="1"/>
    </xf>
    <xf numFmtId="165" fontId="17" fillId="0" borderId="0" xfId="0" applyNumberFormat="1" applyFont="1" applyAlignment="1">
      <alignment horizontal="center"/>
    </xf>
    <xf numFmtId="169" fontId="17" fillId="0" borderId="0" xfId="0" applyNumberFormat="1" applyFont="1" applyAlignment="1">
      <alignment horizontal="center"/>
    </xf>
    <xf numFmtId="9" fontId="17" fillId="0" borderId="0" xfId="0" applyNumberFormat="1" applyFont="1" applyAlignment="1">
      <alignment horizontal="center"/>
    </xf>
    <xf numFmtId="49" fontId="13" fillId="0" borderId="2" xfId="1" applyNumberFormat="1" applyFont="1" applyFill="1" applyBorder="1" applyAlignment="1">
      <alignment horizontal="center" vertical="center"/>
    </xf>
    <xf numFmtId="49" fontId="14" fillId="3" borderId="1" xfId="1" applyNumberFormat="1" applyFont="1" applyFill="1" applyBorder="1" applyAlignment="1">
      <alignment horizontal="center" vertical="center"/>
    </xf>
    <xf numFmtId="165" fontId="6" fillId="0" borderId="0" xfId="0" applyNumberFormat="1" applyFont="1" applyFill="1" applyBorder="1" applyAlignment="1">
      <alignment horizontal="left" vertical="center"/>
    </xf>
    <xf numFmtId="165" fontId="13" fillId="0" borderId="2" xfId="0" applyNumberFormat="1" applyFont="1" applyFill="1" applyBorder="1" applyAlignment="1">
      <alignment horizontal="left" vertical="center"/>
    </xf>
    <xf numFmtId="49" fontId="13" fillId="0" borderId="2" xfId="1" applyNumberFormat="1" applyFont="1" applyFill="1" applyBorder="1" applyAlignment="1">
      <alignment horizontal="left" vertical="center"/>
    </xf>
    <xf numFmtId="49" fontId="14" fillId="3" borderId="1" xfId="1" applyNumberFormat="1" applyFont="1" applyFill="1" applyBorder="1" applyAlignment="1">
      <alignment horizontal="left" vertical="center"/>
    </xf>
    <xf numFmtId="170" fontId="6" fillId="0" borderId="0" xfId="1" applyNumberFormat="1" applyFont="1" applyFill="1" applyBorder="1" applyAlignment="1">
      <alignment horizontal="left" vertical="center"/>
    </xf>
    <xf numFmtId="170" fontId="13" fillId="0" borderId="2" xfId="1" applyNumberFormat="1" applyFont="1" applyFill="1" applyBorder="1" applyAlignment="1">
      <alignment horizontal="left" vertical="center"/>
    </xf>
    <xf numFmtId="170" fontId="14" fillId="3" borderId="1" xfId="1" applyNumberFormat="1" applyFont="1" applyFill="1" applyBorder="1" applyAlignment="1">
      <alignment horizontal="left" vertical="center"/>
    </xf>
    <xf numFmtId="49" fontId="21" fillId="0" borderId="2" xfId="1" applyNumberFormat="1" applyFont="1" applyFill="1" applyBorder="1" applyAlignment="1">
      <alignment horizontal="center" vertical="center"/>
    </xf>
    <xf numFmtId="0" fontId="0" fillId="0" borderId="0" xfId="0"/>
    <xf numFmtId="0" fontId="22" fillId="7" borderId="0" xfId="3" applyFont="1" applyFill="1" applyAlignment="1">
      <alignment horizontal="center" vertical="center" wrapText="1"/>
    </xf>
    <xf numFmtId="0" fontId="22" fillId="7" borderId="0" xfId="3" applyFont="1" applyFill="1" applyAlignment="1">
      <alignment vertical="center" wrapText="1"/>
    </xf>
    <xf numFmtId="0" fontId="23" fillId="4" borderId="0" xfId="3" applyFont="1" applyFill="1" applyAlignment="1">
      <alignment wrapText="1"/>
    </xf>
    <xf numFmtId="0" fontId="23" fillId="16" borderId="0" xfId="3" applyFont="1" applyFill="1" applyAlignment="1">
      <alignment horizontal="center"/>
    </xf>
    <xf numFmtId="0" fontId="23" fillId="16" borderId="0" xfId="3" applyFont="1" applyFill="1"/>
    <xf numFmtId="176" fontId="23" fillId="16" borderId="0" xfId="4" applyNumberFormat="1" applyFont="1" applyFill="1" applyAlignment="1">
      <alignment horizontal="center"/>
    </xf>
    <xf numFmtId="0" fontId="23" fillId="4" borderId="0" xfId="3" applyFont="1" applyFill="1"/>
    <xf numFmtId="14" fontId="23" fillId="16" borderId="0" xfId="3" applyNumberFormat="1" applyFont="1" applyFill="1" applyAlignment="1">
      <alignment horizontal="center"/>
    </xf>
    <xf numFmtId="0" fontId="23" fillId="5" borderId="0" xfId="3" applyFont="1" applyFill="1" applyAlignment="1">
      <alignment horizontal="center"/>
    </xf>
    <xf numFmtId="0" fontId="23" fillId="5" borderId="0" xfId="3" applyFont="1" applyFill="1"/>
    <xf numFmtId="14" fontId="23" fillId="5" borderId="0" xfId="3" applyNumberFormat="1" applyFont="1" applyFill="1" applyAlignment="1">
      <alignment horizontal="center"/>
    </xf>
    <xf numFmtId="176" fontId="23" fillId="5" borderId="0" xfId="3" applyNumberFormat="1" applyFont="1" applyFill="1" applyAlignment="1">
      <alignment horizontal="center"/>
    </xf>
    <xf numFmtId="176" fontId="23" fillId="5" borderId="0" xfId="4" applyNumberFormat="1" applyFont="1" applyFill="1" applyAlignment="1">
      <alignment horizontal="center"/>
    </xf>
    <xf numFmtId="0" fontId="24" fillId="7" borderId="0" xfId="3" applyFont="1" applyFill="1" applyAlignment="1">
      <alignment vertical="center" wrapText="1"/>
    </xf>
    <xf numFmtId="177" fontId="24" fillId="7" borderId="0" xfId="3" applyNumberFormat="1" applyFont="1" applyFill="1" applyAlignment="1">
      <alignment horizontal="center" vertical="center" wrapText="1"/>
    </xf>
    <xf numFmtId="0" fontId="24" fillId="7" borderId="0" xfId="3" applyFont="1" applyFill="1" applyAlignment="1">
      <alignment horizontal="center" vertical="center" wrapText="1"/>
    </xf>
    <xf numFmtId="0" fontId="25" fillId="0" borderId="0" xfId="0" applyFont="1"/>
    <xf numFmtId="0" fontId="23" fillId="6" borderId="0" xfId="3" applyFont="1" applyFill="1"/>
    <xf numFmtId="14" fontId="23" fillId="6" borderId="0" xfId="3" applyNumberFormat="1" applyFont="1" applyFill="1"/>
    <xf numFmtId="177" fontId="23" fillId="6" borderId="0" xfId="3" applyNumberFormat="1" applyFont="1" applyFill="1" applyAlignment="1">
      <alignment horizontal="center"/>
    </xf>
    <xf numFmtId="0" fontId="23" fillId="6" borderId="0" xfId="3" applyFont="1" applyFill="1" applyAlignment="1">
      <alignment horizontal="center"/>
    </xf>
    <xf numFmtId="168" fontId="23" fillId="6" borderId="0" xfId="4" applyNumberFormat="1" applyFont="1" applyFill="1" applyAlignment="1">
      <alignment horizontal="center"/>
    </xf>
    <xf numFmtId="3" fontId="23" fillId="6" borderId="0" xfId="4" applyNumberFormat="1" applyFont="1" applyFill="1" applyAlignment="1">
      <alignment horizontal="center"/>
    </xf>
    <xf numFmtId="165" fontId="23" fillId="6" borderId="0" xfId="4" applyNumberFormat="1" applyFont="1" applyFill="1" applyAlignment="1">
      <alignment horizontal="center"/>
    </xf>
    <xf numFmtId="3" fontId="23" fillId="6" borderId="0" xfId="3" applyNumberFormat="1" applyFont="1" applyFill="1" applyAlignment="1">
      <alignment horizontal="center"/>
    </xf>
    <xf numFmtId="0" fontId="23" fillId="0" borderId="0" xfId="0" applyFont="1"/>
    <xf numFmtId="0" fontId="23" fillId="11" borderId="0" xfId="3" applyFont="1" applyFill="1"/>
    <xf numFmtId="14" fontId="23" fillId="11" borderId="0" xfId="3" applyNumberFormat="1" applyFont="1" applyFill="1"/>
    <xf numFmtId="177" fontId="23" fillId="11" borderId="0" xfId="3" applyNumberFormat="1" applyFont="1" applyFill="1" applyAlignment="1">
      <alignment horizontal="center"/>
    </xf>
    <xf numFmtId="0" fontId="23" fillId="11" borderId="0" xfId="3" applyFont="1" applyFill="1" applyAlignment="1">
      <alignment horizontal="center"/>
    </xf>
    <xf numFmtId="168" fontId="23" fillId="11" borderId="0" xfId="4" applyNumberFormat="1" applyFont="1" applyFill="1" applyAlignment="1">
      <alignment horizontal="center"/>
    </xf>
    <xf numFmtId="3" fontId="23" fillId="11" borderId="0" xfId="4" applyNumberFormat="1" applyFont="1" applyFill="1" applyAlignment="1">
      <alignment horizontal="center"/>
    </xf>
    <xf numFmtId="165" fontId="23" fillId="11" borderId="0" xfId="4" applyNumberFormat="1" applyFont="1" applyFill="1" applyAlignment="1">
      <alignment horizontal="center"/>
    </xf>
    <xf numFmtId="3" fontId="23" fillId="11" borderId="0" xfId="3" applyNumberFormat="1" applyFont="1" applyFill="1" applyAlignment="1">
      <alignment horizontal="center"/>
    </xf>
    <xf numFmtId="177" fontId="26" fillId="0" borderId="12" xfId="0" applyNumberFormat="1" applyFont="1" applyBorder="1" applyAlignment="1">
      <alignment horizontal="right" vertical="center" wrapText="1"/>
    </xf>
    <xf numFmtId="4" fontId="26" fillId="0" borderId="12" xfId="0" applyNumberFormat="1" applyFont="1" applyBorder="1" applyAlignment="1">
      <alignment horizontal="center" vertical="center" wrapText="1"/>
    </xf>
    <xf numFmtId="177" fontId="23" fillId="0" borderId="0" xfId="0" applyNumberFormat="1" applyFont="1"/>
    <xf numFmtId="49" fontId="23" fillId="0" borderId="0" xfId="0" applyNumberFormat="1" applyFont="1"/>
    <xf numFmtId="0" fontId="23" fillId="0" borderId="0" xfId="0" applyFont="1" applyAlignment="1">
      <alignment horizontal="center"/>
    </xf>
    <xf numFmtId="170" fontId="14" fillId="0" borderId="2" xfId="1" applyNumberFormat="1" applyFont="1" applyFill="1" applyBorder="1" applyAlignment="1">
      <alignment horizontal="left" vertical="center"/>
    </xf>
    <xf numFmtId="170" fontId="14" fillId="0" borderId="2" xfId="1" applyNumberFormat="1" applyFont="1" applyFill="1" applyBorder="1" applyAlignment="1">
      <alignment horizontal="center" vertical="center"/>
    </xf>
    <xf numFmtId="0" fontId="18" fillId="0" borderId="0" xfId="0" applyFont="1" applyAlignment="1">
      <alignment horizontal="left"/>
    </xf>
    <xf numFmtId="0" fontId="16" fillId="0" borderId="0" xfId="0" applyFont="1" applyAlignment="1">
      <alignment horizontal="left"/>
    </xf>
    <xf numFmtId="0" fontId="16" fillId="0" borderId="5" xfId="0" applyFont="1" applyBorder="1"/>
    <xf numFmtId="0" fontId="18" fillId="0" borderId="3" xfId="0" applyFont="1" applyBorder="1" applyAlignment="1">
      <alignment horizontal="left"/>
    </xf>
    <xf numFmtId="0" fontId="16" fillId="0" borderId="3" xfId="0" applyFont="1" applyBorder="1" applyAlignment="1">
      <alignment horizontal="center"/>
    </xf>
    <xf numFmtId="0" fontId="16" fillId="0" borderId="3" xfId="0" applyFont="1" applyBorder="1" applyAlignment="1">
      <alignment horizontal="left"/>
    </xf>
    <xf numFmtId="0" fontId="16" fillId="0" borderId="6" xfId="0" applyFont="1" applyBorder="1"/>
    <xf numFmtId="0" fontId="18" fillId="0" borderId="7" xfId="0" applyFont="1" applyBorder="1" applyAlignment="1">
      <alignment vertical="center" wrapText="1"/>
    </xf>
    <xf numFmtId="0" fontId="18" fillId="0" borderId="8" xfId="0" applyFont="1" applyBorder="1" applyAlignment="1">
      <alignment vertical="center" wrapText="1"/>
    </xf>
    <xf numFmtId="0" fontId="18" fillId="0" borderId="0" xfId="0" applyFont="1" applyAlignment="1">
      <alignment vertical="center" wrapText="1"/>
    </xf>
    <xf numFmtId="0" fontId="16" fillId="0" borderId="7" xfId="0" applyFont="1" applyFill="1" applyBorder="1"/>
    <xf numFmtId="0" fontId="16" fillId="0" borderId="8" xfId="0" applyFont="1" applyFill="1" applyBorder="1"/>
    <xf numFmtId="0" fontId="16" fillId="0" borderId="0" xfId="0" applyFont="1" applyFill="1"/>
    <xf numFmtId="0" fontId="16" fillId="0" borderId="7" xfId="0" applyFont="1" applyBorder="1"/>
    <xf numFmtId="0" fontId="16" fillId="0" borderId="8" xfId="0" applyFont="1" applyBorder="1"/>
    <xf numFmtId="0" fontId="13" fillId="0" borderId="7" xfId="0" applyFont="1" applyBorder="1"/>
    <xf numFmtId="0" fontId="13" fillId="0" borderId="8" xfId="0" applyFont="1" applyBorder="1"/>
    <xf numFmtId="0" fontId="13" fillId="0" borderId="0" xfId="0" applyFont="1"/>
    <xf numFmtId="0" fontId="16" fillId="0" borderId="9" xfId="0" applyFont="1" applyBorder="1"/>
    <xf numFmtId="0" fontId="18" fillId="0" borderId="4" xfId="0" applyFont="1" applyBorder="1" applyAlignment="1">
      <alignment horizontal="left"/>
    </xf>
    <xf numFmtId="170" fontId="16" fillId="0" borderId="4" xfId="0" applyNumberFormat="1" applyFont="1" applyBorder="1" applyAlignment="1">
      <alignment horizontal="center"/>
    </xf>
    <xf numFmtId="170" fontId="16" fillId="0" borderId="4" xfId="0" applyNumberFormat="1" applyFont="1" applyBorder="1" applyAlignment="1">
      <alignment horizontal="left"/>
    </xf>
    <xf numFmtId="0" fontId="16" fillId="0" borderId="10" xfId="0" applyFont="1" applyBorder="1"/>
    <xf numFmtId="170" fontId="16" fillId="0" borderId="0" xfId="0" applyNumberFormat="1" applyFont="1" applyAlignment="1">
      <alignment horizontal="center"/>
    </xf>
    <xf numFmtId="170" fontId="16" fillId="0" borderId="0" xfId="0" applyNumberFormat="1" applyFont="1" applyAlignment="1">
      <alignment horizontal="left"/>
    </xf>
    <xf numFmtId="0" fontId="16" fillId="0" borderId="0" xfId="0" applyFont="1" applyBorder="1"/>
    <xf numFmtId="0" fontId="16" fillId="17" borderId="0" xfId="0" applyFont="1" applyFill="1"/>
    <xf numFmtId="10" fontId="17" fillId="0" borderId="0" xfId="0" applyNumberFormat="1" applyFont="1" applyAlignment="1">
      <alignment horizontal="center"/>
    </xf>
    <xf numFmtId="179" fontId="4" fillId="9" borderId="0" xfId="4" applyNumberFormat="1" applyFont="1" applyFill="1" applyBorder="1" applyAlignment="1">
      <alignment horizontal="right"/>
    </xf>
    <xf numFmtId="179" fontId="4" fillId="9" borderId="0" xfId="7" applyNumberFormat="1" applyFont="1" applyFill="1" applyBorder="1" applyAlignment="1">
      <alignment horizontal="right"/>
    </xf>
    <xf numFmtId="180" fontId="23" fillId="11" borderId="0" xfId="4" applyNumberFormat="1" applyFont="1" applyFill="1" applyAlignment="1">
      <alignment horizontal="center"/>
    </xf>
    <xf numFmtId="181" fontId="23" fillId="6" borderId="0" xfId="4" applyNumberFormat="1" applyFont="1" applyFill="1" applyAlignment="1">
      <alignment horizontal="center"/>
    </xf>
    <xf numFmtId="182" fontId="23" fillId="6" borderId="0" xfId="3" applyNumberFormat="1" applyFont="1" applyFill="1" applyAlignment="1">
      <alignment horizontal="center"/>
    </xf>
    <xf numFmtId="183" fontId="23" fillId="6" borderId="0" xfId="3" applyNumberFormat="1" applyFont="1" applyFill="1" applyAlignment="1">
      <alignment horizontal="center"/>
    </xf>
    <xf numFmtId="165" fontId="6" fillId="0" borderId="14" xfId="0" applyNumberFormat="1" applyFont="1" applyFill="1" applyBorder="1" applyAlignment="1">
      <alignment horizontal="center" vertical="center"/>
    </xf>
    <xf numFmtId="175" fontId="6" fillId="0" borderId="14" xfId="0" applyNumberFormat="1" applyFont="1" applyFill="1" applyBorder="1" applyAlignment="1">
      <alignment horizontal="center" vertical="center"/>
    </xf>
    <xf numFmtId="175" fontId="13" fillId="17" borderId="13" xfId="0" applyNumberFormat="1" applyFont="1" applyFill="1" applyBorder="1" applyAlignment="1">
      <alignment horizontal="center" vertical="center"/>
    </xf>
    <xf numFmtId="175" fontId="13" fillId="18" borderId="13" xfId="0" applyNumberFormat="1" applyFont="1" applyFill="1" applyBorder="1" applyAlignment="1">
      <alignment horizontal="center" vertical="center"/>
    </xf>
    <xf numFmtId="175" fontId="13" fillId="10" borderId="13" xfId="0" applyNumberFormat="1" applyFont="1" applyFill="1" applyBorder="1" applyAlignment="1">
      <alignment horizontal="center" vertical="center"/>
    </xf>
    <xf numFmtId="165" fontId="20" fillId="0" borderId="2" xfId="0" applyNumberFormat="1" applyFont="1" applyFill="1" applyBorder="1" applyAlignment="1">
      <alignment horizontal="center" vertical="center"/>
    </xf>
    <xf numFmtId="0" fontId="24" fillId="8" borderId="0" xfId="3" applyFont="1" applyFill="1" applyAlignment="1">
      <alignment vertical="center"/>
    </xf>
    <xf numFmtId="0" fontId="24" fillId="8" borderId="0" xfId="3" applyFont="1" applyFill="1" applyAlignment="1">
      <alignment vertical="center" wrapText="1"/>
    </xf>
    <xf numFmtId="177" fontId="24" fillId="8" borderId="0" xfId="3" applyNumberFormat="1" applyFont="1" applyFill="1" applyAlignment="1">
      <alignment horizontal="center" vertical="center" wrapText="1"/>
    </xf>
    <xf numFmtId="0" fontId="24" fillId="8" borderId="0" xfId="3" applyFont="1" applyFill="1" applyAlignment="1">
      <alignment horizontal="center" vertical="center" wrapText="1"/>
    </xf>
    <xf numFmtId="169" fontId="16" fillId="0" borderId="0" xfId="0" applyNumberFormat="1" applyFont="1" applyAlignment="1">
      <alignment horizontal="center"/>
    </xf>
    <xf numFmtId="165" fontId="14" fillId="0" borderId="14" xfId="0" applyNumberFormat="1" applyFont="1" applyFill="1" applyBorder="1" applyAlignment="1">
      <alignment horizontal="left" vertical="center"/>
    </xf>
    <xf numFmtId="170" fontId="13" fillId="0" borderId="13" xfId="1" applyNumberFormat="1" applyFont="1" applyFill="1" applyBorder="1" applyAlignment="1">
      <alignment horizontal="center" vertical="center"/>
    </xf>
    <xf numFmtId="0" fontId="28" fillId="2" borderId="0" xfId="0" applyFont="1" applyFill="1" applyBorder="1" applyAlignment="1">
      <alignment horizontal="center" vertical="center" wrapText="1"/>
    </xf>
    <xf numFmtId="169" fontId="16" fillId="0" borderId="16" xfId="0" applyNumberFormat="1" applyFont="1" applyBorder="1" applyAlignment="1">
      <alignment horizontal="center"/>
    </xf>
    <xf numFmtId="0" fontId="16" fillId="0" borderId="18" xfId="0" applyFont="1" applyBorder="1"/>
    <xf numFmtId="0" fontId="16" fillId="0" borderId="19" xfId="0" applyFont="1" applyBorder="1"/>
    <xf numFmtId="169" fontId="16" fillId="0" borderId="0" xfId="0" applyNumberFormat="1" applyFont="1" applyBorder="1" applyAlignment="1">
      <alignment horizontal="center"/>
    </xf>
    <xf numFmtId="169" fontId="16" fillId="0" borderId="21" xfId="0" applyNumberFormat="1" applyFont="1" applyBorder="1" applyAlignment="1">
      <alignment horizontal="center"/>
    </xf>
    <xf numFmtId="0" fontId="16" fillId="0" borderId="15" xfId="0" applyFont="1" applyBorder="1"/>
    <xf numFmtId="0" fontId="18" fillId="0" borderId="16" xfId="0" applyFont="1" applyBorder="1" applyAlignment="1">
      <alignment horizontal="left"/>
    </xf>
    <xf numFmtId="0" fontId="16" fillId="0" borderId="16" xfId="0" applyFont="1" applyBorder="1"/>
    <xf numFmtId="0" fontId="16" fillId="0" borderId="17" xfId="0" applyFont="1" applyBorder="1"/>
    <xf numFmtId="0" fontId="18" fillId="0" borderId="18" xfId="0" applyFont="1" applyBorder="1" applyAlignment="1">
      <alignment vertical="center" wrapText="1"/>
    </xf>
    <xf numFmtId="0" fontId="18" fillId="0" borderId="19" xfId="0" applyFont="1" applyBorder="1" applyAlignment="1">
      <alignment vertical="center" wrapText="1"/>
    </xf>
    <xf numFmtId="0" fontId="16" fillId="0" borderId="18" xfId="0" applyFont="1" applyFill="1" applyBorder="1"/>
    <xf numFmtId="0" fontId="16" fillId="0" borderId="19" xfId="0" applyFont="1" applyFill="1" applyBorder="1"/>
    <xf numFmtId="0" fontId="13" fillId="0" borderId="18" xfId="0" applyFont="1" applyBorder="1"/>
    <xf numFmtId="0" fontId="13" fillId="0" borderId="19" xfId="0" applyFont="1" applyBorder="1"/>
    <xf numFmtId="0" fontId="16" fillId="0" borderId="20" xfId="0" applyFont="1" applyBorder="1"/>
    <xf numFmtId="0" fontId="18" fillId="0" borderId="21" xfId="0" applyFont="1" applyBorder="1" applyAlignment="1">
      <alignment horizontal="left"/>
    </xf>
    <xf numFmtId="0" fontId="16" fillId="0" borderId="21" xfId="0" applyFont="1" applyBorder="1"/>
    <xf numFmtId="0" fontId="16" fillId="0" borderId="22" xfId="0" applyFont="1" applyBorder="1"/>
    <xf numFmtId="165" fontId="14" fillId="19" borderId="1" xfId="0" applyNumberFormat="1" applyFont="1" applyFill="1" applyBorder="1" applyAlignment="1">
      <alignment horizontal="center" vertical="center"/>
    </xf>
    <xf numFmtId="170" fontId="14" fillId="19" borderId="1" xfId="1" applyNumberFormat="1" applyFont="1" applyFill="1" applyBorder="1" applyAlignment="1">
      <alignment horizontal="center" vertical="center"/>
    </xf>
    <xf numFmtId="176" fontId="14" fillId="19" borderId="1" xfId="0" applyNumberFormat="1" applyFont="1" applyFill="1" applyBorder="1" applyAlignment="1">
      <alignment horizontal="center" vertical="center"/>
    </xf>
    <xf numFmtId="175" fontId="14" fillId="19" borderId="1" xfId="0" applyNumberFormat="1" applyFont="1" applyFill="1" applyBorder="1" applyAlignment="1">
      <alignment horizontal="center" vertical="center"/>
    </xf>
    <xf numFmtId="165" fontId="31" fillId="0" borderId="2" xfId="0" applyNumberFormat="1" applyFont="1" applyFill="1" applyBorder="1" applyAlignment="1">
      <alignment horizontal="center" vertical="center"/>
    </xf>
    <xf numFmtId="165" fontId="33" fillId="19" borderId="1" xfId="0" applyNumberFormat="1" applyFont="1" applyFill="1" applyBorder="1" applyAlignment="1">
      <alignment horizontal="center" vertical="center"/>
    </xf>
    <xf numFmtId="165" fontId="33" fillId="0" borderId="0" xfId="0" applyNumberFormat="1" applyFont="1" applyFill="1" applyBorder="1" applyAlignment="1">
      <alignment horizontal="center" vertical="center"/>
    </xf>
    <xf numFmtId="170" fontId="31" fillId="0" borderId="2" xfId="1" applyNumberFormat="1" applyFont="1" applyFill="1" applyBorder="1" applyAlignment="1">
      <alignment horizontal="center" vertical="center"/>
    </xf>
    <xf numFmtId="170" fontId="33" fillId="19" borderId="1" xfId="1" applyNumberFormat="1" applyFont="1" applyFill="1" applyBorder="1" applyAlignment="1">
      <alignment horizontal="center" vertical="center"/>
    </xf>
    <xf numFmtId="170" fontId="33" fillId="0" borderId="0" xfId="1" applyNumberFormat="1" applyFont="1" applyFill="1" applyBorder="1" applyAlignment="1">
      <alignment horizontal="center" vertical="center"/>
    </xf>
    <xf numFmtId="170" fontId="33" fillId="3" borderId="1" xfId="1" applyNumberFormat="1" applyFont="1" applyFill="1" applyBorder="1" applyAlignment="1">
      <alignment horizontal="center" vertical="center"/>
    </xf>
    <xf numFmtId="165" fontId="14" fillId="10" borderId="0" xfId="0" applyNumberFormat="1" applyFont="1" applyFill="1" applyBorder="1" applyAlignment="1">
      <alignment horizontal="left" vertical="center"/>
    </xf>
    <xf numFmtId="165" fontId="13" fillId="10" borderId="0" xfId="0" applyNumberFormat="1" applyFont="1" applyFill="1" applyBorder="1" applyAlignment="1">
      <alignment horizontal="center" vertical="center"/>
    </xf>
    <xf numFmtId="1" fontId="13" fillId="10" borderId="0" xfId="2" applyNumberFormat="1" applyFont="1" applyFill="1" applyBorder="1" applyAlignment="1">
      <alignment horizontal="center" vertical="center"/>
    </xf>
    <xf numFmtId="170" fontId="13" fillId="10" borderId="0" xfId="1" applyNumberFormat="1" applyFont="1" applyFill="1" applyBorder="1" applyAlignment="1">
      <alignment horizontal="center" vertical="center"/>
    </xf>
    <xf numFmtId="176" fontId="13" fillId="10" borderId="0" xfId="0" applyNumberFormat="1" applyFont="1" applyFill="1" applyBorder="1" applyAlignment="1">
      <alignment horizontal="center" vertical="center"/>
    </xf>
    <xf numFmtId="0" fontId="18" fillId="0" borderId="0" xfId="0" applyFont="1" applyAlignment="1">
      <alignment horizontal="center"/>
    </xf>
    <xf numFmtId="0" fontId="18" fillId="0" borderId="3" xfId="0" applyFont="1" applyBorder="1" applyAlignment="1">
      <alignment horizontal="center"/>
    </xf>
    <xf numFmtId="165" fontId="14" fillId="0" borderId="14" xfId="0" applyNumberFormat="1" applyFont="1" applyFill="1" applyBorder="1" applyAlignment="1">
      <alignment horizontal="center" vertical="center"/>
    </xf>
    <xf numFmtId="165" fontId="15" fillId="0" borderId="2" xfId="0" applyNumberFormat="1" applyFont="1" applyFill="1" applyBorder="1" applyAlignment="1">
      <alignment horizontal="center" vertical="center"/>
    </xf>
    <xf numFmtId="0" fontId="18" fillId="0" borderId="4" xfId="0" applyFont="1" applyBorder="1" applyAlignment="1">
      <alignment horizontal="center"/>
    </xf>
    <xf numFmtId="3" fontId="14" fillId="0" borderId="2" xfId="0" applyNumberFormat="1" applyFont="1" applyFill="1" applyBorder="1" applyAlignment="1">
      <alignment horizontal="center" vertical="center"/>
    </xf>
    <xf numFmtId="3" fontId="14" fillId="3" borderId="1" xfId="0" applyNumberFormat="1" applyFont="1" applyFill="1" applyBorder="1" applyAlignment="1">
      <alignment horizontal="center" vertical="center"/>
    </xf>
    <xf numFmtId="3" fontId="15" fillId="0" borderId="2" xfId="0" applyNumberFormat="1" applyFont="1" applyFill="1" applyBorder="1" applyAlignment="1">
      <alignment horizontal="center" vertical="center"/>
    </xf>
    <xf numFmtId="170" fontId="14" fillId="0" borderId="0" xfId="1" applyNumberFormat="1" applyFont="1" applyFill="1" applyBorder="1" applyAlignment="1">
      <alignment horizontal="center" vertical="center"/>
    </xf>
    <xf numFmtId="170" fontId="15" fillId="0" borderId="2" xfId="1" applyNumberFormat="1" applyFont="1" applyFill="1" applyBorder="1" applyAlignment="1">
      <alignment horizontal="center" vertical="center"/>
    </xf>
    <xf numFmtId="3" fontId="0" fillId="0" borderId="0" xfId="0" applyNumberFormat="1"/>
    <xf numFmtId="3" fontId="16" fillId="0" borderId="0" xfId="0" applyNumberFormat="1" applyFont="1"/>
    <xf numFmtId="3" fontId="14" fillId="14" borderId="2" xfId="0" applyNumberFormat="1" applyFont="1" applyFill="1" applyBorder="1" applyAlignment="1">
      <alignment horizontal="center" vertical="center"/>
    </xf>
    <xf numFmtId="0" fontId="34" fillId="2" borderId="0" xfId="0" applyFont="1" applyFill="1" applyBorder="1" applyAlignment="1">
      <alignment horizontal="center" vertical="center" wrapText="1"/>
    </xf>
    <xf numFmtId="165" fontId="35" fillId="0" borderId="2" xfId="0" applyNumberFormat="1" applyFont="1" applyFill="1" applyBorder="1" applyAlignment="1">
      <alignment horizontal="center" vertical="center"/>
    </xf>
    <xf numFmtId="165" fontId="13" fillId="3" borderId="1" xfId="0" applyNumberFormat="1" applyFont="1" applyFill="1" applyBorder="1" applyAlignment="1">
      <alignment horizontal="center" vertical="center"/>
    </xf>
    <xf numFmtId="0" fontId="16" fillId="0" borderId="4" xfId="0" applyFont="1" applyBorder="1" applyAlignment="1">
      <alignment horizontal="center"/>
    </xf>
    <xf numFmtId="0" fontId="36" fillId="0" borderId="0" xfId="0" applyFont="1" applyAlignment="1">
      <alignment horizontal="center"/>
    </xf>
    <xf numFmtId="0" fontId="36" fillId="0" borderId="3" xfId="0" applyFont="1" applyBorder="1" applyAlignment="1">
      <alignment horizontal="center"/>
    </xf>
    <xf numFmtId="165" fontId="21" fillId="0" borderId="0" xfId="0" applyNumberFormat="1" applyFont="1" applyFill="1" applyBorder="1" applyAlignment="1">
      <alignment horizontal="center" vertical="center"/>
    </xf>
    <xf numFmtId="165" fontId="37" fillId="0" borderId="2" xfId="0" applyNumberFormat="1" applyFont="1" applyFill="1" applyBorder="1" applyAlignment="1">
      <alignment horizontal="center" vertical="center"/>
    </xf>
    <xf numFmtId="165" fontId="21" fillId="0" borderId="2" xfId="0" applyNumberFormat="1" applyFont="1" applyFill="1" applyBorder="1" applyAlignment="1">
      <alignment horizontal="center" vertical="center"/>
    </xf>
    <xf numFmtId="165" fontId="21" fillId="3" borderId="1" xfId="0" applyNumberFormat="1" applyFont="1" applyFill="1" applyBorder="1" applyAlignment="1">
      <alignment horizontal="center" vertical="center"/>
    </xf>
    <xf numFmtId="170" fontId="21" fillId="0" borderId="0" xfId="1" applyNumberFormat="1" applyFont="1" applyFill="1" applyBorder="1" applyAlignment="1">
      <alignment horizontal="center" vertical="center"/>
    </xf>
    <xf numFmtId="170" fontId="37" fillId="0" borderId="0" xfId="1" applyNumberFormat="1" applyFont="1" applyFill="1" applyBorder="1" applyAlignment="1">
      <alignment horizontal="center" vertical="center"/>
    </xf>
    <xf numFmtId="170" fontId="21" fillId="3" borderId="0" xfId="1" applyNumberFormat="1" applyFont="1" applyFill="1" applyBorder="1" applyAlignment="1">
      <alignment horizontal="center" vertical="center"/>
    </xf>
    <xf numFmtId="0" fontId="36" fillId="0" borderId="4" xfId="0" applyFont="1" applyBorder="1" applyAlignment="1">
      <alignment horizontal="center"/>
    </xf>
    <xf numFmtId="0" fontId="23" fillId="0" borderId="0" xfId="3" applyFont="1" applyFill="1"/>
    <xf numFmtId="14" fontId="23" fillId="0" borderId="0" xfId="3" applyNumberFormat="1" applyFont="1" applyFill="1" applyAlignment="1">
      <alignment horizontal="center"/>
    </xf>
    <xf numFmtId="176" fontId="23" fillId="0" borderId="0" xfId="4" applyNumberFormat="1" applyFont="1" applyFill="1" applyAlignment="1">
      <alignment horizontal="center"/>
    </xf>
    <xf numFmtId="176" fontId="23" fillId="0" borderId="0" xfId="0" applyNumberFormat="1" applyFont="1"/>
    <xf numFmtId="165" fontId="38" fillId="0" borderId="2" xfId="0" applyNumberFormat="1" applyFont="1" applyFill="1" applyBorder="1" applyAlignment="1">
      <alignment horizontal="left" vertical="center"/>
    </xf>
    <xf numFmtId="176" fontId="40" fillId="0" borderId="2" xfId="0" applyNumberFormat="1" applyFont="1" applyFill="1" applyBorder="1" applyAlignment="1">
      <alignment horizontal="center" vertical="center"/>
    </xf>
    <xf numFmtId="165" fontId="41" fillId="0" borderId="2" xfId="0" applyNumberFormat="1" applyFont="1" applyFill="1" applyBorder="1" applyAlignment="1">
      <alignment horizontal="left" vertical="center"/>
    </xf>
    <xf numFmtId="184" fontId="23" fillId="0" borderId="0" xfId="0" applyNumberFormat="1" applyFont="1"/>
    <xf numFmtId="9" fontId="23" fillId="0" borderId="0" xfId="0" applyNumberFormat="1" applyFont="1"/>
    <xf numFmtId="0" fontId="25" fillId="14" borderId="23" xfId="3" applyFont="1" applyFill="1" applyBorder="1"/>
    <xf numFmtId="0" fontId="25" fillId="14" borderId="25" xfId="0" applyFont="1" applyFill="1" applyBorder="1"/>
    <xf numFmtId="0" fontId="25" fillId="14" borderId="27" xfId="0" applyFont="1" applyFill="1" applyBorder="1"/>
    <xf numFmtId="0" fontId="25" fillId="0" borderId="0" xfId="0" applyFont="1" applyAlignment="1">
      <alignment vertical="center"/>
    </xf>
    <xf numFmtId="0" fontId="25" fillId="20" borderId="0" xfId="0" applyFont="1" applyFill="1"/>
    <xf numFmtId="170" fontId="39" fillId="0" borderId="0" xfId="1" applyNumberFormat="1" applyFont="1" applyFill="1" applyBorder="1" applyAlignment="1">
      <alignment horizontal="center" vertical="center"/>
    </xf>
    <xf numFmtId="176" fontId="40" fillId="0" borderId="0" xfId="0" applyNumberFormat="1" applyFont="1" applyFill="1" applyBorder="1" applyAlignment="1">
      <alignment horizontal="center" vertical="center"/>
    </xf>
    <xf numFmtId="0" fontId="23" fillId="0" borderId="11" xfId="0" applyFont="1" applyBorder="1"/>
    <xf numFmtId="165" fontId="41" fillId="0" borderId="0" xfId="0" applyNumberFormat="1" applyFont="1" applyFill="1" applyBorder="1" applyAlignment="1">
      <alignment horizontal="center" vertical="center"/>
    </xf>
    <xf numFmtId="176" fontId="23" fillId="0" borderId="11" xfId="0" applyNumberFormat="1" applyFont="1" applyBorder="1" applyAlignment="1">
      <alignment horizontal="center"/>
    </xf>
    <xf numFmtId="185" fontId="40" fillId="0" borderId="2" xfId="0" applyNumberFormat="1" applyFont="1" applyFill="1" applyBorder="1" applyAlignment="1">
      <alignment horizontal="center" vertical="center"/>
    </xf>
    <xf numFmtId="185" fontId="40" fillId="0" borderId="11" xfId="0" applyNumberFormat="1" applyFont="1" applyFill="1" applyBorder="1" applyAlignment="1">
      <alignment horizontal="center" vertical="center"/>
    </xf>
    <xf numFmtId="9" fontId="23" fillId="14" borderId="24" xfId="0" applyNumberFormat="1" applyFont="1" applyFill="1" applyBorder="1" applyAlignment="1">
      <alignment horizontal="center"/>
    </xf>
    <xf numFmtId="185" fontId="23" fillId="14" borderId="26" xfId="0" applyNumberFormat="1" applyFont="1" applyFill="1" applyBorder="1" applyAlignment="1">
      <alignment horizontal="center"/>
    </xf>
    <xf numFmtId="185" fontId="23" fillId="14" borderId="28" xfId="0" applyNumberFormat="1" applyFont="1" applyFill="1" applyBorder="1" applyAlignment="1">
      <alignment horizontal="center"/>
    </xf>
    <xf numFmtId="9" fontId="25" fillId="14" borderId="24" xfId="0" applyNumberFormat="1" applyFont="1" applyFill="1" applyBorder="1" applyAlignment="1">
      <alignment horizontal="center"/>
    </xf>
    <xf numFmtId="185" fontId="25" fillId="14" borderId="26" xfId="0" applyNumberFormat="1" applyFont="1" applyFill="1" applyBorder="1" applyAlignment="1">
      <alignment horizontal="center"/>
    </xf>
    <xf numFmtId="185" fontId="25" fillId="14" borderId="28" xfId="0" applyNumberFormat="1" applyFont="1" applyFill="1" applyBorder="1" applyAlignment="1">
      <alignment horizontal="center"/>
    </xf>
    <xf numFmtId="15" fontId="25" fillId="20" borderId="29" xfId="0" applyNumberFormat="1" applyFont="1" applyFill="1" applyBorder="1"/>
    <xf numFmtId="9" fontId="40" fillId="0" borderId="2" xfId="0" applyNumberFormat="1" applyFont="1" applyFill="1" applyBorder="1" applyAlignment="1">
      <alignment horizontal="center" vertical="center"/>
    </xf>
    <xf numFmtId="9" fontId="40" fillId="0" borderId="11" xfId="0" applyNumberFormat="1" applyFont="1" applyFill="1" applyBorder="1" applyAlignment="1">
      <alignment horizontal="center" vertical="center"/>
    </xf>
    <xf numFmtId="170" fontId="40" fillId="0" borderId="2" xfId="0" applyNumberFormat="1" applyFont="1" applyFill="1" applyBorder="1" applyAlignment="1">
      <alignment horizontal="center" vertical="center"/>
    </xf>
    <xf numFmtId="0" fontId="25" fillId="10" borderId="0" xfId="0" applyFont="1" applyFill="1"/>
    <xf numFmtId="0" fontId="25" fillId="10" borderId="0" xfId="0" applyFont="1" applyFill="1" applyAlignment="1">
      <alignment horizontal="center"/>
    </xf>
    <xf numFmtId="0" fontId="23" fillId="10" borderId="0" xfId="0" applyFont="1" applyFill="1"/>
    <xf numFmtId="0" fontId="42" fillId="0" borderId="0" xfId="0" applyFont="1"/>
    <xf numFmtId="0" fontId="25" fillId="0" borderId="0" xfId="0" applyFont="1" applyFill="1"/>
    <xf numFmtId="15" fontId="25" fillId="0" borderId="0" xfId="0" applyNumberFormat="1" applyFont="1" applyFill="1" applyBorder="1"/>
    <xf numFmtId="0" fontId="23" fillId="0" borderId="0" xfId="0" applyFont="1" applyFill="1"/>
    <xf numFmtId="9" fontId="43" fillId="14" borderId="24" xfId="0" applyNumberFormat="1" applyFont="1" applyFill="1" applyBorder="1" applyAlignment="1">
      <alignment horizontal="center"/>
    </xf>
    <xf numFmtId="0" fontId="19" fillId="0" borderId="0" xfId="3" applyFont="1" applyFill="1" applyAlignment="1">
      <alignment horizontal="center" vertical="center" wrapText="1"/>
    </xf>
    <xf numFmtId="165" fontId="17" fillId="0" borderId="0" xfId="4" applyNumberFormat="1" applyFont="1" applyFill="1" applyAlignment="1">
      <alignment horizontal="center"/>
    </xf>
    <xf numFmtId="0" fontId="44" fillId="0" borderId="0" xfId="0" applyFont="1"/>
    <xf numFmtId="0" fontId="17" fillId="0" borderId="0" xfId="0" applyFont="1" applyFill="1" applyAlignment="1">
      <alignment horizontal="center"/>
    </xf>
    <xf numFmtId="165" fontId="38" fillId="0" borderId="0" xfId="0" applyNumberFormat="1" applyFont="1" applyFill="1" applyBorder="1" applyAlignment="1">
      <alignment horizontal="left" vertical="center"/>
    </xf>
    <xf numFmtId="0" fontId="17" fillId="16" borderId="0" xfId="3" applyFont="1" applyFill="1"/>
    <xf numFmtId="0" fontId="17" fillId="16" borderId="0" xfId="3" applyFont="1" applyFill="1" applyAlignment="1">
      <alignment horizontal="center"/>
    </xf>
    <xf numFmtId="14" fontId="17" fillId="16" borderId="0" xfId="3" applyNumberFormat="1" applyFont="1" applyFill="1" applyAlignment="1">
      <alignment horizontal="center"/>
    </xf>
    <xf numFmtId="176" fontId="17" fillId="16" borderId="0" xfId="4" applyNumberFormat="1" applyFont="1" applyFill="1" applyAlignment="1">
      <alignment horizontal="center"/>
    </xf>
    <xf numFmtId="0" fontId="17" fillId="5" borderId="0" xfId="3" applyFont="1" applyFill="1"/>
    <xf numFmtId="0" fontId="17" fillId="5" borderId="0" xfId="3" applyFont="1" applyFill="1" applyAlignment="1">
      <alignment horizontal="center"/>
    </xf>
    <xf numFmtId="14" fontId="17" fillId="5" borderId="0" xfId="3" applyNumberFormat="1" applyFont="1" applyFill="1" applyAlignment="1">
      <alignment horizontal="center"/>
    </xf>
    <xf numFmtId="176" fontId="17" fillId="5" borderId="0" xfId="4" applyNumberFormat="1" applyFont="1" applyFill="1" applyAlignment="1">
      <alignment horizontal="center"/>
    </xf>
    <xf numFmtId="182" fontId="17" fillId="6" borderId="0" xfId="3" applyNumberFormat="1" applyFont="1" applyFill="1" applyAlignment="1">
      <alignment horizontal="center"/>
    </xf>
    <xf numFmtId="0" fontId="19" fillId="7" borderId="0" xfId="0" applyFont="1" applyFill="1"/>
    <xf numFmtId="0" fontId="19" fillId="7" borderId="0" xfId="0" applyFont="1" applyFill="1" applyAlignment="1">
      <alignment horizontal="center"/>
    </xf>
    <xf numFmtId="0" fontId="17" fillId="0" borderId="11" xfId="0" applyFont="1" applyBorder="1"/>
    <xf numFmtId="176" fontId="17" fillId="0" borderId="11" xfId="0" applyNumberFormat="1" applyFont="1" applyBorder="1" applyAlignment="1">
      <alignment horizontal="center"/>
    </xf>
    <xf numFmtId="0" fontId="0" fillId="0" borderId="0" xfId="0" applyFont="1" applyAlignment="1">
      <alignment horizontal="center"/>
    </xf>
    <xf numFmtId="0" fontId="18" fillId="0" borderId="5" xfId="0" applyFont="1" applyBorder="1"/>
    <xf numFmtId="0" fontId="16" fillId="0" borderId="3" xfId="0" applyFont="1" applyBorder="1"/>
    <xf numFmtId="0" fontId="16" fillId="0" borderId="0" xfId="0" applyFont="1" applyBorder="1" applyAlignment="1">
      <alignment horizontal="center"/>
    </xf>
    <xf numFmtId="177" fontId="24" fillId="7" borderId="0" xfId="3" applyNumberFormat="1" applyFont="1" applyFill="1" applyBorder="1" applyAlignment="1">
      <alignment horizontal="center" vertical="center" wrapText="1"/>
    </xf>
    <xf numFmtId="0" fontId="24" fillId="7" borderId="0" xfId="3" applyFont="1" applyFill="1" applyBorder="1" applyAlignment="1">
      <alignment horizontal="center" vertical="center" wrapText="1"/>
    </xf>
    <xf numFmtId="0" fontId="18" fillId="0" borderId="9" xfId="0" applyFont="1" applyBorder="1"/>
    <xf numFmtId="0" fontId="18" fillId="0" borderId="4" xfId="0" applyFont="1" applyBorder="1"/>
    <xf numFmtId="0" fontId="18" fillId="0" borderId="10" xfId="0" applyFont="1" applyBorder="1"/>
    <xf numFmtId="0" fontId="16" fillId="0" borderId="4" xfId="0" applyFont="1" applyBorder="1"/>
    <xf numFmtId="0" fontId="16" fillId="0" borderId="0" xfId="0" applyFont="1" applyBorder="1" applyAlignment="1">
      <alignment horizontal="left"/>
    </xf>
    <xf numFmtId="1" fontId="23" fillId="0" borderId="11" xfId="0" applyNumberFormat="1" applyFont="1" applyBorder="1" applyAlignment="1">
      <alignment horizontal="center"/>
    </xf>
    <xf numFmtId="1" fontId="16" fillId="0" borderId="0" xfId="0" applyNumberFormat="1" applyFont="1" applyBorder="1" applyAlignment="1">
      <alignment horizontal="center"/>
    </xf>
    <xf numFmtId="0" fontId="36" fillId="0" borderId="0" xfId="0" applyFont="1"/>
    <xf numFmtId="0" fontId="45" fillId="0" borderId="0" xfId="0" applyFont="1" applyAlignment="1">
      <alignment horizontal="center"/>
    </xf>
    <xf numFmtId="165" fontId="16" fillId="0" borderId="0" xfId="0" applyNumberFormat="1" applyFont="1" applyBorder="1"/>
    <xf numFmtId="170" fontId="17" fillId="0" borderId="0" xfId="0" applyNumberFormat="1" applyFont="1" applyAlignment="1">
      <alignment horizontal="center"/>
    </xf>
    <xf numFmtId="186" fontId="16" fillId="0" borderId="0" xfId="0" applyNumberFormat="1" applyFont="1" applyBorder="1"/>
    <xf numFmtId="170" fontId="16" fillId="0" borderId="0" xfId="0" applyNumberFormat="1" applyFont="1" applyBorder="1"/>
    <xf numFmtId="169" fontId="16" fillId="0" borderId="0" xfId="0" applyNumberFormat="1" applyFont="1" applyBorder="1"/>
    <xf numFmtId="185" fontId="40" fillId="9" borderId="11" xfId="0" applyNumberFormat="1" applyFont="1" applyFill="1" applyBorder="1" applyAlignment="1">
      <alignment horizontal="center" vertical="center"/>
    </xf>
    <xf numFmtId="177" fontId="24" fillId="0" borderId="0" xfId="3" applyNumberFormat="1" applyFont="1" applyFill="1" applyAlignment="1">
      <alignment horizontal="center" vertical="center" wrapText="1"/>
    </xf>
    <xf numFmtId="165" fontId="14" fillId="10" borderId="11" xfId="0" applyNumberFormat="1" applyFont="1" applyFill="1" applyBorder="1" applyAlignment="1">
      <alignment horizontal="left" vertical="center"/>
    </xf>
    <xf numFmtId="165" fontId="13" fillId="10" borderId="11" xfId="0" applyNumberFormat="1" applyFont="1" applyFill="1" applyBorder="1" applyAlignment="1">
      <alignment horizontal="center" vertical="center"/>
    </xf>
    <xf numFmtId="176" fontId="14" fillId="10" borderId="11" xfId="0" applyNumberFormat="1" applyFont="1" applyFill="1" applyBorder="1" applyAlignment="1">
      <alignment horizontal="center" vertical="center"/>
    </xf>
    <xf numFmtId="0" fontId="24" fillId="7" borderId="0" xfId="3" applyFont="1" applyFill="1" applyBorder="1" applyAlignment="1">
      <alignment horizontal="left" vertical="center"/>
    </xf>
    <xf numFmtId="0" fontId="24" fillId="7" borderId="0" xfId="3" applyFont="1" applyFill="1" applyBorder="1" applyAlignment="1">
      <alignment horizontal="center" vertical="center"/>
    </xf>
    <xf numFmtId="0" fontId="18" fillId="10" borderId="0" xfId="0" applyFont="1" applyFill="1" applyBorder="1" applyAlignment="1">
      <alignment horizontal="left"/>
    </xf>
    <xf numFmtId="0" fontId="16" fillId="10" borderId="0" xfId="0" applyFont="1" applyFill="1" applyBorder="1"/>
    <xf numFmtId="0" fontId="18" fillId="0" borderId="7" xfId="0" applyFont="1" applyBorder="1"/>
    <xf numFmtId="0" fontId="18" fillId="0" borderId="8" xfId="0" applyFont="1" applyBorder="1"/>
    <xf numFmtId="0" fontId="46" fillId="20" borderId="0" xfId="0" applyFont="1" applyFill="1" applyAlignment="1">
      <alignment horizontal="left"/>
    </xf>
    <xf numFmtId="0" fontId="16" fillId="20" borderId="0" xfId="0" applyFont="1" applyFill="1"/>
    <xf numFmtId="0" fontId="16" fillId="0" borderId="0" xfId="0" applyFont="1" applyFill="1" applyAlignment="1">
      <alignment horizontal="center"/>
    </xf>
    <xf numFmtId="169" fontId="16" fillId="0" borderId="0" xfId="0" applyNumberFormat="1" applyFont="1" applyFill="1" applyAlignment="1">
      <alignment horizontal="center"/>
    </xf>
    <xf numFmtId="0" fontId="18" fillId="0" borderId="0" xfId="0" applyFont="1" applyFill="1" applyAlignment="1">
      <alignment horizontal="left" vertical="center"/>
    </xf>
    <xf numFmtId="0" fontId="16" fillId="0" borderId="0" xfId="0" applyFont="1" applyFill="1" applyAlignment="1">
      <alignment horizontal="center" vertical="center"/>
    </xf>
    <xf numFmtId="169" fontId="16" fillId="0" borderId="3" xfId="0" applyNumberFormat="1" applyFont="1" applyBorder="1" applyAlignment="1">
      <alignment horizontal="center"/>
    </xf>
    <xf numFmtId="169" fontId="16" fillId="0" borderId="4" xfId="0" applyNumberFormat="1" applyFont="1" applyBorder="1" applyAlignment="1">
      <alignment horizontal="center"/>
    </xf>
    <xf numFmtId="0" fontId="16" fillId="0" borderId="0" xfId="0" applyFont="1" applyFill="1" applyBorder="1"/>
    <xf numFmtId="0" fontId="16" fillId="20" borderId="0" xfId="0" applyFont="1" applyFill="1" applyAlignment="1">
      <alignment horizontal="center"/>
    </xf>
    <xf numFmtId="0" fontId="17" fillId="21" borderId="0" xfId="0" applyFont="1" applyFill="1"/>
    <xf numFmtId="1" fontId="47" fillId="0" borderId="0" xfId="0" applyNumberFormat="1" applyFont="1" applyFill="1" applyAlignment="1">
      <alignment horizontal="center"/>
    </xf>
    <xf numFmtId="1" fontId="48" fillId="0" borderId="0" xfId="0" applyNumberFormat="1" applyFont="1" applyAlignment="1">
      <alignment horizontal="center"/>
    </xf>
    <xf numFmtId="1" fontId="49" fillId="0" borderId="0" xfId="0" applyNumberFormat="1" applyFont="1" applyAlignment="1">
      <alignment horizontal="center"/>
    </xf>
    <xf numFmtId="1" fontId="49" fillId="0" borderId="0" xfId="3" applyNumberFormat="1" applyFont="1" applyFill="1" applyAlignment="1">
      <alignment horizontal="center" vertical="center" wrapText="1"/>
    </xf>
    <xf numFmtId="1" fontId="49" fillId="0" borderId="2" xfId="0" applyNumberFormat="1" applyFont="1" applyFill="1" applyBorder="1" applyAlignment="1">
      <alignment horizontal="center" vertical="center"/>
    </xf>
    <xf numFmtId="0" fontId="36" fillId="0" borderId="0" xfId="0" applyFont="1" applyAlignment="1">
      <alignment horizontal="left"/>
    </xf>
    <xf numFmtId="49" fontId="21" fillId="14" borderId="2" xfId="1" applyNumberFormat="1" applyFont="1" applyFill="1" applyBorder="1" applyAlignment="1">
      <alignment horizontal="center" vertical="center"/>
    </xf>
    <xf numFmtId="49" fontId="50" fillId="3" borderId="1" xfId="1" applyNumberFormat="1" applyFont="1" applyFill="1" applyBorder="1" applyAlignment="1">
      <alignment horizontal="center" vertical="center"/>
    </xf>
    <xf numFmtId="170" fontId="51" fillId="0" borderId="0" xfId="1" applyNumberFormat="1" applyFont="1" applyFill="1" applyBorder="1" applyAlignment="1">
      <alignment horizontal="center" vertical="center"/>
    </xf>
    <xf numFmtId="170" fontId="21" fillId="0" borderId="2" xfId="1" applyNumberFormat="1" applyFont="1" applyFill="1" applyBorder="1" applyAlignment="1">
      <alignment horizontal="center" vertical="center"/>
    </xf>
    <xf numFmtId="170" fontId="50" fillId="3" borderId="1" xfId="1" applyNumberFormat="1" applyFont="1" applyFill="1" applyBorder="1" applyAlignment="1">
      <alignment horizontal="center" vertical="center"/>
    </xf>
    <xf numFmtId="170" fontId="50" fillId="0" borderId="2" xfId="1" applyNumberFormat="1" applyFont="1" applyFill="1" applyBorder="1" applyAlignment="1">
      <alignment horizontal="center" vertical="center"/>
    </xf>
    <xf numFmtId="170" fontId="13" fillId="0" borderId="30" xfId="1" applyNumberFormat="1" applyFont="1" applyFill="1" applyBorder="1" applyAlignment="1">
      <alignment horizontal="center" vertical="center"/>
    </xf>
    <xf numFmtId="175" fontId="13" fillId="0" borderId="31" xfId="0" applyNumberFormat="1" applyFont="1" applyFill="1" applyBorder="1" applyAlignment="1">
      <alignment horizontal="center" vertical="center"/>
    </xf>
    <xf numFmtId="0" fontId="16" fillId="17" borderId="31" xfId="0" applyFont="1" applyFill="1" applyBorder="1"/>
    <xf numFmtId="175" fontId="13" fillId="18" borderId="31" xfId="0" applyNumberFormat="1" applyFont="1" applyFill="1" applyBorder="1" applyAlignment="1">
      <alignment horizontal="center" vertical="center"/>
    </xf>
    <xf numFmtId="175" fontId="13" fillId="10" borderId="31" xfId="0" applyNumberFormat="1" applyFont="1" applyFill="1" applyBorder="1" applyAlignment="1">
      <alignment horizontal="center" vertical="center"/>
    </xf>
    <xf numFmtId="175" fontId="13" fillId="17" borderId="31" xfId="0" applyNumberFormat="1" applyFont="1" applyFill="1" applyBorder="1" applyAlignment="1">
      <alignment horizontal="center" vertical="center"/>
    </xf>
    <xf numFmtId="175" fontId="13" fillId="22" borderId="31" xfId="0" applyNumberFormat="1" applyFont="1" applyFill="1" applyBorder="1" applyAlignment="1">
      <alignment horizontal="center" vertical="center"/>
    </xf>
    <xf numFmtId="0" fontId="16" fillId="0" borderId="31" xfId="0" applyFont="1" applyFill="1" applyBorder="1"/>
    <xf numFmtId="0" fontId="16" fillId="23" borderId="31" xfId="0" applyFont="1" applyFill="1" applyBorder="1"/>
    <xf numFmtId="15" fontId="25" fillId="20" borderId="0" xfId="0" applyNumberFormat="1" applyFont="1" applyFill="1" applyBorder="1"/>
    <xf numFmtId="0" fontId="23" fillId="0" borderId="0" xfId="0" applyFont="1" applyAlignment="1">
      <alignment vertical="center"/>
    </xf>
    <xf numFmtId="1" fontId="17" fillId="6" borderId="0" xfId="3" applyNumberFormat="1" applyFont="1" applyFill="1" applyAlignment="1">
      <alignment horizontal="center"/>
    </xf>
    <xf numFmtId="1" fontId="17" fillId="11" borderId="0" xfId="3" applyNumberFormat="1" applyFont="1" applyFill="1" applyAlignment="1">
      <alignment horizontal="center"/>
    </xf>
    <xf numFmtId="1" fontId="17" fillId="16" borderId="0" xfId="3" applyNumberFormat="1" applyFont="1" applyFill="1" applyAlignment="1">
      <alignment horizontal="center"/>
    </xf>
    <xf numFmtId="1" fontId="17" fillId="5" borderId="0" xfId="3" applyNumberFormat="1" applyFont="1" applyFill="1" applyAlignment="1">
      <alignment horizontal="center"/>
    </xf>
    <xf numFmtId="3" fontId="38" fillId="0" borderId="0" xfId="0" applyNumberFormat="1" applyFont="1" applyFill="1" applyBorder="1" applyAlignment="1">
      <alignment horizontal="center" vertical="center"/>
    </xf>
    <xf numFmtId="170" fontId="16" fillId="0" borderId="0" xfId="0" applyNumberFormat="1" applyFont="1" applyBorder="1" applyAlignment="1">
      <alignment horizontal="center"/>
    </xf>
    <xf numFmtId="8" fontId="23" fillId="0" borderId="0" xfId="0" applyNumberFormat="1" applyFont="1"/>
    <xf numFmtId="187" fontId="23" fillId="16" borderId="0" xfId="3" applyNumberFormat="1" applyFont="1" applyFill="1" applyAlignment="1">
      <alignment horizontal="center"/>
    </xf>
    <xf numFmtId="0" fontId="22" fillId="7" borderId="0" xfId="0" applyFont="1" applyFill="1" applyAlignment="1">
      <alignment vertical="center" wrapText="1"/>
    </xf>
    <xf numFmtId="0" fontId="22" fillId="7" borderId="0" xfId="0" applyFont="1" applyFill="1" applyAlignment="1">
      <alignment horizontal="center" vertical="center" wrapText="1"/>
    </xf>
    <xf numFmtId="0" fontId="23" fillId="0" borderId="0" xfId="0" applyFont="1" applyAlignment="1">
      <alignment horizontal="left"/>
    </xf>
    <xf numFmtId="187" fontId="23" fillId="0" borderId="0" xfId="0" applyNumberFormat="1" applyFont="1"/>
    <xf numFmtId="0" fontId="16" fillId="6" borderId="0" xfId="0" applyFont="1" applyFill="1"/>
    <xf numFmtId="0" fontId="18" fillId="6" borderId="0" xfId="0" applyFont="1" applyFill="1"/>
    <xf numFmtId="165" fontId="14" fillId="3" borderId="0" xfId="0" applyNumberFormat="1" applyFont="1" applyFill="1" applyBorder="1" applyAlignment="1">
      <alignment horizontal="center" vertical="center"/>
    </xf>
    <xf numFmtId="170" fontId="33" fillId="3" borderId="0" xfId="1" applyNumberFormat="1" applyFont="1" applyFill="1" applyBorder="1" applyAlignment="1">
      <alignment horizontal="center" vertical="center"/>
    </xf>
    <xf numFmtId="176" fontId="14" fillId="3" borderId="0" xfId="0" applyNumberFormat="1" applyFont="1" applyFill="1" applyBorder="1" applyAlignment="1">
      <alignment horizontal="center" vertical="center"/>
    </xf>
    <xf numFmtId="175" fontId="14" fillId="3" borderId="0" xfId="0" applyNumberFormat="1" applyFont="1" applyFill="1" applyBorder="1" applyAlignment="1">
      <alignment horizontal="center" vertical="center"/>
    </xf>
    <xf numFmtId="170" fontId="14" fillId="3" borderId="0" xfId="1" applyNumberFormat="1" applyFont="1" applyFill="1" applyBorder="1" applyAlignment="1">
      <alignment horizontal="center" vertical="center"/>
    </xf>
    <xf numFmtId="165" fontId="14" fillId="0" borderId="0" xfId="0" applyNumberFormat="1" applyFont="1" applyFill="1" applyBorder="1" applyAlignment="1">
      <alignment horizontal="center" vertical="center"/>
    </xf>
    <xf numFmtId="176" fontId="14" fillId="0" borderId="0" xfId="0" applyNumberFormat="1" applyFont="1" applyFill="1" applyBorder="1" applyAlignment="1">
      <alignment horizontal="center" vertical="center"/>
    </xf>
    <xf numFmtId="175" fontId="14" fillId="0" borderId="0" xfId="0" applyNumberFormat="1" applyFont="1" applyFill="1" applyBorder="1" applyAlignment="1">
      <alignment horizontal="center" vertical="center"/>
    </xf>
    <xf numFmtId="165" fontId="14" fillId="3" borderId="0" xfId="0" applyNumberFormat="1" applyFont="1" applyFill="1" applyBorder="1" applyAlignment="1">
      <alignment horizontal="left" vertical="center"/>
    </xf>
    <xf numFmtId="0" fontId="18" fillId="20" borderId="0" xfId="0" applyFont="1" applyFill="1"/>
    <xf numFmtId="15" fontId="18" fillId="20" borderId="29" xfId="0" applyNumberFormat="1" applyFont="1" applyFill="1" applyBorder="1"/>
    <xf numFmtId="0" fontId="13" fillId="0" borderId="7" xfId="0" applyFont="1" applyFill="1" applyBorder="1"/>
    <xf numFmtId="0" fontId="13" fillId="0" borderId="8" xfId="0" applyFont="1" applyFill="1" applyBorder="1"/>
    <xf numFmtId="0" fontId="13" fillId="0" borderId="0" xfId="0" applyFont="1" applyFill="1"/>
    <xf numFmtId="0" fontId="18" fillId="10" borderId="0" xfId="0" applyFont="1" applyFill="1"/>
    <xf numFmtId="0" fontId="16" fillId="0" borderId="0" xfId="0" applyFont="1" applyFill="1" applyAlignment="1">
      <alignment horizontal="left"/>
    </xf>
    <xf numFmtId="178" fontId="16" fillId="0" borderId="0" xfId="0" applyNumberFormat="1" applyFont="1" applyAlignment="1">
      <alignment horizontal="center"/>
    </xf>
    <xf numFmtId="0" fontId="18" fillId="0" borderId="0" xfId="0" applyFont="1" applyFill="1" applyAlignment="1">
      <alignment horizontal="left"/>
    </xf>
    <xf numFmtId="14" fontId="17" fillId="16" borderId="0" xfId="3" applyNumberFormat="1" applyFont="1" applyFill="1"/>
    <xf numFmtId="170" fontId="41" fillId="9" borderId="11" xfId="0" applyNumberFormat="1" applyFont="1" applyFill="1" applyBorder="1" applyAlignment="1">
      <alignment horizontal="center" vertical="center"/>
    </xf>
    <xf numFmtId="170" fontId="18" fillId="0" borderId="0" xfId="0" applyNumberFormat="1" applyFont="1" applyBorder="1"/>
    <xf numFmtId="170" fontId="18" fillId="0" borderId="4" xfId="0" applyNumberFormat="1" applyFont="1" applyBorder="1"/>
    <xf numFmtId="170" fontId="18" fillId="0" borderId="0" xfId="0" applyNumberFormat="1" applyFont="1"/>
    <xf numFmtId="170" fontId="18" fillId="0" borderId="3" xfId="0" applyNumberFormat="1" applyFont="1" applyBorder="1"/>
    <xf numFmtId="170" fontId="24" fillId="7" borderId="0" xfId="3" applyNumberFormat="1" applyFont="1" applyFill="1" applyBorder="1" applyAlignment="1">
      <alignment horizontal="center" vertical="center" wrapText="1"/>
    </xf>
    <xf numFmtId="170" fontId="16" fillId="0" borderId="0" xfId="0" applyNumberFormat="1" applyFont="1"/>
    <xf numFmtId="170" fontId="16" fillId="0" borderId="4" xfId="0" applyNumberFormat="1" applyFont="1" applyBorder="1"/>
    <xf numFmtId="0" fontId="44" fillId="0" borderId="0" xfId="0" applyFont="1" applyBorder="1" applyAlignment="1">
      <alignment horizontal="center"/>
    </xf>
    <xf numFmtId="170" fontId="40" fillId="0" borderId="11" xfId="0" applyNumberFormat="1" applyFont="1" applyFill="1" applyBorder="1" applyAlignment="1">
      <alignment horizontal="center" vertical="center"/>
    </xf>
    <xf numFmtId="0" fontId="52" fillId="0" borderId="4" xfId="0" applyFont="1" applyBorder="1"/>
    <xf numFmtId="0" fontId="53" fillId="0" borderId="0" xfId="0" applyFont="1"/>
    <xf numFmtId="4" fontId="53" fillId="0" borderId="0" xfId="0" applyNumberFormat="1" applyFont="1"/>
    <xf numFmtId="165" fontId="14" fillId="0" borderId="2" xfId="0" applyNumberFormat="1" applyFont="1" applyFill="1" applyBorder="1" applyAlignment="1">
      <alignment horizontal="center" vertical="center"/>
    </xf>
    <xf numFmtId="0" fontId="54" fillId="0" borderId="29" xfId="0" applyFont="1" applyBorder="1" applyAlignment="1">
      <alignment vertical="center"/>
    </xf>
    <xf numFmtId="0" fontId="54" fillId="0" borderId="32" xfId="0" applyFont="1" applyBorder="1" applyAlignment="1">
      <alignment vertical="center" wrapText="1"/>
    </xf>
    <xf numFmtId="0" fontId="56" fillId="0" borderId="8" xfId="0" applyFont="1" applyBorder="1" applyAlignment="1">
      <alignment horizontal="left" vertical="center" wrapText="1"/>
    </xf>
    <xf numFmtId="0" fontId="0" fillId="0" borderId="10" xfId="0" applyBorder="1" applyAlignment="1">
      <alignment vertical="top" wrapText="1"/>
    </xf>
    <xf numFmtId="165" fontId="57" fillId="0" borderId="2" xfId="0" applyNumberFormat="1" applyFont="1" applyFill="1" applyBorder="1" applyAlignment="1">
      <alignment horizontal="center" vertical="center"/>
    </xf>
    <xf numFmtId="165" fontId="58" fillId="19" borderId="1" xfId="0" applyNumberFormat="1" applyFont="1" applyFill="1" applyBorder="1" applyAlignment="1">
      <alignment horizontal="center" vertical="center"/>
    </xf>
    <xf numFmtId="165" fontId="58" fillId="0" borderId="0" xfId="0" applyNumberFormat="1" applyFont="1" applyFill="1" applyBorder="1" applyAlignment="1">
      <alignment horizontal="center" vertical="center"/>
    </xf>
    <xf numFmtId="0" fontId="56" fillId="0" borderId="33" xfId="0" applyFont="1" applyBorder="1" applyAlignment="1">
      <alignment vertical="center" wrapText="1"/>
    </xf>
    <xf numFmtId="0" fontId="56" fillId="0" borderId="34" xfId="0" applyFont="1" applyBorder="1" applyAlignment="1">
      <alignment vertical="center" wrapText="1"/>
    </xf>
    <xf numFmtId="0" fontId="56" fillId="0" borderId="35" xfId="0" applyFont="1" applyBorder="1" applyAlignment="1">
      <alignment vertical="center" wrapText="1"/>
    </xf>
    <xf numFmtId="177" fontId="23" fillId="16" borderId="0" xfId="3" applyNumberFormat="1" applyFont="1" applyFill="1" applyAlignment="1">
      <alignment horizontal="center"/>
    </xf>
    <xf numFmtId="177" fontId="23" fillId="5" borderId="0" xfId="3" applyNumberFormat="1" applyFont="1" applyFill="1" applyAlignment="1">
      <alignment horizontal="center"/>
    </xf>
    <xf numFmtId="14" fontId="17" fillId="6" borderId="37" xfId="3" applyNumberFormat="1" applyFont="1" applyFill="1" applyBorder="1"/>
    <xf numFmtId="177" fontId="17" fillId="6" borderId="11" xfId="3" applyNumberFormat="1" applyFont="1" applyFill="1" applyBorder="1" applyAlignment="1">
      <alignment horizontal="center"/>
    </xf>
    <xf numFmtId="165" fontId="17" fillId="6" borderId="38" xfId="4" applyNumberFormat="1" applyFont="1" applyFill="1" applyBorder="1" applyAlignment="1">
      <alignment horizontal="center"/>
    </xf>
    <xf numFmtId="14" fontId="17" fillId="11" borderId="23" xfId="3" applyNumberFormat="1" applyFont="1" applyFill="1" applyBorder="1"/>
    <xf numFmtId="177" fontId="17" fillId="11" borderId="1" xfId="3" applyNumberFormat="1" applyFont="1" applyFill="1" applyBorder="1" applyAlignment="1">
      <alignment horizontal="center"/>
    </xf>
    <xf numFmtId="165" fontId="17" fillId="11" borderId="24" xfId="4" applyNumberFormat="1" applyFont="1" applyFill="1" applyBorder="1" applyAlignment="1">
      <alignment horizontal="center"/>
    </xf>
    <xf numFmtId="14" fontId="17" fillId="6" borderId="25" xfId="3" applyNumberFormat="1" applyFont="1" applyFill="1" applyBorder="1"/>
    <xf numFmtId="177" fontId="17" fillId="6" borderId="0" xfId="3" applyNumberFormat="1" applyFont="1" applyFill="1" applyBorder="1" applyAlignment="1">
      <alignment horizontal="center"/>
    </xf>
    <xf numFmtId="165" fontId="17" fillId="6" borderId="26" xfId="4" applyNumberFormat="1" applyFont="1" applyFill="1" applyBorder="1" applyAlignment="1">
      <alignment horizontal="center"/>
    </xf>
    <xf numFmtId="14" fontId="17" fillId="16" borderId="27" xfId="3" applyNumberFormat="1" applyFont="1" applyFill="1" applyBorder="1"/>
    <xf numFmtId="177" fontId="17" fillId="16" borderId="39" xfId="3" applyNumberFormat="1" applyFont="1" applyFill="1" applyBorder="1" applyAlignment="1">
      <alignment horizontal="center"/>
    </xf>
    <xf numFmtId="14" fontId="17" fillId="16" borderId="39" xfId="3" applyNumberFormat="1" applyFont="1" applyFill="1" applyBorder="1" applyAlignment="1">
      <alignment horizontal="center"/>
    </xf>
    <xf numFmtId="176" fontId="17" fillId="16" borderId="28" xfId="4" applyNumberFormat="1" applyFont="1" applyFill="1" applyBorder="1" applyAlignment="1">
      <alignment horizontal="center"/>
    </xf>
    <xf numFmtId="0" fontId="17" fillId="5" borderId="23" xfId="3" applyFont="1" applyFill="1" applyBorder="1"/>
    <xf numFmtId="177" fontId="17" fillId="5" borderId="1" xfId="3" applyNumberFormat="1" applyFont="1" applyFill="1" applyBorder="1" applyAlignment="1">
      <alignment horizontal="center"/>
    </xf>
    <xf numFmtId="176" fontId="17" fillId="5" borderId="24" xfId="4" applyNumberFormat="1" applyFont="1" applyFill="1" applyBorder="1" applyAlignment="1">
      <alignment horizontal="center"/>
    </xf>
    <xf numFmtId="14" fontId="17" fillId="6" borderId="27" xfId="3" applyNumberFormat="1" applyFont="1" applyFill="1" applyBorder="1"/>
    <xf numFmtId="177" fontId="17" fillId="6" borderId="39" xfId="3" applyNumberFormat="1" applyFont="1" applyFill="1" applyBorder="1" applyAlignment="1">
      <alignment horizontal="center"/>
    </xf>
    <xf numFmtId="165" fontId="17" fillId="6" borderId="28" xfId="4" applyNumberFormat="1" applyFont="1" applyFill="1" applyBorder="1" applyAlignment="1">
      <alignment horizontal="center"/>
    </xf>
    <xf numFmtId="14" fontId="17" fillId="11" borderId="25" xfId="3" applyNumberFormat="1" applyFont="1" applyFill="1" applyBorder="1"/>
    <xf numFmtId="177" fontId="17" fillId="11" borderId="0" xfId="3" applyNumberFormat="1" applyFont="1" applyFill="1" applyBorder="1" applyAlignment="1">
      <alignment horizontal="center"/>
    </xf>
    <xf numFmtId="165" fontId="17" fillId="11" borderId="26" xfId="4" applyNumberFormat="1" applyFont="1" applyFill="1" applyBorder="1" applyAlignment="1">
      <alignment horizontal="center"/>
    </xf>
    <xf numFmtId="0" fontId="17" fillId="5" borderId="25" xfId="3" applyFont="1" applyFill="1" applyBorder="1"/>
    <xf numFmtId="177" fontId="17" fillId="5" borderId="0" xfId="3" applyNumberFormat="1" applyFont="1" applyFill="1" applyBorder="1" applyAlignment="1">
      <alignment horizontal="center"/>
    </xf>
    <xf numFmtId="176" fontId="17" fillId="5" borderId="26" xfId="4" applyNumberFormat="1" applyFont="1" applyFill="1" applyBorder="1" applyAlignment="1">
      <alignment horizontal="center"/>
    </xf>
    <xf numFmtId="14" fontId="17" fillId="11" borderId="27" xfId="3" applyNumberFormat="1" applyFont="1" applyFill="1" applyBorder="1"/>
    <xf numFmtId="177" fontId="17" fillId="11" borderId="39" xfId="3" applyNumberFormat="1" applyFont="1" applyFill="1" applyBorder="1" applyAlignment="1">
      <alignment horizontal="center"/>
    </xf>
    <xf numFmtId="165" fontId="17" fillId="11" borderId="28" xfId="4" applyNumberFormat="1" applyFont="1" applyFill="1" applyBorder="1" applyAlignment="1">
      <alignment horizontal="center"/>
    </xf>
    <xf numFmtId="0" fontId="17" fillId="16" borderId="23" xfId="3" applyFont="1" applyFill="1" applyBorder="1"/>
    <xf numFmtId="177" fontId="17" fillId="16" borderId="1" xfId="3" applyNumberFormat="1" applyFont="1" applyFill="1" applyBorder="1" applyAlignment="1">
      <alignment horizontal="center"/>
    </xf>
    <xf numFmtId="176" fontId="17" fillId="16" borderId="24" xfId="4" applyNumberFormat="1" applyFont="1" applyFill="1" applyBorder="1" applyAlignment="1">
      <alignment horizontal="center"/>
    </xf>
    <xf numFmtId="0" fontId="17" fillId="16" borderId="25" xfId="3" applyFont="1" applyFill="1" applyBorder="1"/>
    <xf numFmtId="177" fontId="17" fillId="16" borderId="0" xfId="3" applyNumberFormat="1" applyFont="1" applyFill="1" applyBorder="1" applyAlignment="1">
      <alignment horizontal="center"/>
    </xf>
    <xf numFmtId="0" fontId="17" fillId="16" borderId="0" xfId="3" applyFont="1" applyFill="1" applyBorder="1" applyAlignment="1">
      <alignment horizontal="center"/>
    </xf>
    <xf numFmtId="176" fontId="17" fillId="16" borderId="26" xfId="4" applyNumberFormat="1" applyFont="1" applyFill="1" applyBorder="1" applyAlignment="1">
      <alignment horizontal="center"/>
    </xf>
    <xf numFmtId="0" fontId="17" fillId="5" borderId="27" xfId="3" applyFont="1" applyFill="1" applyBorder="1"/>
    <xf numFmtId="177" fontId="17" fillId="5" borderId="39" xfId="3" applyNumberFormat="1" applyFont="1" applyFill="1" applyBorder="1" applyAlignment="1">
      <alignment horizontal="center"/>
    </xf>
    <xf numFmtId="176" fontId="17" fillId="5" borderId="28" xfId="4" applyNumberFormat="1" applyFont="1" applyFill="1" applyBorder="1" applyAlignment="1">
      <alignment horizontal="center"/>
    </xf>
    <xf numFmtId="0" fontId="17" fillId="16" borderId="27" xfId="3" applyFont="1" applyFill="1" applyBorder="1"/>
    <xf numFmtId="14" fontId="17" fillId="6" borderId="23" xfId="3" applyNumberFormat="1" applyFont="1" applyFill="1" applyBorder="1"/>
    <xf numFmtId="177" fontId="17" fillId="6" borderId="1" xfId="3" applyNumberFormat="1" applyFont="1" applyFill="1" applyBorder="1" applyAlignment="1">
      <alignment horizontal="center"/>
    </xf>
    <xf numFmtId="165" fontId="17" fillId="6" borderId="24" xfId="4" applyNumberFormat="1" applyFont="1" applyFill="1" applyBorder="1" applyAlignment="1">
      <alignment horizontal="center"/>
    </xf>
    <xf numFmtId="4" fontId="14" fillId="0" borderId="0" xfId="0" applyNumberFormat="1" applyFont="1" applyFill="1" applyBorder="1" applyAlignment="1">
      <alignment horizontal="center" vertical="center"/>
    </xf>
    <xf numFmtId="14" fontId="59" fillId="24" borderId="0" xfId="3" applyNumberFormat="1" applyFont="1" applyFill="1" applyAlignment="1">
      <alignment vertical="center"/>
    </xf>
    <xf numFmtId="177" fontId="59" fillId="24" borderId="0" xfId="3" applyNumberFormat="1" applyFont="1" applyFill="1" applyAlignment="1">
      <alignment horizontal="center" vertical="center"/>
    </xf>
    <xf numFmtId="14" fontId="59" fillId="24" borderId="0" xfId="3" applyNumberFormat="1" applyFont="1" applyFill="1" applyAlignment="1">
      <alignment horizontal="center" vertical="center"/>
    </xf>
    <xf numFmtId="165" fontId="59" fillId="24" borderId="0" xfId="4" applyNumberFormat="1" applyFont="1" applyFill="1" applyAlignment="1">
      <alignment horizontal="center" vertical="center"/>
    </xf>
    <xf numFmtId="0" fontId="0" fillId="0" borderId="0" xfId="0" applyAlignment="1">
      <alignment vertical="center"/>
    </xf>
    <xf numFmtId="14" fontId="17" fillId="5" borderId="1" xfId="3" applyNumberFormat="1" applyFont="1" applyFill="1" applyBorder="1" applyAlignment="1">
      <alignment horizontal="center"/>
    </xf>
    <xf numFmtId="14" fontId="17" fillId="5" borderId="0" xfId="3" applyNumberFormat="1" applyFont="1" applyFill="1" applyBorder="1" applyAlignment="1">
      <alignment horizontal="center"/>
    </xf>
    <xf numFmtId="14" fontId="17" fillId="16" borderId="1" xfId="3" applyNumberFormat="1" applyFont="1" applyFill="1" applyBorder="1" applyAlignment="1">
      <alignment horizontal="center"/>
    </xf>
    <xf numFmtId="14" fontId="17" fillId="16" borderId="0" xfId="3" applyNumberFormat="1" applyFont="1" applyFill="1" applyBorder="1" applyAlignment="1">
      <alignment horizontal="center"/>
    </xf>
    <xf numFmtId="14" fontId="17" fillId="5" borderId="39" xfId="3" applyNumberFormat="1" applyFont="1" applyFill="1" applyBorder="1" applyAlignment="1">
      <alignment horizontal="center"/>
    </xf>
    <xf numFmtId="0" fontId="18" fillId="17" borderId="0" xfId="0" applyFont="1" applyFill="1"/>
    <xf numFmtId="15" fontId="18" fillId="17" borderId="0" xfId="0" applyNumberFormat="1" applyFont="1" applyFill="1" applyAlignment="1">
      <alignment horizontal="center"/>
    </xf>
    <xf numFmtId="0" fontId="18" fillId="17" borderId="0" xfId="0" applyFont="1" applyFill="1" applyAlignment="1">
      <alignment horizontal="center"/>
    </xf>
    <xf numFmtId="0" fontId="18" fillId="17" borderId="0" xfId="0" applyFont="1" applyFill="1" applyAlignment="1">
      <alignment horizontal="left" indent="1"/>
    </xf>
    <xf numFmtId="0" fontId="2" fillId="13" borderId="0" xfId="0" applyFont="1" applyFill="1" applyAlignment="1">
      <alignment horizontal="center"/>
    </xf>
    <xf numFmtId="0" fontId="2" fillId="2" borderId="0" xfId="0" applyFont="1" applyFill="1" applyBorder="1" applyAlignment="1">
      <alignment horizontal="left" vertical="center" wrapText="1" indent="1"/>
    </xf>
    <xf numFmtId="165" fontId="14" fillId="10" borderId="0" xfId="0" applyNumberFormat="1" applyFont="1" applyFill="1" applyBorder="1" applyAlignment="1">
      <alignment horizontal="center" vertical="center"/>
    </xf>
    <xf numFmtId="165" fontId="14" fillId="10" borderId="0" xfId="0" applyNumberFormat="1" applyFont="1" applyFill="1" applyBorder="1" applyAlignment="1">
      <alignment horizontal="left" vertical="center" indent="1"/>
    </xf>
    <xf numFmtId="165" fontId="50" fillId="10" borderId="0" xfId="0" applyNumberFormat="1" applyFont="1" applyFill="1" applyBorder="1" applyAlignment="1">
      <alignment horizontal="center" vertical="center"/>
    </xf>
    <xf numFmtId="165" fontId="15" fillId="0" borderId="0" xfId="0" applyNumberFormat="1" applyFont="1" applyFill="1" applyBorder="1" applyAlignment="1">
      <alignment horizontal="left" vertical="center"/>
    </xf>
    <xf numFmtId="165" fontId="15" fillId="0" borderId="0" xfId="0" applyNumberFormat="1" applyFont="1" applyFill="1" applyBorder="1" applyAlignment="1">
      <alignment horizontal="center" vertical="center"/>
    </xf>
    <xf numFmtId="4" fontId="15" fillId="0" borderId="0" xfId="0" applyNumberFormat="1" applyFont="1" applyFill="1" applyBorder="1" applyAlignment="1">
      <alignment horizontal="center" vertical="center"/>
    </xf>
    <xf numFmtId="165" fontId="15" fillId="0" borderId="0" xfId="0" applyNumberFormat="1" applyFont="1" applyFill="1" applyBorder="1" applyAlignment="1">
      <alignment horizontal="left" vertical="center" indent="1"/>
    </xf>
    <xf numFmtId="165" fontId="13" fillId="0" borderId="0" xfId="0" applyNumberFormat="1" applyFont="1" applyFill="1" applyBorder="1" applyAlignment="1">
      <alignment horizontal="left" vertical="center" indent="1"/>
    </xf>
    <xf numFmtId="165" fontId="14" fillId="15" borderId="0" xfId="0" applyNumberFormat="1" applyFont="1" applyFill="1" applyBorder="1" applyAlignment="1">
      <alignment horizontal="center" vertical="center"/>
    </xf>
    <xf numFmtId="1" fontId="47" fillId="0" borderId="0" xfId="0" applyNumberFormat="1" applyFont="1" applyAlignment="1">
      <alignment horizontal="center"/>
    </xf>
    <xf numFmtId="165" fontId="16" fillId="0" borderId="0" xfId="0" applyNumberFormat="1" applyFont="1"/>
    <xf numFmtId="165" fontId="14" fillId="12" borderId="0" xfId="0" applyNumberFormat="1" applyFont="1" applyFill="1" applyBorder="1" applyAlignment="1">
      <alignment horizontal="center" vertical="center"/>
    </xf>
    <xf numFmtId="165" fontId="14" fillId="3" borderId="1" xfId="0" applyNumberFormat="1" applyFont="1" applyFill="1" applyBorder="1" applyAlignment="1">
      <alignment horizontal="left" vertical="center" indent="1"/>
    </xf>
    <xf numFmtId="165" fontId="14" fillId="0" borderId="0" xfId="0" applyNumberFormat="1" applyFont="1" applyFill="1" applyBorder="1" applyAlignment="1">
      <alignment horizontal="left" vertical="center" indent="1"/>
    </xf>
    <xf numFmtId="0" fontId="16" fillId="0" borderId="0" xfId="0" applyFont="1" applyAlignment="1">
      <alignment horizontal="left" indent="1"/>
    </xf>
    <xf numFmtId="0" fontId="60" fillId="0" borderId="0" xfId="0" applyFont="1"/>
    <xf numFmtId="0" fontId="54" fillId="0" borderId="40" xfId="0" applyFont="1" applyBorder="1" applyAlignment="1">
      <alignment vertical="center" wrapText="1"/>
    </xf>
    <xf numFmtId="0" fontId="54" fillId="0" borderId="36" xfId="0" applyFont="1" applyFill="1" applyBorder="1" applyAlignment="1">
      <alignment vertical="center"/>
    </xf>
    <xf numFmtId="0" fontId="56" fillId="0" borderId="0" xfId="0" applyFont="1" applyBorder="1" applyAlignment="1">
      <alignment horizontal="left" vertical="center" wrapText="1"/>
    </xf>
    <xf numFmtId="0" fontId="56" fillId="0" borderId="36" xfId="0" applyFont="1" applyFill="1" applyBorder="1" applyAlignment="1">
      <alignment horizontal="center" vertical="center"/>
    </xf>
    <xf numFmtId="0" fontId="56" fillId="25" borderId="8" xfId="0" applyFont="1" applyFill="1" applyBorder="1" applyAlignment="1">
      <alignment horizontal="left" vertical="center" wrapText="1"/>
    </xf>
    <xf numFmtId="0" fontId="56" fillId="0" borderId="10" xfId="0" applyFont="1" applyBorder="1" applyAlignment="1">
      <alignment horizontal="left" vertical="center" wrapText="1"/>
    </xf>
    <xf numFmtId="0" fontId="0" fillId="0" borderId="4" xfId="0" applyBorder="1" applyAlignment="1">
      <alignment vertical="top" wrapText="1"/>
    </xf>
    <xf numFmtId="0" fontId="0" fillId="0" borderId="36" xfId="0" applyBorder="1"/>
    <xf numFmtId="0" fontId="0" fillId="0" borderId="8" xfId="0" applyBorder="1" applyAlignment="1">
      <alignment vertical="top" wrapText="1"/>
    </xf>
    <xf numFmtId="0" fontId="56" fillId="0" borderId="8" xfId="0" applyFont="1" applyBorder="1" applyAlignment="1">
      <alignment vertical="center" wrapText="1"/>
    </xf>
    <xf numFmtId="0" fontId="56" fillId="0" borderId="4" xfId="0" applyFont="1" applyBorder="1" applyAlignment="1">
      <alignment vertical="center" wrapText="1"/>
    </xf>
    <xf numFmtId="0" fontId="56" fillId="0" borderId="33" xfId="0" applyFont="1" applyBorder="1" applyAlignment="1">
      <alignment horizontal="left" vertical="center" wrapText="1"/>
    </xf>
    <xf numFmtId="0" fontId="0" fillId="0" borderId="36" xfId="0" applyBorder="1" applyAlignment="1">
      <alignment horizontal="center" vertical="top"/>
    </xf>
    <xf numFmtId="0" fontId="56" fillId="0" borderId="34" xfId="0" applyFont="1" applyBorder="1" applyAlignment="1">
      <alignment horizontal="left" vertical="center" wrapText="1"/>
    </xf>
    <xf numFmtId="0" fontId="56" fillId="0" borderId="35" xfId="0" applyFont="1" applyBorder="1" applyAlignment="1">
      <alignment horizontal="left" vertical="center" wrapText="1"/>
    </xf>
    <xf numFmtId="0" fontId="18" fillId="0" borderId="0" xfId="0" applyFont="1" applyBorder="1" applyAlignment="1">
      <alignment horizontal="left"/>
    </xf>
    <xf numFmtId="194" fontId="18" fillId="5" borderId="36" xfId="0" applyNumberFormat="1" applyFont="1" applyFill="1" applyBorder="1" applyAlignment="1">
      <alignment horizontal="center" vertical="center"/>
    </xf>
    <xf numFmtId="0" fontId="18" fillId="5" borderId="36" xfId="0" applyFont="1" applyFill="1" applyBorder="1" applyAlignment="1">
      <alignment horizontal="center" vertical="center" wrapText="1"/>
    </xf>
    <xf numFmtId="0" fontId="18" fillId="5" borderId="36" xfId="0" applyFont="1" applyFill="1" applyBorder="1" applyAlignment="1">
      <alignment horizontal="center" vertical="top"/>
    </xf>
    <xf numFmtId="0" fontId="18" fillId="5" borderId="36" xfId="0" applyFont="1" applyFill="1" applyBorder="1" applyAlignment="1">
      <alignment horizontal="center" wrapText="1"/>
    </xf>
    <xf numFmtId="15" fontId="18" fillId="5" borderId="42" xfId="0" applyNumberFormat="1" applyFont="1" applyFill="1" applyBorder="1" applyAlignment="1">
      <alignment horizontal="center" vertical="top"/>
    </xf>
    <xf numFmtId="164" fontId="64" fillId="0" borderId="2" xfId="2" applyNumberFormat="1" applyFont="1" applyFill="1" applyBorder="1" applyAlignment="1">
      <alignment horizontal="center" vertical="center"/>
    </xf>
    <xf numFmtId="197" fontId="62" fillId="0" borderId="0" xfId="0" applyNumberFormat="1" applyFont="1" applyFill="1" applyBorder="1" applyAlignment="1">
      <alignment horizontal="center" vertical="center"/>
    </xf>
    <xf numFmtId="197" fontId="62" fillId="0" borderId="2" xfId="0" applyNumberFormat="1" applyFont="1" applyFill="1" applyBorder="1" applyAlignment="1">
      <alignment horizontal="center" vertical="center"/>
    </xf>
    <xf numFmtId="197" fontId="62" fillId="19" borderId="1" xfId="0" applyNumberFormat="1" applyFont="1" applyFill="1" applyBorder="1" applyAlignment="1">
      <alignment horizontal="center" vertical="center"/>
    </xf>
    <xf numFmtId="197" fontId="62" fillId="3" borderId="0" xfId="0" applyNumberFormat="1" applyFont="1" applyFill="1" applyBorder="1" applyAlignment="1">
      <alignment horizontal="center" vertical="center"/>
    </xf>
    <xf numFmtId="0" fontId="62" fillId="0" borderId="0" xfId="0" applyFont="1" applyAlignment="1">
      <alignment horizontal="center"/>
    </xf>
    <xf numFmtId="0" fontId="63" fillId="2" borderId="3" xfId="0" applyFont="1" applyFill="1" applyBorder="1" applyAlignment="1">
      <alignment horizontal="centerContinuous" vertical="center"/>
    </xf>
    <xf numFmtId="0" fontId="62" fillId="0" borderId="0" xfId="0" applyFont="1" applyAlignment="1">
      <alignment horizontal="center" vertical="center"/>
    </xf>
    <xf numFmtId="0" fontId="31" fillId="0" borderId="0" xfId="0" applyFont="1" applyBorder="1" applyAlignment="1">
      <alignment horizontal="left" vertical="center" wrapText="1"/>
    </xf>
    <xf numFmtId="0" fontId="18" fillId="0" borderId="0" xfId="0" applyFont="1" applyAlignment="1">
      <alignment horizontal="left" vertical="center"/>
    </xf>
    <xf numFmtId="194" fontId="18" fillId="5" borderId="41" xfId="0" applyNumberFormat="1" applyFont="1" applyFill="1" applyBorder="1" applyAlignment="1">
      <alignment horizontal="center" vertical="center" wrapText="1"/>
    </xf>
    <xf numFmtId="0" fontId="31" fillId="26" borderId="0" xfId="0" applyFont="1" applyFill="1" applyBorder="1" applyAlignment="1">
      <alignment horizontal="left" vertical="center" wrapText="1"/>
    </xf>
    <xf numFmtId="165" fontId="62" fillId="11" borderId="0" xfId="0" applyNumberFormat="1" applyFont="1" applyFill="1" applyBorder="1" applyAlignment="1">
      <alignment horizontal="center" vertical="center"/>
    </xf>
    <xf numFmtId="0" fontId="18" fillId="0" borderId="0" xfId="0" applyFont="1" applyFill="1" applyAlignment="1">
      <alignment vertical="center"/>
    </xf>
    <xf numFmtId="0" fontId="18" fillId="26" borderId="0" xfId="0" applyFont="1" applyFill="1" applyAlignment="1">
      <alignment vertical="center"/>
    </xf>
    <xf numFmtId="0" fontId="18" fillId="26" borderId="0" xfId="0" applyFont="1" applyFill="1" applyAlignment="1">
      <alignment horizontal="left" vertical="center"/>
    </xf>
    <xf numFmtId="0" fontId="62" fillId="26" borderId="0" xfId="0" applyFont="1" applyFill="1" applyAlignment="1">
      <alignment horizontal="center" vertical="center"/>
    </xf>
    <xf numFmtId="165" fontId="62" fillId="0" borderId="0" xfId="0" applyNumberFormat="1" applyFont="1" applyFill="1" applyBorder="1" applyAlignment="1">
      <alignment horizontal="left" vertical="center"/>
    </xf>
  </cellXfs>
  <cellStyles count="10">
    <cellStyle name="Comma" xfId="2" builtinId="3"/>
    <cellStyle name="Comma 2" xfId="4" xr:uid="{7365E40C-36DB-4EBA-AD19-B16F27F13F58}"/>
    <cellStyle name="Comma 3" xfId="8" xr:uid="{00000000-0005-0000-0000-000035000000}"/>
    <cellStyle name="Currency 2" xfId="5" xr:uid="{FD17DB11-DFCE-4DC4-AD5A-D8B36083EB22}"/>
    <cellStyle name="Currency 3" xfId="9" xr:uid="{00000000-0005-0000-0000-000036000000}"/>
    <cellStyle name="Hyperlink" xfId="6" builtinId="8"/>
    <cellStyle name="Normal" xfId="0" builtinId="0"/>
    <cellStyle name="Normal 2" xfId="3" xr:uid="{A736301F-78E0-40D1-B2B5-66134295C584}"/>
    <cellStyle name="Normal 3" xfId="7" xr:uid="{E7B9F99A-E530-44C7-8AEE-2091D7D8E840}"/>
    <cellStyle name="Percent" xfId="1" builtinId="5"/>
  </cellStyles>
  <dxfs count="0"/>
  <tableStyles count="0" defaultTableStyle="TableStyleMedium2" defaultPivotStyle="PivotStyleLight16"/>
  <colors>
    <mruColors>
      <color rgb="FF0000FF"/>
      <color rgb="FFF8483A"/>
      <color rgb="FFCCFFCC"/>
      <color rgb="FF0000CC"/>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r>
              <a:rPr lang="en-US" b="1"/>
              <a:t>Overall</a:t>
            </a:r>
            <a:r>
              <a:rPr lang="en-US" b="1" baseline="0"/>
              <a:t> Contributions</a:t>
            </a:r>
            <a:endParaRPr lang="en-US" b="1"/>
          </a:p>
        </c:rich>
      </c:tx>
      <c:layout>
        <c:manualLayout>
          <c:xMode val="edge"/>
          <c:yMode val="edge"/>
          <c:x val="0.32803175746325419"/>
          <c:y val="3.0828528191934223E-2"/>
        </c:manualLayout>
      </c:layout>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endParaRPr lang="en-US"/>
        </a:p>
      </c:txPr>
    </c:title>
    <c:autoTitleDeleted val="0"/>
    <c:plotArea>
      <c:layout>
        <c:manualLayout>
          <c:layoutTarget val="inner"/>
          <c:xMode val="edge"/>
          <c:yMode val="edge"/>
          <c:x val="0.12577475980640035"/>
          <c:y val="0.15825301872609476"/>
          <c:w val="0.84058609646271276"/>
          <c:h val="0.68243114763781587"/>
        </c:manualLayout>
      </c:layout>
      <c:barChart>
        <c:barDir val="col"/>
        <c:grouping val="clustered"/>
        <c:varyColors val="0"/>
        <c:ser>
          <c:idx val="0"/>
          <c:order val="0"/>
          <c:tx>
            <c:strRef>
              <c:f>'4. CF Profile'!$M$6</c:f>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'4. CF Profile'!$I$7:$I$21</c:f>
              <c:strCache>
                <c:ptCount val="15"/>
                <c:pt idx="0">
                  <c:v>Q1 2019</c:v>
                </c:pt>
                <c:pt idx="1">
                  <c:v>Q2 2019</c:v>
                </c:pt>
                <c:pt idx="2">
                  <c:v>Q3 2019</c:v>
                </c:pt>
                <c:pt idx="3">
                  <c:v>Q4 2019</c:v>
                </c:pt>
                <c:pt idx="4">
                  <c:v>Q1 2020</c:v>
                </c:pt>
                <c:pt idx="5">
                  <c:v>Q2 2020</c:v>
                </c:pt>
                <c:pt idx="6">
                  <c:v>Q3 2020</c:v>
                </c:pt>
                <c:pt idx="7">
                  <c:v>Q4 2020</c:v>
                </c:pt>
                <c:pt idx="8">
                  <c:v>Q1 2021</c:v>
                </c:pt>
                <c:pt idx="9">
                  <c:v>Q2 2021</c:v>
                </c:pt>
                <c:pt idx="10">
                  <c:v>Q3 2021</c:v>
                </c:pt>
                <c:pt idx="11">
                  <c:v>Q4 2021</c:v>
                </c:pt>
                <c:pt idx="12">
                  <c:v>Q1 2022</c:v>
                </c:pt>
                <c:pt idx="13">
                  <c:v>Q2 2022</c:v>
                </c:pt>
                <c:pt idx="14">
                  <c:v>Q3 2022</c:v>
                </c:pt>
              </c:strCache>
            </c:strRef>
          </c:cat>
          <c:val>
            <c:numRef>
              <c:f>'4. CF Profile'!$M$7:$M$21</c:f>
              <c:numCache>
                <c:formatCode>"$"#,##0.0_);[Red]\("$"#,##0.0\)</c:formatCode>
                <c:ptCount val="15"/>
                <c:pt idx="0">
                  <c:v>30</c:v>
                </c:pt>
                <c:pt idx="1">
                  <c:v>20.999998089999998</c:v>
                </c:pt>
                <c:pt idx="2">
                  <c:v>38</c:v>
                </c:pt>
                <c:pt idx="3">
                  <c:v>0</c:v>
                </c:pt>
                <c:pt idx="4">
                  <c:v>85.119193209619354</c:v>
                </c:pt>
                <c:pt idx="5">
                  <c:v>187.90503795060357</c:v>
                </c:pt>
                <c:pt idx="6">
                  <c:v>33.623435349941175</c:v>
                </c:pt>
                <c:pt idx="7">
                  <c:v>69.482292999999999</c:v>
                </c:pt>
                <c:pt idx="8">
                  <c:v>1.0845116099999996</c:v>
                </c:pt>
                <c:pt idx="9">
                  <c:v>39.775794244143562</c:v>
                </c:pt>
                <c:pt idx="10">
                  <c:v>1.4014197313999999</c:v>
                </c:pt>
                <c:pt idx="11">
                  <c:v>59.925434448477432</c:v>
                </c:pt>
                <c:pt idx="12">
                  <c:v>697.16739204940006</c:v>
                </c:pt>
                <c:pt idx="13">
                  <c:v>132.24097599999999</c:v>
                </c:pt>
                <c:pt idx="14">
                  <c:v>799.98477534339997</c:v>
                </c:pt>
              </c:numCache>
            </c:numRef>
          </c:val>
          <c:extLst>
            <c:ext xmlns:c16="http://schemas.microsoft.com/office/drawing/2014/chart" uri="{C3380CC4-5D6E-409C-BE32-E72D297353CC}">
              <c16:uniqueId val="{00000000-C6B5-4DD1-92C7-6293075E9D6F}"/>
            </c:ext>
          </c:extLst>
        </c:ser>
        <c:dLbls>
          <c:showLegendKey val="0"/>
          <c:showVal val="0"/>
          <c:showCatName val="0"/>
          <c:showSerName val="0"/>
          <c:showPercent val="0"/>
          <c:showBubbleSize val="0"/>
        </c:dLbls>
        <c:gapWidth val="219"/>
        <c:overlap val="-27"/>
        <c:axId val="997517584"/>
        <c:axId val="933419888"/>
      </c:barChart>
      <c:catAx>
        <c:axId val="99751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33419888"/>
        <c:crosses val="autoZero"/>
        <c:auto val="1"/>
        <c:lblAlgn val="ctr"/>
        <c:lblOffset val="100"/>
        <c:noMultiLvlLbl val="0"/>
      </c:catAx>
      <c:valAx>
        <c:axId val="933419888"/>
        <c:scaling>
          <c:orientation val="minMax"/>
        </c:scaling>
        <c:delete val="0"/>
        <c:axPos val="l"/>
        <c:majorGridlines>
          <c:spPr>
            <a:ln w="9525" cap="flat" cmpd="sng" algn="ctr">
              <a:solidFill>
                <a:schemeClr val="tx1">
                  <a:lumMod val="15000"/>
                  <a:lumOff val="85000"/>
                </a:schemeClr>
              </a:solidFill>
              <a:prstDash val="sysDot"/>
              <a:round/>
            </a:ln>
            <a:effectLst/>
          </c:spPr>
        </c:majorGridlines>
        <c:numFmt formatCode="&quot;$&quot;#,##0.0_);[Red]\(&quot;$&quot;#,##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975175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800">
          <a:latin typeface="Garamond" panose="02020404030301010803"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r>
              <a:rPr lang="en-US" b="1"/>
              <a:t>Overall</a:t>
            </a:r>
            <a:r>
              <a:rPr lang="en-US" b="1" baseline="0"/>
              <a:t> Distributions</a:t>
            </a:r>
            <a:endParaRPr lang="en-US" b="1"/>
          </a:p>
        </c:rich>
      </c:tx>
      <c:layout>
        <c:manualLayout>
          <c:xMode val="edge"/>
          <c:yMode val="edge"/>
          <c:x val="0.41201868829819543"/>
          <c:y val="4.138731755010825E-2"/>
        </c:manualLayout>
      </c:layout>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endParaRPr lang="en-US"/>
        </a:p>
      </c:txPr>
    </c:title>
    <c:autoTitleDeleted val="0"/>
    <c:plotArea>
      <c:layout>
        <c:manualLayout>
          <c:layoutTarget val="inner"/>
          <c:xMode val="edge"/>
          <c:yMode val="edge"/>
          <c:x val="0.12577475980640035"/>
          <c:y val="0.15825301872609476"/>
          <c:w val="0.84058609646271276"/>
          <c:h val="0.68243114763781587"/>
        </c:manualLayout>
      </c:layout>
      <c:barChart>
        <c:barDir val="col"/>
        <c:grouping val="clustered"/>
        <c:varyColors val="0"/>
        <c:ser>
          <c:idx val="0"/>
          <c:order val="0"/>
          <c:tx>
            <c:strRef>
              <c:f>'4. CF Profile'!$S$6</c:f>
              <c:strCache>
                <c:ptCount val="1"/>
              </c:strCache>
            </c:strRef>
          </c:tx>
          <c:spPr>
            <a:solidFill>
              <a:schemeClr val="accent1"/>
            </a:solidFill>
            <a:ln>
              <a:noFill/>
            </a:ln>
            <a:effectLst/>
          </c:spPr>
          <c:invertIfNegative val="0"/>
          <c:cat>
            <c:strRef>
              <c:f>'4. CF Profile'!$I$7:$I$21</c:f>
              <c:strCache>
                <c:ptCount val="15"/>
                <c:pt idx="0">
                  <c:v>Q1 2019</c:v>
                </c:pt>
                <c:pt idx="1">
                  <c:v>Q2 2019</c:v>
                </c:pt>
                <c:pt idx="2">
                  <c:v>Q3 2019</c:v>
                </c:pt>
                <c:pt idx="3">
                  <c:v>Q4 2019</c:v>
                </c:pt>
                <c:pt idx="4">
                  <c:v>Q1 2020</c:v>
                </c:pt>
                <c:pt idx="5">
                  <c:v>Q2 2020</c:v>
                </c:pt>
                <c:pt idx="6">
                  <c:v>Q3 2020</c:v>
                </c:pt>
                <c:pt idx="7">
                  <c:v>Q4 2020</c:v>
                </c:pt>
                <c:pt idx="8">
                  <c:v>Q1 2021</c:v>
                </c:pt>
                <c:pt idx="9">
                  <c:v>Q2 2021</c:v>
                </c:pt>
                <c:pt idx="10">
                  <c:v>Q3 2021</c:v>
                </c:pt>
                <c:pt idx="11">
                  <c:v>Q4 2021</c:v>
                </c:pt>
                <c:pt idx="12">
                  <c:v>Q1 2022</c:v>
                </c:pt>
                <c:pt idx="13">
                  <c:v>Q2 2022</c:v>
                </c:pt>
                <c:pt idx="14">
                  <c:v>Q3 2022</c:v>
                </c:pt>
              </c:strCache>
            </c:strRef>
          </c:cat>
          <c:val>
            <c:numRef>
              <c:f>'4. CF Profile'!$S$7:$S$21</c:f>
              <c:numCache>
                <c:formatCode>"$"#,##0.0_);[Red]\("$"#,##0.0\)</c:formatCode>
                <c:ptCount val="15"/>
                <c:pt idx="0">
                  <c:v>0</c:v>
                </c:pt>
                <c:pt idx="1">
                  <c:v>0</c:v>
                </c:pt>
                <c:pt idx="2">
                  <c:v>0</c:v>
                </c:pt>
                <c:pt idx="3">
                  <c:v>0</c:v>
                </c:pt>
                <c:pt idx="4">
                  <c:v>0</c:v>
                </c:pt>
                <c:pt idx="5">
                  <c:v>0</c:v>
                </c:pt>
                <c:pt idx="6">
                  <c:v>0</c:v>
                </c:pt>
                <c:pt idx="7">
                  <c:v>0.58290199999999992</c:v>
                </c:pt>
                <c:pt idx="8">
                  <c:v>7.6348349999999995E-2</c:v>
                </c:pt>
                <c:pt idx="9">
                  <c:v>0</c:v>
                </c:pt>
                <c:pt idx="10">
                  <c:v>0.44505899999999998</c:v>
                </c:pt>
                <c:pt idx="11">
                  <c:v>0.13969399999999998</c:v>
                </c:pt>
                <c:pt idx="12">
                  <c:v>0</c:v>
                </c:pt>
                <c:pt idx="13">
                  <c:v>5.227786</c:v>
                </c:pt>
                <c:pt idx="14">
                  <c:v>0</c:v>
                </c:pt>
              </c:numCache>
            </c:numRef>
          </c:val>
          <c:extLst>
            <c:ext xmlns:c16="http://schemas.microsoft.com/office/drawing/2014/chart" uri="{C3380CC4-5D6E-409C-BE32-E72D297353CC}">
              <c16:uniqueId val="{00000000-087B-4191-9358-04E55D15C3F2}"/>
            </c:ext>
          </c:extLst>
        </c:ser>
        <c:dLbls>
          <c:showLegendKey val="0"/>
          <c:showVal val="0"/>
          <c:showCatName val="0"/>
          <c:showSerName val="0"/>
          <c:showPercent val="0"/>
          <c:showBubbleSize val="0"/>
        </c:dLbls>
        <c:gapWidth val="219"/>
        <c:overlap val="-27"/>
        <c:axId val="997517584"/>
        <c:axId val="933419888"/>
      </c:barChart>
      <c:catAx>
        <c:axId val="99751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33419888"/>
        <c:crosses val="autoZero"/>
        <c:auto val="1"/>
        <c:lblAlgn val="ctr"/>
        <c:lblOffset val="100"/>
        <c:noMultiLvlLbl val="0"/>
      </c:catAx>
      <c:valAx>
        <c:axId val="933419888"/>
        <c:scaling>
          <c:orientation val="minMax"/>
          <c:max val="10"/>
        </c:scaling>
        <c:delete val="0"/>
        <c:axPos val="l"/>
        <c:majorGridlines>
          <c:spPr>
            <a:ln w="9525" cap="flat" cmpd="sng" algn="ctr">
              <a:solidFill>
                <a:schemeClr val="tx1">
                  <a:lumMod val="15000"/>
                  <a:lumOff val="85000"/>
                </a:schemeClr>
              </a:solidFill>
              <a:prstDash val="sysDot"/>
              <a:round/>
            </a:ln>
            <a:effectLst/>
          </c:spPr>
        </c:majorGridlines>
        <c:numFmt formatCode="&quot;$&quot;#,##0.0_);[Red]\(&quot;$&quot;#,##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975175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800">
          <a:latin typeface="Garamond" panose="02020404030301010803"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323322</xdr:colOff>
      <xdr:row>41</xdr:row>
      <xdr:rowOff>17992</xdr:rowOff>
    </xdr:from>
    <xdr:to>
      <xdr:col>13</xdr:col>
      <xdr:colOff>70910</xdr:colOff>
      <xdr:row>57</xdr:row>
      <xdr:rowOff>52916</xdr:rowOff>
    </xdr:to>
    <xdr:graphicFrame macro="">
      <xdr:nvGraphicFramePr>
        <xdr:cNvPr id="2" name="Chart 1">
          <a:extLst>
            <a:ext uri="{FF2B5EF4-FFF2-40B4-BE49-F238E27FC236}">
              <a16:creationId xmlns:a16="http://schemas.microsoft.com/office/drawing/2014/main" id="{6CCDE165-8794-44F1-B192-04775E529B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456141</xdr:colOff>
      <xdr:row>41</xdr:row>
      <xdr:rowOff>62442</xdr:rowOff>
    </xdr:from>
    <xdr:to>
      <xdr:col>19</xdr:col>
      <xdr:colOff>184679</xdr:colOff>
      <xdr:row>57</xdr:row>
      <xdr:rowOff>97366</xdr:rowOff>
    </xdr:to>
    <xdr:graphicFrame macro="">
      <xdr:nvGraphicFramePr>
        <xdr:cNvPr id="4" name="Chart 3">
          <a:extLst>
            <a:ext uri="{FF2B5EF4-FFF2-40B4-BE49-F238E27FC236}">
              <a16:creationId xmlns:a16="http://schemas.microsoft.com/office/drawing/2014/main" id="{687338A2-B4CF-4F62-9440-859A8959B5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tcowper/AppData/Local/Microsoft/Windows/INetCache/Content.Outlook/CXOJLCLH/2020%20Depreciation%20Budget%20v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lucy.malkin/AppData/Local/Microsoft/Windows/INetCache/Content.Outlook/W41H5SDE/FLYR%20-%20Detailed%20Bridge%20Financing%20Pro%20Forma%20Cap%20Tab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ersion Control"/>
      <sheetName val="Additions"/>
      <sheetName val="ONT"/>
      <sheetName val="OXUS"/>
      <sheetName val="OXGF"/>
      <sheetName val="OXSG"/>
      <sheetName val="UEL"/>
      <sheetName val="Output"/>
      <sheetName val="Capex"/>
      <sheetName val="Summary"/>
    </sheetNames>
    <sheetDataSet>
      <sheetData sheetId="0" refreshError="1"/>
      <sheetData sheetId="1"/>
      <sheetData sheetId="2">
        <row r="2">
          <cell r="N2">
            <v>43739</v>
          </cell>
          <cell r="O2">
            <v>43770</v>
          </cell>
          <cell r="P2">
            <v>43800</v>
          </cell>
          <cell r="Q2">
            <v>43831</v>
          </cell>
          <cell r="R2">
            <v>43862</v>
          </cell>
          <cell r="S2">
            <v>43891</v>
          </cell>
          <cell r="T2">
            <v>43922</v>
          </cell>
          <cell r="U2">
            <v>43952</v>
          </cell>
          <cell r="V2">
            <v>43983</v>
          </cell>
          <cell r="W2">
            <v>44013</v>
          </cell>
          <cell r="X2">
            <v>44044</v>
          </cell>
          <cell r="Y2">
            <v>44075</v>
          </cell>
          <cell r="Z2">
            <v>44105</v>
          </cell>
          <cell r="AA2">
            <v>44136</v>
          </cell>
          <cell r="AB2">
            <v>44166</v>
          </cell>
          <cell r="AC2">
            <v>44197</v>
          </cell>
          <cell r="AD2">
            <v>44228</v>
          </cell>
          <cell r="AE2">
            <v>44256</v>
          </cell>
          <cell r="AF2">
            <v>44287</v>
          </cell>
          <cell r="AG2">
            <v>44317</v>
          </cell>
          <cell r="AH2">
            <v>44348</v>
          </cell>
          <cell r="AI2">
            <v>44378</v>
          </cell>
          <cell r="AJ2">
            <v>44409</v>
          </cell>
          <cell r="AK2">
            <v>44440</v>
          </cell>
          <cell r="AL2">
            <v>44470</v>
          </cell>
          <cell r="AM2">
            <v>44501</v>
          </cell>
          <cell r="AN2">
            <v>44531</v>
          </cell>
        </row>
      </sheetData>
      <sheetData sheetId="3"/>
      <sheetData sheetId="4"/>
      <sheetData sheetId="5"/>
      <sheetData sheetId="6">
        <row r="3">
          <cell r="B3" t="str">
            <v>BLDG</v>
          </cell>
        </row>
        <row r="4">
          <cell r="B4" t="str">
            <v>ELECT</v>
          </cell>
        </row>
        <row r="5">
          <cell r="B5" t="str">
            <v>LAND</v>
          </cell>
        </row>
        <row r="6">
          <cell r="B6" t="str">
            <v>LHI</v>
          </cell>
        </row>
        <row r="7">
          <cell r="B7" t="str">
            <v>REFURB</v>
          </cell>
        </row>
        <row r="8">
          <cell r="B8" t="str">
            <v>FURN</v>
          </cell>
        </row>
        <row r="9">
          <cell r="B9" t="str">
            <v>IT EQUIP</v>
          </cell>
        </row>
        <row r="10">
          <cell r="B10" t="str">
            <v>BLDG PLANT</v>
          </cell>
        </row>
        <row r="11">
          <cell r="B11" t="str">
            <v>IT PLANT 7</v>
          </cell>
        </row>
        <row r="12">
          <cell r="B12" t="str">
            <v>IT PLANT10</v>
          </cell>
        </row>
        <row r="13">
          <cell r="B13" t="str">
            <v>LAB EQUIP</v>
          </cell>
        </row>
        <row r="14">
          <cell r="B14" t="str">
            <v>PLANT ACQD</v>
          </cell>
        </row>
        <row r="15">
          <cell r="B15" t="str">
            <v>INTERNAL</v>
          </cell>
        </row>
        <row r="18">
          <cell r="B18" t="str">
            <v>ONT</v>
          </cell>
        </row>
        <row r="19">
          <cell r="B19" t="str">
            <v>OXUS</v>
          </cell>
        </row>
        <row r="20">
          <cell r="B20" t="str">
            <v>GF</v>
          </cell>
        </row>
      </sheetData>
      <sheetData sheetId="7"/>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rrent Cap"/>
      <sheetName val="Pro Forma (2)"/>
    </sheetNames>
    <sheetDataSet>
      <sheetData sheetId="0">
        <row r="133">
          <cell r="T133">
            <v>43086515</v>
          </cell>
        </row>
      </sheetData>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0.xml.rels><?xml version="1.0" encoding="UTF-8" standalone="yes"?>
<Relationships xmlns="http://schemas.openxmlformats.org/package/2006/relationships"><Relationship Id="rId3" Type="http://schemas.openxmlformats.org/officeDocument/2006/relationships/customProperty" Target="../customProperty1.bin"/><Relationship Id="rId2" Type="http://schemas.openxmlformats.org/officeDocument/2006/relationships/printerSettings" Target="../printerSettings/printerSettings12.bin"/><Relationship Id="rId1" Type="http://schemas.openxmlformats.org/officeDocument/2006/relationships/hyperlink" Target="https://www.londonstockexchange.com/news-article/ONT/issue-of-equity-and-total-voting-rights/15523151" TargetMode="External"/></Relationships>
</file>

<file path=xl/worksheets/_rels/sheet2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DF99D-61A4-448A-AFCB-0D31A50936E2}">
  <sheetPr>
    <tabColor theme="7" tint="0.39997558519241921"/>
  </sheetPr>
  <dimension ref="B1:T52"/>
  <sheetViews>
    <sheetView showGridLines="0" tabSelected="1" zoomScaleNormal="100" workbookViewId="0">
      <selection activeCell="E21" sqref="E21"/>
    </sheetView>
  </sheetViews>
  <sheetFormatPr defaultRowHeight="15" x14ac:dyDescent="0.25"/>
  <cols>
    <col min="1" max="1" width="9.140625" style="80"/>
    <col min="2" max="2" width="5.28515625" style="80" customWidth="1"/>
    <col min="3" max="3" width="21.5703125" style="81" customWidth="1"/>
    <col min="4" max="4" width="15.85546875" style="80" bestFit="1" customWidth="1"/>
    <col min="5" max="8" width="14.5703125" style="80" customWidth="1"/>
    <col min="9" max="9" width="17.28515625" style="80" customWidth="1"/>
    <col min="10" max="13" width="13.7109375" style="80" customWidth="1"/>
    <col min="14" max="16" width="9.140625" style="80"/>
    <col min="17" max="18" width="29.85546875" style="80" bestFit="1" customWidth="1"/>
    <col min="19" max="19" width="11.85546875" style="80" customWidth="1"/>
    <col min="20" max="16384" width="9.140625" style="80"/>
  </cols>
  <sheetData>
    <row r="1" spans="2:20" ht="15.75" thickBot="1" x14ac:dyDescent="0.3"/>
    <row r="2" spans="2:20" s="138" customFormat="1" ht="15.75" thickBot="1" x14ac:dyDescent="0.3">
      <c r="C2" s="277" t="s">
        <v>261</v>
      </c>
      <c r="D2" s="291">
        <v>44834</v>
      </c>
      <c r="G2" s="80"/>
      <c r="H2" s="80"/>
      <c r="I2" s="80"/>
      <c r="J2" s="80"/>
      <c r="K2" s="80"/>
      <c r="L2" s="80"/>
      <c r="M2" s="80"/>
      <c r="N2" s="80"/>
      <c r="O2" s="80"/>
      <c r="P2" s="80"/>
      <c r="Q2" s="80"/>
      <c r="R2" s="80"/>
      <c r="S2" s="80"/>
    </row>
    <row r="3" spans="2:20" x14ac:dyDescent="0.25">
      <c r="F3" s="398"/>
      <c r="G3" s="398"/>
      <c r="H3" s="399" t="s">
        <v>274</v>
      </c>
      <c r="I3" s="398"/>
      <c r="J3" s="398"/>
      <c r="L3" s="334" t="s">
        <v>301</v>
      </c>
    </row>
    <row r="4" spans="2:20" ht="15.75" thickBot="1" x14ac:dyDescent="0.3">
      <c r="D4" s="305"/>
    </row>
    <row r="5" spans="2:20" x14ac:dyDescent="0.25">
      <c r="B5" s="322"/>
      <c r="C5" s="158"/>
      <c r="D5" s="323"/>
      <c r="E5" s="323"/>
      <c r="F5" s="323"/>
      <c r="G5" s="323"/>
      <c r="H5" s="323"/>
      <c r="I5" s="323"/>
      <c r="J5" s="323"/>
      <c r="K5" s="323"/>
      <c r="L5" s="323"/>
      <c r="M5" s="323"/>
      <c r="N5" s="160"/>
      <c r="P5" s="156"/>
      <c r="Q5" s="323"/>
      <c r="R5" s="323"/>
      <c r="S5" s="323"/>
      <c r="T5" s="160"/>
    </row>
    <row r="6" spans="2:20" x14ac:dyDescent="0.25">
      <c r="B6" s="167"/>
      <c r="C6" s="324"/>
      <c r="D6" s="325" t="s">
        <v>273</v>
      </c>
      <c r="E6" s="325" t="s">
        <v>43</v>
      </c>
      <c r="F6" s="326" t="s">
        <v>2</v>
      </c>
      <c r="G6" s="326" t="s">
        <v>326</v>
      </c>
      <c r="H6" s="326" t="s">
        <v>44</v>
      </c>
      <c r="I6" s="326" t="s">
        <v>249</v>
      </c>
      <c r="J6" s="326" t="s">
        <v>34</v>
      </c>
      <c r="K6" s="326" t="s">
        <v>45</v>
      </c>
      <c r="L6" s="326" t="s">
        <v>262</v>
      </c>
      <c r="M6" s="326" t="s">
        <v>152</v>
      </c>
      <c r="N6" s="168"/>
      <c r="P6" s="167"/>
      <c r="Q6" s="346" t="s">
        <v>310</v>
      </c>
      <c r="R6" s="347"/>
      <c r="S6" s="347"/>
      <c r="T6" s="168"/>
    </row>
    <row r="7" spans="2:20" x14ac:dyDescent="0.25">
      <c r="B7" s="167"/>
      <c r="C7" s="324"/>
      <c r="D7" s="324"/>
      <c r="E7" s="179"/>
      <c r="F7" s="179"/>
      <c r="G7" s="179"/>
      <c r="H7" s="179"/>
      <c r="I7" s="179"/>
      <c r="J7" s="179"/>
      <c r="K7" s="179"/>
      <c r="L7" s="179"/>
      <c r="M7" s="179"/>
      <c r="N7" s="168"/>
      <c r="P7" s="167"/>
      <c r="Q7" s="179"/>
      <c r="R7" s="179"/>
      <c r="S7" s="179"/>
      <c r="T7" s="168"/>
    </row>
    <row r="8" spans="2:20" x14ac:dyDescent="0.25">
      <c r="B8" s="167"/>
      <c r="C8" s="179" t="s">
        <v>266</v>
      </c>
      <c r="D8" s="332">
        <f>COUNTIF('Summary | 01 '!C10:C24,"*")</f>
        <v>15</v>
      </c>
      <c r="E8" s="282">
        <f ca="1">'1. IRR Equity1'!AC28</f>
        <v>2063.4980808689243</v>
      </c>
      <c r="F8" s="282">
        <f ca="1">'1. IRR Equity1'!AD28</f>
        <v>2050.9949194328437</v>
      </c>
      <c r="G8" s="282">
        <f ca="1">'1. IRR Equity1'!AE28</f>
        <v>12.503161436080433</v>
      </c>
      <c r="H8" s="282">
        <f ca="1">'1. IRR Equity1'!AF28</f>
        <v>5</v>
      </c>
      <c r="I8" s="282">
        <f ca="1">'1. IRR Equity1'!AG28</f>
        <v>2154.34861442078</v>
      </c>
      <c r="J8" s="419">
        <f>'1. IRR Equity1'!AH28</f>
        <v>6.4125332236289967E-2</v>
      </c>
      <c r="K8" s="341">
        <f ca="1">'1. IRR Equity1'!AI28</f>
        <v>1.0528298212547007</v>
      </c>
      <c r="L8" s="284">
        <f ca="1">'1. IRR Equity1'!AJ28</f>
        <v>1.0503919800135422</v>
      </c>
      <c r="M8" s="284">
        <f ca="1">'1. IRR Equity1'!AK28</f>
        <v>2.4378412411585285E-3</v>
      </c>
      <c r="N8" s="168"/>
      <c r="P8" s="167"/>
      <c r="Q8" s="348" t="s">
        <v>307</v>
      </c>
      <c r="R8" s="349"/>
      <c r="S8" s="349"/>
      <c r="T8" s="168"/>
    </row>
    <row r="9" spans="2:20" x14ac:dyDescent="0.25">
      <c r="B9" s="167"/>
      <c r="C9" s="324"/>
      <c r="D9" s="324"/>
      <c r="E9" s="179"/>
      <c r="F9" s="179"/>
      <c r="G9" s="179"/>
      <c r="H9" s="179"/>
      <c r="I9" s="179"/>
      <c r="J9" s="420"/>
      <c r="K9" s="179"/>
      <c r="L9" s="179"/>
      <c r="M9" s="179"/>
      <c r="N9" s="168"/>
      <c r="P9" s="167"/>
      <c r="Q9" s="58" t="s">
        <v>11</v>
      </c>
      <c r="R9" s="56" t="s">
        <v>246</v>
      </c>
      <c r="S9" s="71">
        <v>76.639999999999986</v>
      </c>
      <c r="T9" s="168"/>
    </row>
    <row r="10" spans="2:20" x14ac:dyDescent="0.25">
      <c r="B10" s="167"/>
      <c r="C10" s="324"/>
      <c r="D10" s="324"/>
      <c r="E10" s="179"/>
      <c r="F10" s="179"/>
      <c r="G10" s="179"/>
      <c r="H10" s="179"/>
      <c r="I10" s="179"/>
      <c r="J10" s="420"/>
      <c r="K10" s="179"/>
      <c r="L10" s="179"/>
      <c r="M10" s="179"/>
      <c r="N10" s="168"/>
      <c r="P10" s="167"/>
      <c r="Q10" s="58" t="s">
        <v>50</v>
      </c>
      <c r="R10" s="56" t="s">
        <v>246</v>
      </c>
      <c r="S10" s="71">
        <v>68.082229999999996</v>
      </c>
      <c r="T10" s="168"/>
    </row>
    <row r="11" spans="2:20" x14ac:dyDescent="0.25">
      <c r="B11" s="167"/>
      <c r="C11" s="179" t="s">
        <v>267</v>
      </c>
      <c r="D11" s="332">
        <f>COUNTIF('Summary | 01 '!C28:C30,"*")</f>
        <v>3</v>
      </c>
      <c r="E11" s="282">
        <f>'2. IRR Debt'!Q12</f>
        <v>10.765747000000001</v>
      </c>
      <c r="F11" s="282">
        <f>'2. IRR Debt'!R12</f>
        <v>10.765747000000001</v>
      </c>
      <c r="G11" s="282">
        <f>'2. IRR Debt'!S12</f>
        <v>0</v>
      </c>
      <c r="H11" s="282">
        <f>'2. IRR Debt'!T12</f>
        <v>0</v>
      </c>
      <c r="I11" s="282">
        <f>'2. IRR Debt'!U12</f>
        <v>2.810420682191781</v>
      </c>
      <c r="J11" s="419">
        <f>'2. IRR Debt'!V12</f>
        <v>-0.40060764662921433</v>
      </c>
      <c r="K11" s="341">
        <f>'2. IRR Debt'!W12</f>
        <v>0.26105208325922769</v>
      </c>
      <c r="L11" s="284">
        <f>'2. IRR Debt'!X12</f>
        <v>0.26105208325922769</v>
      </c>
      <c r="M11" s="284">
        <f>'2. IRR Debt'!Y12</f>
        <v>0</v>
      </c>
      <c r="N11" s="168"/>
      <c r="P11" s="167"/>
      <c r="Q11" s="58" t="s">
        <v>46</v>
      </c>
      <c r="R11" s="56" t="s">
        <v>246</v>
      </c>
      <c r="S11" s="71">
        <v>60.462712790302817</v>
      </c>
      <c r="T11" s="168"/>
    </row>
    <row r="12" spans="2:20" x14ac:dyDescent="0.25">
      <c r="B12" s="167"/>
      <c r="C12" s="324"/>
      <c r="D12" s="333"/>
      <c r="E12" s="179"/>
      <c r="F12" s="179"/>
      <c r="G12" s="179"/>
      <c r="H12" s="179"/>
      <c r="I12" s="179"/>
      <c r="J12" s="420"/>
      <c r="K12" s="179"/>
      <c r="L12" s="179"/>
      <c r="M12" s="179"/>
      <c r="N12" s="168"/>
      <c r="P12" s="167"/>
      <c r="Q12" s="58" t="s">
        <v>186</v>
      </c>
      <c r="R12" s="56" t="s">
        <v>65</v>
      </c>
      <c r="S12" s="71">
        <v>10.3408485438</v>
      </c>
      <c r="T12" s="168"/>
    </row>
    <row r="13" spans="2:20" x14ac:dyDescent="0.25">
      <c r="B13" s="167"/>
      <c r="C13" s="324"/>
      <c r="D13" s="333"/>
      <c r="E13" s="179"/>
      <c r="F13" s="179"/>
      <c r="G13" s="179"/>
      <c r="H13" s="179"/>
      <c r="I13" s="179"/>
      <c r="J13" s="420"/>
      <c r="K13" s="179"/>
      <c r="L13" s="179"/>
      <c r="M13" s="179"/>
      <c r="N13" s="168"/>
      <c r="P13" s="167"/>
      <c r="Q13" s="58" t="s">
        <v>142</v>
      </c>
      <c r="R13" s="56" t="s">
        <v>246</v>
      </c>
      <c r="S13" s="71">
        <v>8.11054845363347</v>
      </c>
      <c r="T13" s="168"/>
    </row>
    <row r="14" spans="2:20" x14ac:dyDescent="0.25">
      <c r="B14" s="167"/>
      <c r="C14" s="179" t="s">
        <v>268</v>
      </c>
      <c r="D14" s="332">
        <f>COUNTIF('Summary | 01 '!C34:C38,"*")</f>
        <v>5</v>
      </c>
      <c r="E14" s="282">
        <f>'3. IRR Funds'!Q15</f>
        <v>395.37629041129463</v>
      </c>
      <c r="F14" s="282">
        <f ca="1">'3. IRR Funds'!R15</f>
        <v>134.94959459414116</v>
      </c>
      <c r="G14" s="282">
        <f ca="1">'3. IRR Funds'!S15</f>
        <v>261.45465681715348</v>
      </c>
      <c r="H14" s="282">
        <f ca="1">'3. IRR Funds'!T15</f>
        <v>1.4717893499999999</v>
      </c>
      <c r="I14" s="282">
        <f ca="1">'3. IRR Funds'!U15</f>
        <v>140.19736563794118</v>
      </c>
      <c r="J14" s="419">
        <f>'3. IRR Funds'!V15</f>
        <v>2.7224668860435487E-2</v>
      </c>
      <c r="K14" s="341">
        <f ca="1">'3. IRR Funds'!W15</f>
        <v>1.0497931128582416</v>
      </c>
      <c r="L14" s="284">
        <f ca="1">'3. IRR Funds'!X15</f>
        <v>1.0388868974344281</v>
      </c>
      <c r="M14" s="284">
        <f ca="1">'3. IRR Funds'!Y15</f>
        <v>1.090621542381349E-2</v>
      </c>
      <c r="N14" s="168"/>
      <c r="P14" s="167"/>
      <c r="Q14" s="58" t="s">
        <v>51</v>
      </c>
      <c r="R14" s="56" t="s">
        <v>246</v>
      </c>
      <c r="S14" s="71">
        <v>2.5</v>
      </c>
      <c r="T14" s="168"/>
    </row>
    <row r="15" spans="2:20" x14ac:dyDescent="0.25">
      <c r="B15" s="167"/>
      <c r="C15" s="324"/>
      <c r="D15" s="333"/>
      <c r="E15" s="179"/>
      <c r="F15" s="179"/>
      <c r="G15" s="179"/>
      <c r="H15" s="179"/>
      <c r="I15" s="179"/>
      <c r="J15" s="420"/>
      <c r="K15" s="179"/>
      <c r="L15" s="179"/>
      <c r="M15" s="179"/>
      <c r="N15" s="168"/>
      <c r="P15" s="167"/>
      <c r="Q15" s="58" t="s">
        <v>49</v>
      </c>
      <c r="R15" s="56" t="s">
        <v>246</v>
      </c>
      <c r="S15" s="71">
        <v>1.001540300000002</v>
      </c>
      <c r="T15" s="168"/>
    </row>
    <row r="16" spans="2:20" x14ac:dyDescent="0.25">
      <c r="B16" s="167"/>
      <c r="C16" s="324"/>
      <c r="D16" s="324"/>
      <c r="E16" s="179"/>
      <c r="F16" s="179"/>
      <c r="G16" s="179"/>
      <c r="H16" s="179"/>
      <c r="I16" s="179"/>
      <c r="J16" s="420"/>
      <c r="K16" s="179"/>
      <c r="L16" s="179"/>
      <c r="M16" s="179"/>
      <c r="N16" s="168"/>
      <c r="P16" s="167"/>
      <c r="Q16" s="179"/>
      <c r="R16" s="179"/>
      <c r="S16" s="179"/>
      <c r="T16" s="168"/>
    </row>
    <row r="17" spans="2:20" x14ac:dyDescent="0.25">
      <c r="B17" s="167"/>
      <c r="C17" s="179" t="s">
        <v>269</v>
      </c>
      <c r="D17" s="332">
        <f t="shared" ref="D17:I17" si="0">D8+D11+D14</f>
        <v>23</v>
      </c>
      <c r="E17" s="282">
        <f t="shared" ca="1" si="0"/>
        <v>2469.6401182802188</v>
      </c>
      <c r="F17" s="282">
        <f t="shared" ca="1" si="0"/>
        <v>2196.7102610269849</v>
      </c>
      <c r="G17" s="282">
        <f t="shared" ca="1" si="0"/>
        <v>273.95781825323388</v>
      </c>
      <c r="H17" s="282">
        <f t="shared" ca="1" si="0"/>
        <v>6.4717893499999999</v>
      </c>
      <c r="I17" s="282">
        <f t="shared" ca="1" si="0"/>
        <v>2297.3564007409132</v>
      </c>
      <c r="J17" s="419">
        <f>'4.All'!N9</f>
        <v>5.4621204733848558E-2</v>
      </c>
      <c r="K17" s="341">
        <f ca="1">(H17+I17)/F17</f>
        <v>1.0487628846481782</v>
      </c>
      <c r="L17" s="284">
        <f ca="1">I17/F17</f>
        <v>1.0458167567655805</v>
      </c>
      <c r="M17" s="284">
        <f ca="1">H17/F17</f>
        <v>2.946127882597667E-3</v>
      </c>
      <c r="N17" s="168"/>
      <c r="P17" s="167"/>
      <c r="Q17" s="348" t="s">
        <v>306</v>
      </c>
      <c r="R17" s="349"/>
      <c r="S17" s="349"/>
      <c r="T17" s="168"/>
    </row>
    <row r="18" spans="2:20" s="92" customFormat="1" ht="15.75" thickBot="1" x14ac:dyDescent="0.3">
      <c r="B18" s="327"/>
      <c r="C18" s="328"/>
      <c r="D18" s="328"/>
      <c r="E18" s="429"/>
      <c r="F18" s="328"/>
      <c r="G18" s="328"/>
      <c r="H18" s="328"/>
      <c r="I18" s="328"/>
      <c r="J18" s="421"/>
      <c r="K18" s="328"/>
      <c r="L18" s="328"/>
      <c r="M18" s="328"/>
      <c r="N18" s="329"/>
      <c r="P18" s="350"/>
      <c r="Q18" s="58" t="s">
        <v>59</v>
      </c>
      <c r="R18" s="56" t="s">
        <v>246</v>
      </c>
      <c r="S18" s="71">
        <v>-65</v>
      </c>
      <c r="T18" s="351"/>
    </row>
    <row r="19" spans="2:20" x14ac:dyDescent="0.25">
      <c r="E19" s="430" t="b">
        <f ca="1">E17='Summary | 01 '!J41</f>
        <v>1</v>
      </c>
      <c r="F19" s="430" t="b">
        <f ca="1">F17='Summary | 01 '!K41</f>
        <v>1</v>
      </c>
      <c r="G19" s="431" t="b">
        <f ca="1">ROUND(G17,1)=ROUND('Summary | 01 '!L41,1)</f>
        <v>1</v>
      </c>
      <c r="H19" s="431" t="b">
        <f ca="1">ROUND(H17,1)=ROUND('Summary | 01 '!M41,1)</f>
        <v>1</v>
      </c>
      <c r="I19" s="431" t="b">
        <f ca="1">ROUND(I17,1)=ROUND('Summary | 01 '!N41,1)</f>
        <v>1</v>
      </c>
      <c r="J19" s="422"/>
      <c r="P19" s="167"/>
      <c r="Q19" s="58" t="s">
        <v>143</v>
      </c>
      <c r="R19" s="56" t="s">
        <v>246</v>
      </c>
      <c r="S19" s="71">
        <v>-13.055784900000001</v>
      </c>
      <c r="T19" s="168"/>
    </row>
    <row r="20" spans="2:20" ht="15.75" thickBot="1" x14ac:dyDescent="0.3">
      <c r="J20" s="422"/>
      <c r="P20" s="167"/>
      <c r="Q20" s="58" t="s">
        <v>60</v>
      </c>
      <c r="R20" s="56" t="s">
        <v>55</v>
      </c>
      <c r="S20" s="71">
        <v>-8</v>
      </c>
      <c r="T20" s="168"/>
    </row>
    <row r="21" spans="2:20" x14ac:dyDescent="0.25">
      <c r="B21" s="156"/>
      <c r="C21" s="255"/>
      <c r="D21" s="323"/>
      <c r="E21" s="323"/>
      <c r="F21" s="323"/>
      <c r="G21" s="323"/>
      <c r="H21" s="323"/>
      <c r="I21" s="323"/>
      <c r="J21" s="423"/>
      <c r="K21" s="323"/>
      <c r="L21" s="323"/>
      <c r="M21" s="323"/>
      <c r="N21" s="160"/>
      <c r="P21" s="167"/>
      <c r="Q21" s="58" t="s">
        <v>0</v>
      </c>
      <c r="R21" s="56" t="s">
        <v>246</v>
      </c>
      <c r="S21" s="71">
        <v>-4.9000000000000004</v>
      </c>
      <c r="T21" s="168"/>
    </row>
    <row r="22" spans="2:20" x14ac:dyDescent="0.25">
      <c r="B22" s="167"/>
      <c r="C22" s="427" t="s">
        <v>360</v>
      </c>
      <c r="D22" s="325" t="s">
        <v>273</v>
      </c>
      <c r="E22" s="325" t="s">
        <v>43</v>
      </c>
      <c r="F22" s="326" t="s">
        <v>2</v>
      </c>
      <c r="G22" s="326" t="s">
        <v>326</v>
      </c>
      <c r="H22" s="326" t="s">
        <v>44</v>
      </c>
      <c r="I22" s="326" t="s">
        <v>249</v>
      </c>
      <c r="J22" s="424" t="s">
        <v>34</v>
      </c>
      <c r="K22" s="326" t="s">
        <v>45</v>
      </c>
      <c r="L22" s="326" t="s">
        <v>262</v>
      </c>
      <c r="M22" s="326" t="s">
        <v>152</v>
      </c>
      <c r="N22" s="168"/>
      <c r="P22" s="167"/>
      <c r="Q22" s="58" t="s">
        <v>1</v>
      </c>
      <c r="R22" s="56" t="s">
        <v>65</v>
      </c>
      <c r="S22" s="71">
        <v>-2.8666919999999863</v>
      </c>
      <c r="T22" s="168"/>
    </row>
    <row r="23" spans="2:20" x14ac:dyDescent="0.25">
      <c r="B23" s="167"/>
      <c r="C23" s="324"/>
      <c r="D23" s="179"/>
      <c r="E23" s="179"/>
      <c r="F23" s="179"/>
      <c r="G23" s="179"/>
      <c r="H23" s="179"/>
      <c r="I23" s="179"/>
      <c r="J23" s="420"/>
      <c r="K23" s="179"/>
      <c r="L23" s="179"/>
      <c r="M23" s="179"/>
      <c r="N23" s="168"/>
      <c r="P23" s="167"/>
      <c r="Q23" s="58" t="s">
        <v>15</v>
      </c>
      <c r="R23" s="56" t="s">
        <v>65</v>
      </c>
      <c r="S23" s="71">
        <v>-0.47118065000000087</v>
      </c>
      <c r="T23" s="168"/>
    </row>
    <row r="24" spans="2:20" x14ac:dyDescent="0.25">
      <c r="B24" s="167"/>
      <c r="C24" s="331" t="s">
        <v>317</v>
      </c>
      <c r="D24" s="332">
        <f>'1.1(P1)'!O23</f>
        <v>9</v>
      </c>
      <c r="E24" s="282">
        <f>'1.1(P1)'!P23</f>
        <v>379.99397987284391</v>
      </c>
      <c r="F24" s="282">
        <f>'1.1(P1)'!Q23</f>
        <v>379.99397987284391</v>
      </c>
      <c r="G24" s="282">
        <f>'1.1(P1)'!R23</f>
        <v>0</v>
      </c>
      <c r="H24" s="282">
        <f>'1.1(P1)'!S23</f>
        <v>5</v>
      </c>
      <c r="I24" s="282">
        <f>'1.1(P1)'!T23</f>
        <v>442.81027629047736</v>
      </c>
      <c r="J24" s="419">
        <f>'1.1(P1)'!U23</f>
        <v>7.6285400986671456E-2</v>
      </c>
      <c r="K24" s="341">
        <f>'1.1(P1)'!V23</f>
        <v>1.178466765290141</v>
      </c>
      <c r="L24" s="284">
        <f>'1.1(P1)'!W23</f>
        <v>1.1653086620968403</v>
      </c>
      <c r="M24" s="284">
        <f>'1.1(P1)'!X23</f>
        <v>1.3158103193300939E-2</v>
      </c>
      <c r="N24" s="168"/>
      <c r="P24" s="167"/>
      <c r="Q24" s="58" t="s">
        <v>263</v>
      </c>
      <c r="R24" s="56" t="s">
        <v>65</v>
      </c>
      <c r="S24" s="71">
        <v>-0.28341550000000026</v>
      </c>
      <c r="T24" s="168"/>
    </row>
    <row r="25" spans="2:20" x14ac:dyDescent="0.25">
      <c r="B25" s="167"/>
      <c r="C25" s="331"/>
      <c r="D25" s="179"/>
      <c r="E25" s="179"/>
      <c r="F25" s="179"/>
      <c r="G25" s="179"/>
      <c r="H25" s="179"/>
      <c r="I25" s="179"/>
      <c r="J25" s="420"/>
      <c r="K25" s="179"/>
      <c r="L25" s="179"/>
      <c r="M25" s="179"/>
      <c r="N25" s="168"/>
      <c r="P25" s="167"/>
      <c r="Q25" s="179"/>
      <c r="R25" s="179"/>
      <c r="S25" s="179"/>
      <c r="T25" s="168"/>
    </row>
    <row r="26" spans="2:20" x14ac:dyDescent="0.25">
      <c r="B26" s="167"/>
      <c r="C26" s="331" t="s">
        <v>319</v>
      </c>
      <c r="D26" s="332">
        <v>3</v>
      </c>
      <c r="E26" s="282">
        <f>F26</f>
        <v>83</v>
      </c>
      <c r="F26" s="282">
        <v>83</v>
      </c>
      <c r="G26" s="282">
        <v>0</v>
      </c>
      <c r="H26" s="282">
        <v>0</v>
      </c>
      <c r="I26" s="282">
        <v>81.18222999999999</v>
      </c>
      <c r="J26" s="419">
        <v>-6.7133113741874688E-3</v>
      </c>
      <c r="K26" s="341">
        <v>0.97809915662650593</v>
      </c>
      <c r="L26" s="284">
        <v>0.97809915662650593</v>
      </c>
      <c r="M26" s="284">
        <v>0</v>
      </c>
      <c r="N26" s="168"/>
      <c r="P26" s="167"/>
      <c r="Q26" s="343" t="s">
        <v>308</v>
      </c>
      <c r="R26" s="344"/>
      <c r="S26" s="345">
        <f>SUM(S9:S24)</f>
        <v>132.56080703773631</v>
      </c>
      <c r="T26" s="168"/>
    </row>
    <row r="27" spans="2:20" x14ac:dyDescent="0.25">
      <c r="B27" s="167"/>
      <c r="C27" s="331"/>
      <c r="D27" s="179"/>
      <c r="E27" s="179"/>
      <c r="G27" s="179"/>
      <c r="J27" s="425"/>
      <c r="N27" s="168"/>
      <c r="P27" s="167"/>
      <c r="Q27" s="179"/>
      <c r="R27" s="179"/>
      <c r="S27" s="179"/>
      <c r="T27" s="168"/>
    </row>
    <row r="28" spans="2:20" x14ac:dyDescent="0.25">
      <c r="B28" s="167"/>
      <c r="C28" s="331" t="s">
        <v>320</v>
      </c>
      <c r="D28" s="332">
        <v>4</v>
      </c>
      <c r="E28" s="282">
        <f>F28</f>
        <v>293.9702596743665</v>
      </c>
      <c r="F28" s="282">
        <v>293.9702596743665</v>
      </c>
      <c r="G28" s="282">
        <v>0</v>
      </c>
      <c r="H28" s="282">
        <v>5</v>
      </c>
      <c r="I28" s="282">
        <v>377.22234842799998</v>
      </c>
      <c r="J28" s="419">
        <v>0.12646896243095396</v>
      </c>
      <c r="K28" s="341">
        <v>1.3002075408967937</v>
      </c>
      <c r="L28" s="284">
        <v>1.2831990176348198</v>
      </c>
      <c r="M28" s="284">
        <v>1.7008523261973999E-2</v>
      </c>
      <c r="N28" s="168"/>
      <c r="P28" s="167"/>
      <c r="Q28" s="179"/>
      <c r="R28" s="179"/>
      <c r="S28" s="179"/>
      <c r="T28" s="168"/>
    </row>
    <row r="29" spans="2:20" x14ac:dyDescent="0.25">
      <c r="B29" s="167"/>
      <c r="C29" s="331"/>
      <c r="D29" s="179"/>
      <c r="E29" s="179"/>
      <c r="G29" s="179"/>
      <c r="J29" s="425"/>
      <c r="N29" s="168"/>
      <c r="P29" s="167"/>
      <c r="Q29" s="179"/>
      <c r="R29" s="179"/>
      <c r="S29" s="179"/>
      <c r="T29" s="168"/>
    </row>
    <row r="30" spans="2:20" x14ac:dyDescent="0.25">
      <c r="B30" s="167"/>
      <c r="C30" s="331" t="s">
        <v>321</v>
      </c>
      <c r="D30" s="332">
        <v>2</v>
      </c>
      <c r="E30" s="282">
        <f>F30</f>
        <v>8.0237201984774345</v>
      </c>
      <c r="F30" s="282">
        <v>8.0237201984774345</v>
      </c>
      <c r="G30" s="282">
        <v>0</v>
      </c>
      <c r="H30" s="282">
        <v>0</v>
      </c>
      <c r="I30" s="282">
        <v>8.0237201984774345</v>
      </c>
      <c r="J30" s="419">
        <v>2.9802322387695314E-9</v>
      </c>
      <c r="K30" s="341">
        <v>1</v>
      </c>
      <c r="L30" s="284">
        <v>1</v>
      </c>
      <c r="M30" s="284">
        <v>0</v>
      </c>
      <c r="N30" s="168"/>
      <c r="P30" s="167"/>
      <c r="Q30" s="179"/>
      <c r="R30" s="179"/>
      <c r="S30" s="179"/>
      <c r="T30" s="168"/>
    </row>
    <row r="31" spans="2:20" ht="15.75" thickBot="1" x14ac:dyDescent="0.3">
      <c r="B31" s="172"/>
      <c r="C31" s="253"/>
      <c r="D31" s="330"/>
      <c r="E31" s="330"/>
      <c r="F31" s="330"/>
      <c r="G31" s="330"/>
      <c r="H31" s="330"/>
      <c r="I31" s="330"/>
      <c r="J31" s="426"/>
      <c r="K31" s="330"/>
      <c r="L31" s="330"/>
      <c r="M31" s="330"/>
      <c r="N31" s="176"/>
      <c r="P31" s="172"/>
      <c r="Q31" s="330"/>
      <c r="R31" s="330"/>
      <c r="S31" s="330"/>
      <c r="T31" s="176"/>
    </row>
    <row r="32" spans="2:20" x14ac:dyDescent="0.25">
      <c r="J32" s="425"/>
    </row>
    <row r="33" spans="2:14" ht="15.75" thickBot="1" x14ac:dyDescent="0.3">
      <c r="J33" s="425"/>
    </row>
    <row r="34" spans="2:14" x14ac:dyDescent="0.25">
      <c r="B34" s="156"/>
      <c r="C34" s="255" t="s">
        <v>361</v>
      </c>
      <c r="D34" s="323"/>
      <c r="E34" s="323"/>
      <c r="F34" s="323"/>
      <c r="G34" s="323"/>
      <c r="H34" s="323"/>
      <c r="I34" s="323"/>
      <c r="J34" s="423"/>
      <c r="K34" s="323"/>
      <c r="L34" s="323"/>
      <c r="M34" s="323"/>
      <c r="N34" s="160"/>
    </row>
    <row r="35" spans="2:14" x14ac:dyDescent="0.25">
      <c r="B35" s="167"/>
      <c r="C35" s="324"/>
      <c r="D35" s="325" t="s">
        <v>273</v>
      </c>
      <c r="E35" s="325" t="s">
        <v>43</v>
      </c>
      <c r="F35" s="326" t="s">
        <v>2</v>
      </c>
      <c r="G35" s="326" t="s">
        <v>326</v>
      </c>
      <c r="H35" s="326" t="s">
        <v>44</v>
      </c>
      <c r="I35" s="326" t="s">
        <v>249</v>
      </c>
      <c r="J35" s="424" t="s">
        <v>34</v>
      </c>
      <c r="K35" s="326" t="s">
        <v>45</v>
      </c>
      <c r="L35" s="326" t="s">
        <v>262</v>
      </c>
      <c r="M35" s="326" t="s">
        <v>152</v>
      </c>
      <c r="N35" s="168"/>
    </row>
    <row r="36" spans="2:14" x14ac:dyDescent="0.25">
      <c r="B36" s="167"/>
      <c r="C36" s="324"/>
      <c r="D36" s="179"/>
      <c r="E36" s="179"/>
      <c r="F36" s="179"/>
      <c r="G36" s="179"/>
      <c r="H36" s="179"/>
      <c r="I36" s="179"/>
      <c r="J36" s="420"/>
      <c r="K36" s="179"/>
      <c r="L36" s="179"/>
      <c r="M36" s="179"/>
      <c r="N36" s="168"/>
    </row>
    <row r="37" spans="2:14" x14ac:dyDescent="0.25">
      <c r="B37" s="167"/>
      <c r="C37" s="331" t="s">
        <v>336</v>
      </c>
      <c r="D37" s="332">
        <v>8</v>
      </c>
      <c r="E37" s="282">
        <v>2578.8539820000001</v>
      </c>
      <c r="F37" s="282">
        <v>1528.8598371999997</v>
      </c>
      <c r="G37" s="282">
        <f>E37-F37</f>
        <v>1049.9941448000004</v>
      </c>
      <c r="H37" s="282">
        <v>1.4717893499999999</v>
      </c>
      <c r="I37" s="282">
        <v>1591.9989059903025</v>
      </c>
      <c r="J37" s="419">
        <v>6.4502593874931333E-2</v>
      </c>
      <c r="K37" s="341">
        <v>1.0422608119908712</v>
      </c>
      <c r="L37" s="284">
        <v>1.0412981407804771</v>
      </c>
      <c r="M37" s="284">
        <v>9.6267121039393612E-4</v>
      </c>
      <c r="N37" s="168"/>
    </row>
    <row r="38" spans="2:14" x14ac:dyDescent="0.25">
      <c r="B38" s="167"/>
      <c r="C38" s="331"/>
      <c r="D38" s="179"/>
      <c r="E38" s="179"/>
      <c r="G38" s="179"/>
      <c r="J38" s="425"/>
      <c r="N38" s="168"/>
    </row>
    <row r="39" spans="2:14" x14ac:dyDescent="0.25">
      <c r="B39" s="167"/>
      <c r="C39" s="331" t="s">
        <v>338</v>
      </c>
      <c r="D39" s="332">
        <v>3</v>
      </c>
      <c r="E39" s="282">
        <v>22.911764999999999</v>
      </c>
      <c r="F39" s="282">
        <v>22.911764999999999</v>
      </c>
      <c r="G39" s="282">
        <v>0</v>
      </c>
      <c r="H39" s="282">
        <v>5</v>
      </c>
      <c r="I39" s="282">
        <v>20.456438682191781</v>
      </c>
      <c r="J39" s="419">
        <v>8.2198861241340654E-2</v>
      </c>
      <c r="K39" s="341">
        <v>1.1110640617251348</v>
      </c>
      <c r="L39" s="284">
        <v>0.89283556645207307</v>
      </c>
      <c r="M39" s="284">
        <v>0.21822849527306168</v>
      </c>
      <c r="N39" s="168"/>
    </row>
    <row r="40" spans="2:14" x14ac:dyDescent="0.25">
      <c r="B40" s="167"/>
      <c r="C40" s="331"/>
      <c r="D40" s="179"/>
      <c r="E40" s="179"/>
      <c r="G40" s="179"/>
      <c r="J40" s="425"/>
      <c r="N40" s="168"/>
    </row>
    <row r="41" spans="2:14" x14ac:dyDescent="0.25">
      <c r="B41" s="167"/>
      <c r="C41" s="331" t="s">
        <v>359</v>
      </c>
      <c r="D41" s="332">
        <v>1</v>
      </c>
      <c r="E41" s="282">
        <v>300</v>
      </c>
      <c r="F41" s="282">
        <v>300</v>
      </c>
      <c r="G41" s="282">
        <v>0</v>
      </c>
      <c r="H41" s="282">
        <v>0</v>
      </c>
      <c r="I41" s="282">
        <v>300</v>
      </c>
      <c r="J41" s="419">
        <v>2.9802322387695314E-9</v>
      </c>
      <c r="K41" s="341">
        <v>1</v>
      </c>
      <c r="L41" s="284">
        <v>1</v>
      </c>
      <c r="M41" s="284">
        <v>0</v>
      </c>
      <c r="N41" s="168"/>
    </row>
    <row r="42" spans="2:14" x14ac:dyDescent="0.25">
      <c r="B42" s="167"/>
      <c r="C42" s="331"/>
      <c r="D42" s="179"/>
      <c r="E42" s="179"/>
      <c r="G42" s="179"/>
      <c r="J42" s="425"/>
      <c r="N42" s="168"/>
    </row>
    <row r="43" spans="2:14" x14ac:dyDescent="0.25">
      <c r="B43" s="167"/>
      <c r="C43" s="331" t="s">
        <v>334</v>
      </c>
      <c r="D43" s="332">
        <v>7</v>
      </c>
      <c r="E43" s="282">
        <v>193.11250000000001</v>
      </c>
      <c r="F43" s="282">
        <v>174.12686249999999</v>
      </c>
      <c r="G43" s="282">
        <v>18.985637500000003</v>
      </c>
      <c r="H43" s="282">
        <v>0</v>
      </c>
      <c r="I43" s="282">
        <v>221.87141575999999</v>
      </c>
      <c r="J43" s="419">
        <v>0.12701625227928162</v>
      </c>
      <c r="K43" s="341">
        <v>1.2503350938490374</v>
      </c>
      <c r="L43" s="284">
        <v>1.2503350938490374</v>
      </c>
      <c r="M43" s="284">
        <v>0</v>
      </c>
      <c r="N43" s="168"/>
    </row>
    <row r="44" spans="2:14" x14ac:dyDescent="0.25">
      <c r="B44" s="167"/>
      <c r="C44" s="331"/>
      <c r="D44" s="179"/>
      <c r="E44" s="179"/>
      <c r="G44" s="179"/>
      <c r="J44" s="425"/>
      <c r="N44" s="168"/>
    </row>
    <row r="45" spans="2:14" x14ac:dyDescent="0.25">
      <c r="B45" s="167"/>
      <c r="C45" s="331" t="s">
        <v>339</v>
      </c>
      <c r="D45" s="332">
        <v>4</v>
      </c>
      <c r="E45" s="282">
        <v>174.76187128021894</v>
      </c>
      <c r="F45" s="282">
        <v>170.8159139630655</v>
      </c>
      <c r="G45" s="282">
        <v>3.945957317153443</v>
      </c>
      <c r="H45" s="282">
        <v>0</v>
      </c>
      <c r="I45" s="282">
        <v>189.26320996441859</v>
      </c>
      <c r="J45" s="419">
        <v>4.8084196448326108E-2</v>
      </c>
      <c r="K45" s="341">
        <v>1.1080217853609446</v>
      </c>
      <c r="L45" s="284">
        <v>1.1080217853609446</v>
      </c>
      <c r="M45" s="284">
        <v>0</v>
      </c>
      <c r="N45" s="168"/>
    </row>
    <row r="46" spans="2:14" ht="15.75" thickBot="1" x14ac:dyDescent="0.3">
      <c r="B46" s="172"/>
      <c r="C46" s="253"/>
      <c r="D46" s="330"/>
      <c r="E46" s="330"/>
      <c r="F46" s="330"/>
      <c r="G46" s="330"/>
      <c r="H46" s="330"/>
      <c r="I46" s="330"/>
      <c r="J46" s="426"/>
      <c r="K46" s="330"/>
      <c r="L46" s="330"/>
      <c r="M46" s="330"/>
      <c r="N46" s="176"/>
    </row>
    <row r="48" spans="2:14" x14ac:dyDescent="0.25">
      <c r="C48" s="154" t="s">
        <v>148</v>
      </c>
    </row>
    <row r="49" spans="3:3" x14ac:dyDescent="0.25">
      <c r="C49" s="368" t="s">
        <v>325</v>
      </c>
    </row>
    <row r="50" spans="3:3" x14ac:dyDescent="0.25">
      <c r="C50" s="368" t="s">
        <v>323</v>
      </c>
    </row>
    <row r="51" spans="3:3" x14ac:dyDescent="0.25">
      <c r="C51" s="368" t="s">
        <v>322</v>
      </c>
    </row>
    <row r="52" spans="3:3" x14ac:dyDescent="0.25">
      <c r="C52" s="368" t="s">
        <v>324</v>
      </c>
    </row>
  </sheetData>
  <sortState ref="Q9:S15">
    <sortCondition descending="1" ref="S9:S15"/>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01D4E-54E2-4DCA-B6CB-4F9D239066B3}">
  <sheetPr>
    <tabColor theme="7" tint="0.39997558519241921"/>
  </sheetPr>
  <dimension ref="B1:R72"/>
  <sheetViews>
    <sheetView showGridLines="0" zoomScale="90" zoomScaleNormal="90" workbookViewId="0">
      <selection activeCell="F33" sqref="F33"/>
    </sheetView>
  </sheetViews>
  <sheetFormatPr defaultRowHeight="15" x14ac:dyDescent="0.25"/>
  <cols>
    <col min="1" max="2" width="5.42578125" style="80" customWidth="1"/>
    <col min="3" max="3" width="34.7109375" style="154" customWidth="1"/>
    <col min="4" max="4" width="17.140625" style="81" customWidth="1"/>
    <col min="5" max="5" width="9.42578125" style="81" bestFit="1" customWidth="1"/>
    <col min="6" max="6" width="23.140625" style="81" customWidth="1"/>
    <col min="7" max="7" width="27.28515625" style="81" customWidth="1"/>
    <col min="8" max="8" width="13.5703125" style="81" customWidth="1"/>
    <col min="9" max="9" width="12.5703125" style="81" customWidth="1"/>
    <col min="10" max="11" width="15.140625" style="81" customWidth="1"/>
    <col min="12" max="14" width="17.5703125" style="81" customWidth="1"/>
    <col min="15" max="15" width="17.5703125" style="198" customWidth="1"/>
    <col min="16" max="16" width="15.42578125" style="81" customWidth="1"/>
    <col min="17" max="17" width="25.5703125" style="81" bestFit="1" customWidth="1"/>
    <col min="18" max="19" width="9.140625" style="80"/>
    <col min="20" max="21" width="18.5703125" style="80" customWidth="1"/>
    <col min="22" max="16384" width="9.140625" style="80"/>
  </cols>
  <sheetData>
    <row r="1" spans="2:18" s="166" customFormat="1" ht="21.75" customHeight="1" thickBot="1" x14ac:dyDescent="0.3">
      <c r="C1" s="356"/>
      <c r="D1" s="354"/>
      <c r="E1" s="354"/>
      <c r="F1" s="354"/>
      <c r="G1" s="354"/>
      <c r="H1" s="354"/>
      <c r="I1" s="354"/>
      <c r="J1" s="354"/>
      <c r="K1" s="354"/>
      <c r="L1" s="354"/>
      <c r="M1" s="354"/>
      <c r="N1" s="354"/>
      <c r="O1" s="355"/>
      <c r="P1" s="354"/>
      <c r="Q1" s="354"/>
    </row>
    <row r="2" spans="2:18" ht="15.75" thickBot="1" x14ac:dyDescent="0.3">
      <c r="C2" s="409" t="s">
        <v>275</v>
      </c>
      <c r="D2" s="410">
        <f>D!D2</f>
        <v>44834</v>
      </c>
      <c r="E2" s="80"/>
      <c r="F2" s="80"/>
      <c r="G2" s="80"/>
      <c r="H2" s="80"/>
      <c r="I2" s="80"/>
      <c r="J2" s="80"/>
      <c r="K2" s="80"/>
      <c r="L2" s="80"/>
      <c r="M2" s="80"/>
      <c r="N2" s="80"/>
      <c r="O2" s="80"/>
      <c r="P2" s="80"/>
      <c r="Q2" s="80"/>
    </row>
    <row r="3" spans="2:18" s="166" customFormat="1" ht="21.75" customHeight="1" thickBot="1" x14ac:dyDescent="0.3">
      <c r="C3" s="356"/>
      <c r="D3" s="354"/>
      <c r="E3" s="354"/>
      <c r="F3" s="354"/>
      <c r="G3" s="354"/>
      <c r="H3" s="354"/>
      <c r="I3" s="354"/>
      <c r="J3" s="354"/>
      <c r="K3" s="354"/>
      <c r="L3" s="354"/>
      <c r="M3" s="354"/>
      <c r="N3" s="354"/>
      <c r="O3" s="355"/>
      <c r="P3" s="354"/>
      <c r="Q3" s="354"/>
    </row>
    <row r="4" spans="2:18" x14ac:dyDescent="0.25">
      <c r="B4" s="156"/>
      <c r="C4" s="157"/>
      <c r="D4" s="158"/>
      <c r="E4" s="158"/>
      <c r="F4" s="158"/>
      <c r="G4" s="158"/>
      <c r="H4" s="158"/>
      <c r="I4" s="158"/>
      <c r="J4" s="158"/>
      <c r="K4" s="158"/>
      <c r="L4" s="158"/>
      <c r="M4" s="158"/>
      <c r="N4" s="158"/>
      <c r="O4" s="358"/>
      <c r="P4" s="158"/>
      <c r="Q4" s="158"/>
      <c r="R4" s="160"/>
    </row>
    <row r="5" spans="2:18" x14ac:dyDescent="0.25">
      <c r="B5" s="167"/>
      <c r="C5" s="535"/>
      <c r="D5" s="324"/>
      <c r="E5" s="324"/>
      <c r="F5" s="324"/>
      <c r="G5" s="324"/>
      <c r="H5" s="324"/>
      <c r="I5" s="324"/>
      <c r="J5" s="324"/>
      <c r="K5" s="324"/>
      <c r="L5" s="324"/>
      <c r="M5" s="324"/>
      <c r="N5" s="324"/>
      <c r="O5" s="205"/>
      <c r="P5" s="324"/>
      <c r="Q5" s="324"/>
      <c r="R5" s="168"/>
    </row>
    <row r="6" spans="2:18" s="163" customFormat="1" ht="60" customHeight="1" x14ac:dyDescent="0.25">
      <c r="B6" s="161"/>
      <c r="C6" s="57" t="s">
        <v>64</v>
      </c>
      <c r="D6" s="1" t="s">
        <v>35</v>
      </c>
      <c r="E6" s="1" t="s">
        <v>103</v>
      </c>
      <c r="F6" s="1" t="s">
        <v>42</v>
      </c>
      <c r="G6" s="1" t="s">
        <v>47</v>
      </c>
      <c r="H6" s="1" t="s">
        <v>209</v>
      </c>
      <c r="I6" s="1" t="s">
        <v>67</v>
      </c>
      <c r="J6" s="1" t="s">
        <v>43</v>
      </c>
      <c r="K6" s="1" t="s">
        <v>2</v>
      </c>
      <c r="L6" s="1" t="s">
        <v>62</v>
      </c>
      <c r="M6" s="1" t="s">
        <v>44</v>
      </c>
      <c r="N6" s="1" t="s">
        <v>38</v>
      </c>
      <c r="O6" s="1" t="s">
        <v>45</v>
      </c>
      <c r="P6" s="1" t="s">
        <v>34</v>
      </c>
      <c r="Q6" s="1" t="s">
        <v>63</v>
      </c>
      <c r="R6" s="162"/>
    </row>
    <row r="7" spans="2:18" s="166" customFormat="1" x14ac:dyDescent="0.25">
      <c r="B7" s="164"/>
      <c r="C7" s="59"/>
      <c r="D7" s="62"/>
      <c r="E7" s="62"/>
      <c r="F7" s="62"/>
      <c r="G7" s="62"/>
      <c r="H7" s="62"/>
      <c r="I7" s="62"/>
      <c r="J7" s="62"/>
      <c r="K7" s="62"/>
      <c r="L7" s="62"/>
      <c r="M7" s="62"/>
      <c r="N7" s="62"/>
      <c r="O7" s="66"/>
      <c r="P7" s="62"/>
      <c r="Q7" s="62"/>
      <c r="R7" s="165"/>
    </row>
    <row r="8" spans="2:18" s="166" customFormat="1" x14ac:dyDescent="0.25">
      <c r="B8" s="164"/>
      <c r="C8" s="59"/>
      <c r="D8" s="62"/>
      <c r="E8" s="62"/>
      <c r="F8" s="62"/>
      <c r="G8" s="62"/>
      <c r="H8" s="62"/>
      <c r="I8" s="62"/>
      <c r="J8" s="62"/>
      <c r="K8" s="62"/>
      <c r="L8" s="62"/>
      <c r="M8" s="62"/>
      <c r="N8" s="62"/>
      <c r="O8" s="66"/>
      <c r="P8" s="62"/>
      <c r="Q8" s="62"/>
      <c r="R8" s="165"/>
    </row>
    <row r="9" spans="2:18" x14ac:dyDescent="0.25">
      <c r="B9" s="167"/>
      <c r="C9" s="70" t="s">
        <v>39</v>
      </c>
      <c r="D9" s="56"/>
      <c r="E9" s="56"/>
      <c r="F9" s="56"/>
      <c r="G9" s="56"/>
      <c r="H9" s="56"/>
      <c r="I9" s="56"/>
      <c r="J9" s="56"/>
      <c r="K9" s="56"/>
      <c r="L9" s="56"/>
      <c r="M9" s="56"/>
      <c r="N9" s="56"/>
      <c r="O9" s="56"/>
      <c r="P9" s="56"/>
      <c r="Q9" s="225"/>
      <c r="R9" s="168"/>
    </row>
    <row r="10" spans="2:18" x14ac:dyDescent="0.25">
      <c r="B10" s="167"/>
      <c r="C10" s="58" t="s">
        <v>59</v>
      </c>
      <c r="D10" s="56" t="s">
        <v>128</v>
      </c>
      <c r="E10" s="56" t="s">
        <v>105</v>
      </c>
      <c r="F10" s="56" t="s">
        <v>9</v>
      </c>
      <c r="G10" s="56" t="s">
        <v>123</v>
      </c>
      <c r="H10" s="60">
        <v>2019</v>
      </c>
      <c r="I10" s="228">
        <f>'%'!F11</f>
        <v>5.6999998161926343E-2</v>
      </c>
      <c r="J10" s="71">
        <v>65</v>
      </c>
      <c r="K10" s="71">
        <f ca="1">-SUMIF('CF (Equity, Debt)'!$C$3:$K$31,'Summary | 01 '!C10,'CF (Equity, Debt)'!$E$3:$E$31)</f>
        <v>65</v>
      </c>
      <c r="L10" s="71">
        <v>0</v>
      </c>
      <c r="M10" s="71">
        <f ca="1">SUMIF('CF (Equity, Debt)'!$C$3:$K$31,'Summary | 01 '!C10,'CF (Equity, Debt)'!$F$3:$F$31)</f>
        <v>0</v>
      </c>
      <c r="N10" s="71">
        <f>NAV!D9</f>
        <v>0</v>
      </c>
      <c r="O10" s="64">
        <f t="shared" ref="O10:O22" ca="1" si="0">(M10+N10)/K10</f>
        <v>0</v>
      </c>
      <c r="P10" s="228" t="str">
        <f>VLOOKUP(C10,'1. IRR Equity1'!AB12:AK26,7,0)</f>
        <v>NM</v>
      </c>
      <c r="Q10" s="225"/>
      <c r="R10" s="168"/>
    </row>
    <row r="11" spans="2:18" x14ac:dyDescent="0.25">
      <c r="B11" s="167"/>
      <c r="C11" s="58" t="s">
        <v>0</v>
      </c>
      <c r="D11" s="56" t="s">
        <v>128</v>
      </c>
      <c r="E11" s="56" t="s">
        <v>105</v>
      </c>
      <c r="F11" s="56" t="s">
        <v>9</v>
      </c>
      <c r="G11" s="56" t="s">
        <v>115</v>
      </c>
      <c r="H11" s="60">
        <v>2019</v>
      </c>
      <c r="I11" s="228">
        <f>'%'!F12</f>
        <v>0.14000000235296001</v>
      </c>
      <c r="J11" s="71">
        <v>8</v>
      </c>
      <c r="K11" s="71">
        <f ca="1">-SUMIF('CF (Equity, Debt)'!$C$3:$K$31,'Summary | 01 '!C11,'CF (Equity, Debt)'!$E$3:$E$31)</f>
        <v>8</v>
      </c>
      <c r="L11" s="71">
        <v>0</v>
      </c>
      <c r="M11" s="71">
        <f ca="1">SUMIF('CF (Equity, Debt)'!$C$3:$K$31,'Summary | 01 '!C11,'CF (Equity, Debt)'!$F$3:$F$31)</f>
        <v>0</v>
      </c>
      <c r="N11" s="71">
        <f>NAV!D10</f>
        <v>3.1</v>
      </c>
      <c r="O11" s="64">
        <f t="shared" ca="1" si="0"/>
        <v>0.38750000000000001</v>
      </c>
      <c r="P11" s="228">
        <f>VLOOKUP(C11,'1. IRR Equity1'!AB13:AK27,7,0)</f>
        <v>-0.23833895996212962</v>
      </c>
      <c r="Q11" s="225"/>
      <c r="R11" s="168"/>
    </row>
    <row r="12" spans="2:18" ht="17.25" x14ac:dyDescent="0.25">
      <c r="B12" s="167"/>
      <c r="C12" s="58" t="s">
        <v>50</v>
      </c>
      <c r="D12" s="56" t="s">
        <v>128</v>
      </c>
      <c r="E12" s="56" t="s">
        <v>104</v>
      </c>
      <c r="F12" s="56" t="s">
        <v>9</v>
      </c>
      <c r="G12" s="56" t="s">
        <v>125</v>
      </c>
      <c r="H12" s="60">
        <v>2019</v>
      </c>
      <c r="I12" s="228">
        <f>'%'!F13</f>
        <v>8.5025484621212399E-2</v>
      </c>
      <c r="J12" s="71">
        <v>10</v>
      </c>
      <c r="K12" s="71">
        <f ca="1">-SUMIF('CF (Equity, Debt)'!$C$3:$K$31,'Summary | 01 '!C12,'CF (Equity, Debt)'!$E$3:$E$31)</f>
        <v>10</v>
      </c>
      <c r="L12" s="71">
        <v>0</v>
      </c>
      <c r="M12" s="71">
        <f ca="1">SUMIF('CF (Equity, Debt)'!$C$3:$K$31,'Summary | 01 '!C12,'CF (Equity, Debt)'!$F$3:$F$31)</f>
        <v>0</v>
      </c>
      <c r="N12" s="71">
        <f>NAV!D11</f>
        <v>78.082229999999996</v>
      </c>
      <c r="O12" s="64">
        <f t="shared" ca="1" si="0"/>
        <v>7.8082229999999999</v>
      </c>
      <c r="P12" s="228">
        <f>VLOOKUP(C12,'1. IRR Equity1'!AB14:AK28,7,0)</f>
        <v>0.95566302537918091</v>
      </c>
      <c r="Q12" s="225" t="s">
        <v>233</v>
      </c>
      <c r="R12" s="168"/>
    </row>
    <row r="13" spans="2:18" x14ac:dyDescent="0.25">
      <c r="B13" s="167"/>
      <c r="C13" s="58" t="s">
        <v>51</v>
      </c>
      <c r="D13" s="56" t="s">
        <v>130</v>
      </c>
      <c r="E13" s="56" t="s">
        <v>104</v>
      </c>
      <c r="F13" s="56" t="s">
        <v>9</v>
      </c>
      <c r="G13" s="56" t="s">
        <v>56</v>
      </c>
      <c r="H13" s="60">
        <v>2020</v>
      </c>
      <c r="I13" s="228" t="str">
        <f>'%'!F14</f>
        <v>n/a</v>
      </c>
      <c r="J13" s="71">
        <v>2.5</v>
      </c>
      <c r="K13" s="71">
        <f ca="1">-SUMIF('CF (Equity, Debt)'!$C$3:$K$31,'Summary | 01 '!C13,'CF (Equity, Debt)'!$E$3:$E$31)</f>
        <v>2.5</v>
      </c>
      <c r="L13" s="71">
        <v>0</v>
      </c>
      <c r="M13" s="71">
        <f ca="1">SUMIF('CF (Equity, Debt)'!$C$3:$K$31,'Summary | 01 '!C13,'CF (Equity, Debt)'!$F$3:$F$31)</f>
        <v>5</v>
      </c>
      <c r="N13" s="71">
        <f>NAV!D12</f>
        <v>0</v>
      </c>
      <c r="O13" s="64">
        <f t="shared" ca="1" si="0"/>
        <v>2</v>
      </c>
      <c r="P13" s="228">
        <f>VLOOKUP(C13,'1. IRR Equity1'!AB15:AK29,7,0)</f>
        <v>0.36091765761375438</v>
      </c>
      <c r="Q13" s="225"/>
      <c r="R13" s="168"/>
    </row>
    <row r="14" spans="2:18" x14ac:dyDescent="0.25">
      <c r="B14" s="167"/>
      <c r="C14" s="58" t="s">
        <v>49</v>
      </c>
      <c r="D14" s="56" t="s">
        <v>128</v>
      </c>
      <c r="E14" s="56" t="s">
        <v>106</v>
      </c>
      <c r="F14" s="56" t="s">
        <v>9</v>
      </c>
      <c r="G14" s="56" t="s">
        <v>114</v>
      </c>
      <c r="H14" s="60">
        <v>2020</v>
      </c>
      <c r="I14" s="228">
        <f>'%'!F15</f>
        <v>9.7394820318943254E-2</v>
      </c>
      <c r="J14" s="71">
        <v>90</v>
      </c>
      <c r="K14" s="71">
        <f ca="1">-SUMIF('CF (Equity, Debt)'!$C$3:$K$31,'Summary | 01 '!C14,'CF (Equity, Debt)'!$E$3:$E$31)</f>
        <v>90</v>
      </c>
      <c r="L14" s="71">
        <v>0</v>
      </c>
      <c r="M14" s="71">
        <f ca="1">SUMIF('CF (Equity, Debt)'!$C$3:$K$31,'Summary | 01 '!C14,'CF (Equity, Debt)'!$F$3:$F$31)</f>
        <v>0</v>
      </c>
      <c r="N14" s="71">
        <f>NAV!D13</f>
        <v>91.001540300000002</v>
      </c>
      <c r="O14" s="64">
        <f t="shared" ca="1" si="0"/>
        <v>1.0111282255555556</v>
      </c>
      <c r="P14" s="228">
        <f>VLOOKUP(C14,'1. IRR Equity1'!AB16:AK30,7,0)</f>
        <v>4.6035081148147585E-3</v>
      </c>
      <c r="Q14" s="225"/>
      <c r="R14" s="168"/>
    </row>
    <row r="15" spans="2:18" x14ac:dyDescent="0.25">
      <c r="B15" s="167"/>
      <c r="C15" s="58" t="s">
        <v>142</v>
      </c>
      <c r="D15" s="56" t="s">
        <v>128</v>
      </c>
      <c r="E15" s="56" t="s">
        <v>106</v>
      </c>
      <c r="F15" s="56" t="s">
        <v>9</v>
      </c>
      <c r="G15" s="56" t="s">
        <v>57</v>
      </c>
      <c r="H15" s="60">
        <v>2020</v>
      </c>
      <c r="I15" s="228">
        <f>'%'!F16</f>
        <v>5.3819975256209518E-2</v>
      </c>
      <c r="J15" s="71">
        <v>141.4702596743665</v>
      </c>
      <c r="K15" s="71">
        <f ca="1">-SUMIF('CF (Equity, Debt)'!$C$3:$K$31,'Summary | 01 '!C15,'CF (Equity, Debt)'!$E$3:$E$31)</f>
        <v>141.4702596743665</v>
      </c>
      <c r="L15" s="71">
        <v>0</v>
      </c>
      <c r="M15" s="71">
        <f ca="1">SUMIF('CF (Equity, Debt)'!$C$3:$K$31,'Summary | 01 '!C15,'CF (Equity, Debt)'!$F$3:$F$31)</f>
        <v>0</v>
      </c>
      <c r="N15" s="71">
        <f>NAV!D14</f>
        <v>125.96278579200001</v>
      </c>
      <c r="O15" s="64">
        <f t="shared" ca="1" si="0"/>
        <v>0.89038350591805449</v>
      </c>
      <c r="P15" s="228">
        <f>VLOOKUP(C15,'1. IRR Equity1'!AB17:AK31,7,0)</f>
        <v>-4.9104276299476626E-2</v>
      </c>
      <c r="Q15" s="225"/>
      <c r="R15" s="168"/>
    </row>
    <row r="16" spans="2:18" x14ac:dyDescent="0.25">
      <c r="B16" s="167"/>
      <c r="C16" s="58" t="s">
        <v>11</v>
      </c>
      <c r="D16" s="56" t="s">
        <v>128</v>
      </c>
      <c r="E16" s="56" t="s">
        <v>105</v>
      </c>
      <c r="F16" s="56" t="s">
        <v>9</v>
      </c>
      <c r="G16" s="56" t="s">
        <v>122</v>
      </c>
      <c r="H16" s="60">
        <v>2020</v>
      </c>
      <c r="I16" s="228">
        <f>'%'!F17</f>
        <v>0.14380000000000001</v>
      </c>
      <c r="J16" s="71">
        <v>60</v>
      </c>
      <c r="K16" s="71">
        <f ca="1">-SUMIF('CF (Equity, Debt)'!$C$3:$K$31,'Summary | 01 '!C16,'CF (Equity, Debt)'!$E$3:$E$31)</f>
        <v>60</v>
      </c>
      <c r="L16" s="71">
        <v>0</v>
      </c>
      <c r="M16" s="71">
        <f ca="1">SUMIF('CF (Equity, Debt)'!$C$3:$K$31,'Summary | 01 '!C16,'CF (Equity, Debt)'!$F$3:$F$31)</f>
        <v>0</v>
      </c>
      <c r="N16" s="71">
        <f>NAV!D15</f>
        <v>136.63999999999999</v>
      </c>
      <c r="O16" s="64">
        <f t="shared" ca="1" si="0"/>
        <v>2.277333333333333</v>
      </c>
      <c r="P16" s="228">
        <f>VLOOKUP(C16,'1. IRR Equity1'!AB18:AK32,7,0)</f>
        <v>0.56783539652824411</v>
      </c>
      <c r="Q16" s="225"/>
      <c r="R16" s="168"/>
    </row>
    <row r="17" spans="2:18" x14ac:dyDescent="0.25">
      <c r="B17" s="167"/>
      <c r="C17" s="58" t="s">
        <v>24</v>
      </c>
      <c r="D17" s="56" t="s">
        <v>129</v>
      </c>
      <c r="E17" s="56" t="s">
        <v>104</v>
      </c>
      <c r="F17" s="56" t="s">
        <v>26</v>
      </c>
      <c r="G17" s="56" t="s">
        <v>61</v>
      </c>
      <c r="H17" s="60">
        <v>2021</v>
      </c>
      <c r="I17" s="228">
        <f>'%'!F18</f>
        <v>0.03</v>
      </c>
      <c r="J17" s="71">
        <v>20</v>
      </c>
      <c r="K17" s="71">
        <f ca="1">-SUMIF('CF (Equity, Debt)'!$C$3:$K$31,'Summary | 01 '!C17,'CF (Equity, Debt)'!$E$3:$E$31)</f>
        <v>20</v>
      </c>
      <c r="L17" s="71">
        <v>0</v>
      </c>
      <c r="M17" s="71">
        <f ca="1">SUMIF('CF (Equity, Debt)'!$C$3:$K$31,'Summary | 01 '!C17,'CF (Equity, Debt)'!$F$3:$F$31)</f>
        <v>0</v>
      </c>
      <c r="N17" s="71">
        <f>NAV!D16</f>
        <v>20</v>
      </c>
      <c r="O17" s="64">
        <f t="shared" ca="1" si="0"/>
        <v>1</v>
      </c>
      <c r="P17" s="228">
        <f>VLOOKUP(C17,'1. IRR Equity1'!AB19:AK33,7,0)</f>
        <v>2.9802322387695314E-9</v>
      </c>
      <c r="Q17" s="225"/>
      <c r="R17" s="168"/>
    </row>
    <row r="18" spans="2:18" x14ac:dyDescent="0.25">
      <c r="B18" s="167"/>
      <c r="C18" s="58" t="s">
        <v>52</v>
      </c>
      <c r="D18" s="56" t="s">
        <v>128</v>
      </c>
      <c r="E18" s="56" t="s">
        <v>112</v>
      </c>
      <c r="F18" s="56" t="s">
        <v>9</v>
      </c>
      <c r="G18" s="56" t="s">
        <v>117</v>
      </c>
      <c r="H18" s="60">
        <v>2021</v>
      </c>
      <c r="I18" s="228">
        <f>'%'!F19</f>
        <v>0.01</v>
      </c>
      <c r="J18" s="71">
        <v>40</v>
      </c>
      <c r="K18" s="71">
        <f ca="1">-SUMIF('CF (Equity, Debt)'!$C$3:$K$31,'Summary | 01 '!C18,'CF (Equity, Debt)'!$E$3:$E$31)</f>
        <v>39.999983359999995</v>
      </c>
      <c r="L18" s="71">
        <v>0</v>
      </c>
      <c r="M18" s="71">
        <f ca="1">SUMIF('CF (Equity, Debt)'!$C$3:$K$31,'Summary | 01 '!C18,'CF (Equity, Debt)'!$F$3:$F$31)</f>
        <v>0</v>
      </c>
      <c r="N18" s="71">
        <f>NAV!D17</f>
        <v>39.999983359999995</v>
      </c>
      <c r="O18" s="64">
        <f t="shared" ca="1" si="0"/>
        <v>1</v>
      </c>
      <c r="P18" s="228">
        <f>VLOOKUP(C18,'1. IRR Equity1'!AB20:AK34,7,0)</f>
        <v>2.9802322387695314E-9</v>
      </c>
      <c r="Q18" s="225"/>
      <c r="R18" s="168"/>
    </row>
    <row r="19" spans="2:18" x14ac:dyDescent="0.25">
      <c r="B19" s="167"/>
      <c r="C19" s="58" t="s">
        <v>53</v>
      </c>
      <c r="D19" s="56" t="s">
        <v>128</v>
      </c>
      <c r="E19" s="56" t="s">
        <v>104</v>
      </c>
      <c r="F19" s="56" t="s">
        <v>9</v>
      </c>
      <c r="G19" s="56" t="s">
        <v>124</v>
      </c>
      <c r="H19" s="60">
        <v>2021</v>
      </c>
      <c r="I19" s="228">
        <f>'%'!F20</f>
        <v>6.8571428571428575E-2</v>
      </c>
      <c r="J19" s="71">
        <v>3</v>
      </c>
      <c r="K19" s="71">
        <f ca="1">-SUMIF('CF (Equity, Debt)'!$C$3:$K$31,'Summary | 01 '!C19,'CF (Equity, Debt)'!$E$3:$E$31)</f>
        <v>3</v>
      </c>
      <c r="L19" s="71">
        <v>0</v>
      </c>
      <c r="M19" s="71">
        <f ca="1">SUMIF('CF (Equity, Debt)'!$C$3:$K$31,'Summary | 01 '!C19,'CF (Equity, Debt)'!$F$3:$F$31)</f>
        <v>0</v>
      </c>
      <c r="N19" s="71">
        <f>NAV!D18</f>
        <v>3</v>
      </c>
      <c r="O19" s="64">
        <f t="shared" ca="1" si="0"/>
        <v>1</v>
      </c>
      <c r="P19" s="228">
        <f>VLOOKUP(C19,'1. IRR Equity1'!AB21:AK35,7,0)</f>
        <v>2.9802322387695314E-9</v>
      </c>
      <c r="Q19" s="225"/>
      <c r="R19" s="168"/>
    </row>
    <row r="20" spans="2:18" x14ac:dyDescent="0.25">
      <c r="B20" s="167"/>
      <c r="C20" s="58" t="s">
        <v>54</v>
      </c>
      <c r="D20" s="56" t="s">
        <v>128</v>
      </c>
      <c r="E20" s="56" t="s">
        <v>112</v>
      </c>
      <c r="F20" s="56" t="s">
        <v>9</v>
      </c>
      <c r="G20" s="56" t="s">
        <v>126</v>
      </c>
      <c r="H20" s="60">
        <v>2021</v>
      </c>
      <c r="I20" s="228">
        <f>'%'!F21</f>
        <v>1.1489405791845828E-2</v>
      </c>
      <c r="J20" s="71">
        <v>5.0278211945578235</v>
      </c>
      <c r="K20" s="71">
        <f ca="1">-SUMIF('CF (Equity, Debt)'!$C$3:$K$31,'Summary | 01 '!C20,'CF (Equity, Debt)'!$E$3:$E$31)</f>
        <v>5.0237201984774336</v>
      </c>
      <c r="L20" s="71">
        <v>0</v>
      </c>
      <c r="M20" s="71">
        <f ca="1">SUMIF('CF (Equity, Debt)'!$C$3:$K$31,'Summary | 01 '!C20,'CF (Equity, Debt)'!$F$3:$F$31)</f>
        <v>0</v>
      </c>
      <c r="N20" s="71">
        <f>NAV!D19</f>
        <v>5.0237201984774336</v>
      </c>
      <c r="O20" s="64">
        <f t="shared" ca="1" si="0"/>
        <v>1</v>
      </c>
      <c r="P20" s="228">
        <f>VLOOKUP(C20,'1. IRR Equity1'!AB22:AK36,7,0)</f>
        <v>2.9802322387695314E-9</v>
      </c>
      <c r="Q20" s="225"/>
      <c r="R20" s="168"/>
    </row>
    <row r="21" spans="2:18" x14ac:dyDescent="0.25">
      <c r="B21" s="167"/>
      <c r="C21" s="58" t="s">
        <v>120</v>
      </c>
      <c r="D21" s="56" t="s">
        <v>128</v>
      </c>
      <c r="E21" s="56" t="s">
        <v>105</v>
      </c>
      <c r="F21" s="56" t="s">
        <v>119</v>
      </c>
      <c r="G21" s="56" t="s">
        <v>127</v>
      </c>
      <c r="H21" s="60">
        <v>2022</v>
      </c>
      <c r="I21" s="228">
        <f>'%'!F22</f>
        <v>0.05</v>
      </c>
      <c r="J21" s="71">
        <v>493.5</v>
      </c>
      <c r="K21" s="71">
        <f ca="1">-SUMIF('CF (Equity, Debt)'!$C$3:$K$31,'Summary | 01 '!C21,'CF (Equity, Debt)'!$E$3:$E$31)</f>
        <v>493.50095619999996</v>
      </c>
      <c r="L21" s="71">
        <v>0</v>
      </c>
      <c r="M21" s="71">
        <f ca="1">SUMIF('CF (Equity, Debt)'!$C$3:$K$31,'Summary | 01 '!C21,'CF (Equity, Debt)'!$F$3:$F$31)</f>
        <v>0</v>
      </c>
      <c r="N21" s="71">
        <v>493.5</v>
      </c>
      <c r="O21" s="64">
        <f t="shared" ca="1" si="0"/>
        <v>0.99999806241510181</v>
      </c>
      <c r="P21" s="228">
        <f>VLOOKUP(C21,'1. IRR Equity1'!AB23:AK37,7,0)</f>
        <v>2.9802322387695314E-9</v>
      </c>
      <c r="Q21" s="225"/>
      <c r="R21" s="168"/>
    </row>
    <row r="22" spans="2:18" ht="17.25" x14ac:dyDescent="0.25">
      <c r="B22" s="167"/>
      <c r="C22" s="58" t="s">
        <v>25</v>
      </c>
      <c r="D22" s="56" t="s">
        <v>128</v>
      </c>
      <c r="E22" s="56" t="s">
        <v>107</v>
      </c>
      <c r="F22" s="56" t="s">
        <v>13</v>
      </c>
      <c r="G22" s="56" t="s">
        <v>127</v>
      </c>
      <c r="H22" s="60">
        <v>2022</v>
      </c>
      <c r="I22" s="228">
        <f>'%'!F23</f>
        <v>9.4299999999999995E-2</v>
      </c>
      <c r="J22" s="71">
        <v>300</v>
      </c>
      <c r="K22" s="71">
        <f ca="1">-SUMIF('CF (Equity, Debt)'!$C$3:$K$31,'Summary | 01 '!C22,'CF (Equity, Debt)'!$E$3:$E$31)</f>
        <v>300</v>
      </c>
      <c r="L22" s="71">
        <f>0</f>
        <v>0</v>
      </c>
      <c r="M22" s="71">
        <f ca="1">SUMIF('CF (Equity, Debt)'!$C$3:$K$31,'Summary | 01 '!C22,'CF (Equity, Debt)'!$F$3:$F$31)</f>
        <v>0</v>
      </c>
      <c r="N22" s="71">
        <f>NAV!D21</f>
        <v>300</v>
      </c>
      <c r="O22" s="64">
        <f t="shared" ca="1" si="0"/>
        <v>1</v>
      </c>
      <c r="P22" s="228">
        <f>VLOOKUP(C22,'1. IRR Equity1'!AB24:AK38,7,0)</f>
        <v>2.9802322387695314E-9</v>
      </c>
      <c r="Q22" s="225" t="s">
        <v>234</v>
      </c>
      <c r="R22" s="168"/>
    </row>
    <row r="23" spans="2:18" ht="17.25" x14ac:dyDescent="0.25">
      <c r="B23" s="167"/>
      <c r="C23" s="58" t="s">
        <v>143</v>
      </c>
      <c r="D23" s="56" t="s">
        <v>128</v>
      </c>
      <c r="E23" s="56" t="s">
        <v>106</v>
      </c>
      <c r="F23" s="56" t="s">
        <v>13</v>
      </c>
      <c r="G23" s="56" t="s">
        <v>57</v>
      </c>
      <c r="H23" s="60">
        <v>2022</v>
      </c>
      <c r="I23" s="228">
        <f>'%'!F24</f>
        <v>9.9316564009108654E-2</v>
      </c>
      <c r="J23" s="71">
        <v>25</v>
      </c>
      <c r="K23" s="71">
        <f ca="1">-SUMIF('CF (Equity, Debt)'!$C$3:$K$31,'Summary | 01 '!C23,'CF (Equity, Debt)'!$E$3:$E$31)</f>
        <v>12.5</v>
      </c>
      <c r="L23" s="71">
        <f ca="1">J23-K23</f>
        <v>12.5</v>
      </c>
      <c r="M23" s="71">
        <f ca="1">SUMIF('CF (Equity, Debt)'!$C$3:$K$31,'Summary | 01 '!C23,'CF (Equity, Debt)'!$F$3:$F$31)</f>
        <v>0</v>
      </c>
      <c r="N23" s="71">
        <f>NAV!D22</f>
        <v>-2.4253142200000006</v>
      </c>
      <c r="O23" s="64">
        <f ca="1">(M23+N23)/K23</f>
        <v>-0.19402513760000006</v>
      </c>
      <c r="P23" s="228" t="str">
        <f>VLOOKUP(C23,'1. IRR Equity1'!AB25:AK39,7,0)</f>
        <v>NM</v>
      </c>
      <c r="Q23" s="225" t="s">
        <v>259</v>
      </c>
      <c r="R23" s="168"/>
    </row>
    <row r="24" spans="2:18" x14ac:dyDescent="0.25">
      <c r="B24" s="167"/>
      <c r="C24" s="58" t="s">
        <v>46</v>
      </c>
      <c r="D24" s="56" t="s">
        <v>128</v>
      </c>
      <c r="E24" s="56" t="s">
        <v>105</v>
      </c>
      <c r="F24" s="56" t="s">
        <v>118</v>
      </c>
      <c r="G24" s="56" t="s">
        <v>127</v>
      </c>
      <c r="H24" s="60">
        <v>2022</v>
      </c>
      <c r="I24" s="228">
        <f>'%'!F25</f>
        <v>1.8800000000000001E-2</v>
      </c>
      <c r="J24" s="71">
        <f ca="1">K24</f>
        <v>800</v>
      </c>
      <c r="K24" s="71">
        <f ca="1">-SUMIF('CF (Equity, Debt)'!$C$3:$K$31,'Summary | 01 '!C24,'CF (Equity, Debt)'!$E$3:$E$31)</f>
        <v>800</v>
      </c>
      <c r="L24" s="71">
        <f ca="1">J24-K24</f>
        <v>0</v>
      </c>
      <c r="M24" s="71">
        <f ca="1">SUMIF('CF (Equity, Debt)'!$C$3:$K$31,'Summary | 01 '!C24,'CF (Equity, Debt)'!$F$3:$F$31)</f>
        <v>0</v>
      </c>
      <c r="N24" s="71">
        <f>NAV!D23</f>
        <v>860.46271279030282</v>
      </c>
      <c r="O24" s="64">
        <f t="shared" ref="O24" ca="1" si="1">(M24+N24)/K24</f>
        <v>1.0755783909878784</v>
      </c>
      <c r="P24" s="228" t="str">
        <f>VLOOKUP(C24,'1. IRR Equity1'!AB26:AK40,7,0)</f>
        <v>NM</v>
      </c>
      <c r="Q24" s="225"/>
      <c r="R24" s="168"/>
    </row>
    <row r="25" spans="2:18" s="171" customFormat="1" x14ac:dyDescent="0.25">
      <c r="B25" s="169"/>
      <c r="C25" s="221"/>
      <c r="D25" s="221"/>
      <c r="E25" s="221"/>
      <c r="F25" s="221"/>
      <c r="G25" s="221"/>
      <c r="H25" s="221"/>
      <c r="I25" s="222"/>
      <c r="J25" s="223">
        <f ca="1">SUM(J10:J24)</f>
        <v>2063.4980808689243</v>
      </c>
      <c r="K25" s="223">
        <f ca="1">SUM(K10:K24)</f>
        <v>2050.9949194328437</v>
      </c>
      <c r="L25" s="223">
        <f ca="1">SUM(L10:L24)</f>
        <v>12.5</v>
      </c>
      <c r="M25" s="223">
        <f ca="1">SUM(M10:M24)</f>
        <v>5</v>
      </c>
      <c r="N25" s="223">
        <f>SUM(N10:N24)</f>
        <v>2154.34765822078</v>
      </c>
      <c r="O25" s="224">
        <f ca="1">(M25+N25)/K25</f>
        <v>1.0528293550419416</v>
      </c>
      <c r="P25" s="222"/>
      <c r="Q25" s="226"/>
      <c r="R25" s="170"/>
    </row>
    <row r="26" spans="2:18" s="166" customFormat="1" x14ac:dyDescent="0.25">
      <c r="B26" s="164"/>
      <c r="C26" s="59"/>
      <c r="D26" s="62"/>
      <c r="E26" s="62"/>
      <c r="F26" s="62"/>
      <c r="G26" s="62"/>
      <c r="H26" s="62"/>
      <c r="I26" s="76"/>
      <c r="J26" s="73"/>
      <c r="K26" s="73"/>
      <c r="L26" s="73"/>
      <c r="M26" s="73"/>
      <c r="N26" s="73"/>
      <c r="O26" s="66"/>
      <c r="P26" s="230"/>
      <c r="Q26" s="227"/>
      <c r="R26" s="165"/>
    </row>
    <row r="27" spans="2:18" x14ac:dyDescent="0.25">
      <c r="B27" s="167"/>
      <c r="C27" s="70" t="s">
        <v>40</v>
      </c>
      <c r="D27" s="56"/>
      <c r="E27" s="56"/>
      <c r="F27" s="56"/>
      <c r="G27" s="56"/>
      <c r="H27" s="60"/>
      <c r="I27" s="228"/>
      <c r="J27" s="71"/>
      <c r="K27" s="71"/>
      <c r="L27" s="71"/>
      <c r="M27" s="71"/>
      <c r="N27" s="71"/>
      <c r="O27" s="64"/>
      <c r="P27" s="228"/>
      <c r="Q27" s="225"/>
      <c r="R27" s="168"/>
    </row>
    <row r="28" spans="2:18" x14ac:dyDescent="0.25">
      <c r="B28" s="167"/>
      <c r="C28" s="58" t="s">
        <v>60</v>
      </c>
      <c r="D28" s="56" t="s">
        <v>202</v>
      </c>
      <c r="E28" s="56"/>
      <c r="F28" s="56" t="s">
        <v>9</v>
      </c>
      <c r="G28" s="56" t="s">
        <v>198</v>
      </c>
      <c r="H28" s="60">
        <v>2019</v>
      </c>
      <c r="I28" s="228" t="s">
        <v>66</v>
      </c>
      <c r="J28" s="71">
        <v>8</v>
      </c>
      <c r="K28" s="71">
        <v>8</v>
      </c>
      <c r="L28" s="71">
        <v>0</v>
      </c>
      <c r="M28" s="71">
        <v>0</v>
      </c>
      <c r="N28" s="71">
        <v>0</v>
      </c>
      <c r="O28" s="64">
        <f>(M28+N28)/K28</f>
        <v>0</v>
      </c>
      <c r="P28" s="228" t="str">
        <f>VLOOKUP(C28,'2. IRR Debt'!P9:Y11,7,0)</f>
        <v>NM</v>
      </c>
      <c r="Q28" s="225"/>
      <c r="R28" s="168"/>
    </row>
    <row r="29" spans="2:18" x14ac:dyDescent="0.25">
      <c r="B29" s="167"/>
      <c r="C29" s="58" t="s">
        <v>0</v>
      </c>
      <c r="D29" s="56" t="s">
        <v>202</v>
      </c>
      <c r="E29" s="56" t="s">
        <v>105</v>
      </c>
      <c r="F29" s="56" t="s">
        <v>9</v>
      </c>
      <c r="G29" s="56" t="s">
        <v>200</v>
      </c>
      <c r="H29" s="60">
        <v>2021</v>
      </c>
      <c r="I29" s="228" t="s">
        <v>66</v>
      </c>
      <c r="J29" s="71">
        <v>2.3539819999999998</v>
      </c>
      <c r="K29" s="71">
        <f>J29</f>
        <v>2.3539819999999998</v>
      </c>
      <c r="L29" s="71">
        <v>0</v>
      </c>
      <c r="M29" s="71">
        <v>0</v>
      </c>
      <c r="N29" s="71">
        <f>K29</f>
        <v>2.3539819999999998</v>
      </c>
      <c r="O29" s="64">
        <f>(M29+N29)/K29</f>
        <v>1</v>
      </c>
      <c r="P29" s="228">
        <f>VLOOKUP(C29,'2. IRR Debt'!P10:Y12,7,0)</f>
        <v>2.9802322387695314E-9</v>
      </c>
      <c r="Q29" s="225"/>
      <c r="R29" s="168"/>
    </row>
    <row r="30" spans="2:18" x14ac:dyDescent="0.25">
      <c r="B30" s="167"/>
      <c r="C30" s="58" t="s">
        <v>51</v>
      </c>
      <c r="D30" s="56" t="s">
        <v>128</v>
      </c>
      <c r="E30" s="56" t="s">
        <v>104</v>
      </c>
      <c r="F30" s="56" t="s">
        <v>9</v>
      </c>
      <c r="G30" s="56" t="s">
        <v>200</v>
      </c>
      <c r="H30" s="60">
        <v>2021</v>
      </c>
      <c r="I30" s="228" t="s">
        <v>66</v>
      </c>
      <c r="J30" s="71">
        <v>0.41176499999999999</v>
      </c>
      <c r="K30" s="71">
        <v>0.41176499999999999</v>
      </c>
      <c r="L30" s="71">
        <v>0</v>
      </c>
      <c r="M30" s="71">
        <v>0</v>
      </c>
      <c r="N30" s="71">
        <f>456438.682191781/1000000</f>
        <v>0.45643868219178102</v>
      </c>
      <c r="O30" s="64">
        <f>(M30+N30)/K30</f>
        <v>1.108493150684932</v>
      </c>
      <c r="P30" s="228">
        <f>VLOOKUP(C30,'2. IRR Debt'!P11:Y13,7,0)</f>
        <v>8.7134918570518527E-2</v>
      </c>
      <c r="Q30" s="225"/>
      <c r="R30" s="168"/>
    </row>
    <row r="31" spans="2:18" s="171" customFormat="1" x14ac:dyDescent="0.25">
      <c r="B31" s="169"/>
      <c r="C31" s="221"/>
      <c r="D31" s="221"/>
      <c r="E31" s="221"/>
      <c r="F31" s="221"/>
      <c r="G31" s="221"/>
      <c r="H31" s="221"/>
      <c r="I31" s="229"/>
      <c r="J31" s="223">
        <f>SUM(J28:J30)</f>
        <v>10.765747000000001</v>
      </c>
      <c r="K31" s="223">
        <f>SUM(K28:K30)</f>
        <v>10.765747000000001</v>
      </c>
      <c r="L31" s="223">
        <f>SUM(L28:L30)</f>
        <v>0</v>
      </c>
      <c r="M31" s="223">
        <f>SUM(M28:M30)</f>
        <v>0</v>
      </c>
      <c r="N31" s="223">
        <f>SUM(N28:N30)</f>
        <v>2.810420682191781</v>
      </c>
      <c r="O31" s="224">
        <f>(M31+N31)/K31</f>
        <v>0.26105208325922769</v>
      </c>
      <c r="P31" s="229"/>
      <c r="Q31" s="226"/>
      <c r="R31" s="170"/>
    </row>
    <row r="32" spans="2:18" s="166" customFormat="1" x14ac:dyDescent="0.25">
      <c r="B32" s="164"/>
      <c r="C32" s="59"/>
      <c r="D32" s="62"/>
      <c r="E32" s="62"/>
      <c r="F32" s="62"/>
      <c r="G32" s="62"/>
      <c r="H32" s="62"/>
      <c r="I32" s="230"/>
      <c r="J32" s="73"/>
      <c r="K32" s="73"/>
      <c r="L32" s="73"/>
      <c r="M32" s="73"/>
      <c r="N32" s="73"/>
      <c r="O32" s="66"/>
      <c r="P32" s="230"/>
      <c r="Q32" s="62"/>
      <c r="R32" s="165"/>
    </row>
    <row r="33" spans="2:18" x14ac:dyDescent="0.25">
      <c r="B33" s="167"/>
      <c r="C33" s="70" t="s">
        <v>41</v>
      </c>
      <c r="D33" s="56"/>
      <c r="E33" s="56"/>
      <c r="F33" s="56"/>
      <c r="G33" s="56"/>
      <c r="H33" s="60"/>
      <c r="I33" s="228"/>
      <c r="J33" s="71"/>
      <c r="K33" s="71"/>
      <c r="L33" s="71"/>
      <c r="M33" s="71"/>
      <c r="N33" s="71"/>
      <c r="O33" s="64"/>
      <c r="P33" s="228"/>
      <c r="Q33" s="56"/>
      <c r="R33" s="168"/>
    </row>
    <row r="34" spans="2:18" x14ac:dyDescent="0.25">
      <c r="B34" s="167"/>
      <c r="C34" s="58" t="s">
        <v>186</v>
      </c>
      <c r="D34" s="56" t="s">
        <v>128</v>
      </c>
      <c r="E34" s="56" t="s">
        <v>104</v>
      </c>
      <c r="F34" s="56" t="s">
        <v>13</v>
      </c>
      <c r="G34" s="56" t="s">
        <v>72</v>
      </c>
      <c r="H34" s="60">
        <v>2020</v>
      </c>
      <c r="I34" s="228" t="s">
        <v>66</v>
      </c>
      <c r="J34" s="71">
        <f>23.2344618712304*1.1</f>
        <v>25.557908058353444</v>
      </c>
      <c r="K34" s="71">
        <v>21.611950741200001</v>
      </c>
      <c r="L34" s="71">
        <v>3.945957317153443</v>
      </c>
      <c r="M34" s="71">
        <v>0</v>
      </c>
      <c r="N34" s="71">
        <v>31.952799285000001</v>
      </c>
      <c r="O34" s="64">
        <v>1.4784782580540818</v>
      </c>
      <c r="P34" s="228">
        <v>0.21877304911613465</v>
      </c>
      <c r="Q34" s="56"/>
      <c r="R34" s="168"/>
    </row>
    <row r="35" spans="2:18" x14ac:dyDescent="0.25">
      <c r="B35" s="167"/>
      <c r="C35" s="58" t="s">
        <v>168</v>
      </c>
      <c r="D35" s="56" t="s">
        <v>128</v>
      </c>
      <c r="E35" s="56" t="s">
        <v>104</v>
      </c>
      <c r="F35" s="56" t="s">
        <v>13</v>
      </c>
      <c r="G35" s="56" t="s">
        <v>102</v>
      </c>
      <c r="H35" s="60">
        <v>2020</v>
      </c>
      <c r="I35" s="228" t="s">
        <v>66</v>
      </c>
      <c r="J35" s="71">
        <f>2.3/0.85</f>
        <v>2.7058823529411762</v>
      </c>
      <c r="K35" s="71">
        <v>2.7058823529411762</v>
      </c>
      <c r="L35" s="71">
        <v>0</v>
      </c>
      <c r="M35" s="71">
        <v>0</v>
      </c>
      <c r="N35" s="71">
        <v>2.7058823529411762</v>
      </c>
      <c r="O35" s="64">
        <v>1</v>
      </c>
      <c r="P35" s="228">
        <v>0</v>
      </c>
      <c r="Q35" s="193"/>
      <c r="R35" s="168"/>
    </row>
    <row r="36" spans="2:18" x14ac:dyDescent="0.25">
      <c r="B36" s="167"/>
      <c r="C36" s="58" t="s">
        <v>1</v>
      </c>
      <c r="D36" s="56" t="s">
        <v>128</v>
      </c>
      <c r="E36" s="56" t="s">
        <v>105</v>
      </c>
      <c r="F36" s="56" t="s">
        <v>13</v>
      </c>
      <c r="G36" s="56" t="s">
        <v>72</v>
      </c>
      <c r="H36" s="60">
        <v>2020</v>
      </c>
      <c r="I36" s="228" t="s">
        <v>66</v>
      </c>
      <c r="J36" s="71">
        <v>300</v>
      </c>
      <c r="K36" s="71">
        <v>83.214652999999984</v>
      </c>
      <c r="L36" s="71">
        <v>217.81330800000001</v>
      </c>
      <c r="M36" s="71">
        <v>1.0279609999999999</v>
      </c>
      <c r="N36" s="71">
        <v>79.319999999999993</v>
      </c>
      <c r="O36" s="64">
        <v>0.96555063445376632</v>
      </c>
      <c r="P36" s="228">
        <v>-1.8566843122243885E-2</v>
      </c>
      <c r="Q36" s="56"/>
      <c r="R36" s="168"/>
    </row>
    <row r="37" spans="2:18" x14ac:dyDescent="0.25">
      <c r="B37" s="167"/>
      <c r="C37" s="58" t="s">
        <v>15</v>
      </c>
      <c r="D37" s="56" t="s">
        <v>128</v>
      </c>
      <c r="E37" s="56" t="s">
        <v>105</v>
      </c>
      <c r="F37" s="56" t="s">
        <v>13</v>
      </c>
      <c r="G37" s="56" t="s">
        <v>72</v>
      </c>
      <c r="H37" s="60">
        <v>2020</v>
      </c>
      <c r="I37" s="228" t="s">
        <v>66</v>
      </c>
      <c r="J37" s="71">
        <v>50</v>
      </c>
      <c r="K37" s="71">
        <v>16.790246</v>
      </c>
      <c r="L37" s="71">
        <v>33.209754000000004</v>
      </c>
      <c r="M37" s="71">
        <v>0.44382834999999998</v>
      </c>
      <c r="N37" s="71">
        <v>15.875237</v>
      </c>
      <c r="O37" s="64">
        <v>0.97193723963305834</v>
      </c>
      <c r="P37" s="228">
        <v>-1.7262730002403262E-2</v>
      </c>
      <c r="Q37" s="193"/>
      <c r="R37" s="168"/>
    </row>
    <row r="38" spans="2:18" x14ac:dyDescent="0.25">
      <c r="B38" s="167"/>
      <c r="C38" s="58" t="s">
        <v>263</v>
      </c>
      <c r="D38" s="56" t="s">
        <v>128</v>
      </c>
      <c r="E38" s="56" t="s">
        <v>106</v>
      </c>
      <c r="F38" s="56" t="s">
        <v>13</v>
      </c>
      <c r="G38" s="56" t="s">
        <v>72</v>
      </c>
      <c r="H38" s="60">
        <v>2021</v>
      </c>
      <c r="I38" s="228">
        <v>0.33</v>
      </c>
      <c r="J38" s="71">
        <v>17.112500000000001</v>
      </c>
      <c r="K38" s="71">
        <v>10.6268625</v>
      </c>
      <c r="L38" s="71">
        <v>6.4856375000000011</v>
      </c>
      <c r="M38" s="71">
        <v>0</v>
      </c>
      <c r="N38" s="71">
        <v>10.343446999999999</v>
      </c>
      <c r="O38" s="64">
        <v>0.97333027504590375</v>
      </c>
      <c r="P38" s="228">
        <v>-5.0154206156730663E-2</v>
      </c>
      <c r="Q38" s="56" t="s">
        <v>111</v>
      </c>
      <c r="R38" s="168"/>
    </row>
    <row r="39" spans="2:18" s="171" customFormat="1" x14ac:dyDescent="0.25">
      <c r="B39" s="169"/>
      <c r="C39" s="63"/>
      <c r="D39" s="63"/>
      <c r="E39" s="63"/>
      <c r="F39" s="63"/>
      <c r="G39" s="63"/>
      <c r="H39" s="63"/>
      <c r="I39" s="231"/>
      <c r="J39" s="72">
        <f>SUM(J34:J38)</f>
        <v>395.37629041129463</v>
      </c>
      <c r="K39" s="72">
        <f>SUM(K34:K38)</f>
        <v>134.94959459414116</v>
      </c>
      <c r="L39" s="72">
        <f>SUM(L34:L38)</f>
        <v>261.45465681715348</v>
      </c>
      <c r="M39" s="72">
        <f>SUM(M34:M38)</f>
        <v>1.4717893499999999</v>
      </c>
      <c r="N39" s="72">
        <f>SUM(N34:N38)</f>
        <v>140.19736563794118</v>
      </c>
      <c r="O39" s="65">
        <f t="shared" ref="O39:O41" si="2">(M39+N39)/K39</f>
        <v>1.0497931128582416</v>
      </c>
      <c r="P39" s="75"/>
      <c r="Q39" s="63"/>
      <c r="R39" s="170"/>
    </row>
    <row r="40" spans="2:18" s="413" customFormat="1" x14ac:dyDescent="0.25">
      <c r="B40" s="411"/>
      <c r="C40" s="405"/>
      <c r="D40" s="405"/>
      <c r="E40" s="405"/>
      <c r="F40" s="405"/>
      <c r="G40" s="405"/>
      <c r="H40" s="405"/>
      <c r="I40" s="230"/>
      <c r="J40" s="406"/>
      <c r="K40" s="406"/>
      <c r="L40" s="406"/>
      <c r="M40" s="406"/>
      <c r="N40" s="406"/>
      <c r="O40" s="407"/>
      <c r="P40" s="245"/>
      <c r="Q40" s="405"/>
      <c r="R40" s="412"/>
    </row>
    <row r="41" spans="2:18" s="171" customFormat="1" x14ac:dyDescent="0.25">
      <c r="B41" s="169"/>
      <c r="C41" s="408" t="s">
        <v>79</v>
      </c>
      <c r="D41" s="400"/>
      <c r="E41" s="400"/>
      <c r="F41" s="400"/>
      <c r="G41" s="400"/>
      <c r="H41" s="400"/>
      <c r="I41" s="401"/>
      <c r="J41" s="402">
        <f ca="1">J25+J31+J39</f>
        <v>2469.6401182802188</v>
      </c>
      <c r="K41" s="402">
        <f ca="1">K25+K31+K39</f>
        <v>2196.7102610269849</v>
      </c>
      <c r="L41" s="402">
        <f ca="1">L25+L31+L39</f>
        <v>273.95465681715348</v>
      </c>
      <c r="M41" s="402">
        <f ca="1">M25+M31+M39</f>
        <v>6.4717893499999999</v>
      </c>
      <c r="N41" s="402">
        <f>N25+N31+N39</f>
        <v>2297.3554445409127</v>
      </c>
      <c r="O41" s="403">
        <f t="shared" ca="1" si="2"/>
        <v>1.0487624493609138</v>
      </c>
      <c r="P41" s="404"/>
      <c r="Q41" s="400"/>
      <c r="R41" s="170"/>
    </row>
    <row r="42" spans="2:18" ht="15.75" thickBot="1" x14ac:dyDescent="0.3">
      <c r="B42" s="172"/>
      <c r="C42" s="173"/>
      <c r="D42" s="253"/>
      <c r="E42" s="253"/>
      <c r="F42" s="253"/>
      <c r="G42" s="253"/>
      <c r="H42" s="253"/>
      <c r="I42" s="174"/>
      <c r="J42" s="253"/>
      <c r="K42" s="253"/>
      <c r="L42" s="253"/>
      <c r="M42" s="253"/>
      <c r="N42" s="253"/>
      <c r="O42" s="359"/>
      <c r="P42" s="174"/>
      <c r="Q42" s="253"/>
      <c r="R42" s="176"/>
    </row>
    <row r="43" spans="2:18" x14ac:dyDescent="0.25">
      <c r="I43" s="177"/>
      <c r="P43" s="177"/>
    </row>
    <row r="44" spans="2:18" x14ac:dyDescent="0.25">
      <c r="B44" s="179"/>
    </row>
    <row r="45" spans="2:18" s="166" customFormat="1" x14ac:dyDescent="0.25">
      <c r="B45" s="360"/>
      <c r="C45" s="59"/>
      <c r="D45" s="61"/>
      <c r="E45" s="61"/>
      <c r="F45" s="61"/>
      <c r="G45" s="61"/>
      <c r="H45" s="68"/>
      <c r="I45" s="77"/>
      <c r="J45" s="78"/>
      <c r="K45" s="78"/>
      <c r="L45" s="78"/>
      <c r="M45" s="78"/>
      <c r="N45" s="78"/>
      <c r="O45" s="69"/>
      <c r="P45" s="77"/>
      <c r="Q45" s="61"/>
    </row>
    <row r="46" spans="2:18" s="166" customFormat="1" x14ac:dyDescent="0.25">
      <c r="B46" s="360"/>
      <c r="C46" s="232" t="s">
        <v>236</v>
      </c>
      <c r="D46" s="233"/>
      <c r="E46" s="233"/>
      <c r="F46" s="61"/>
      <c r="G46" s="414" t="s">
        <v>235</v>
      </c>
      <c r="H46" s="234"/>
      <c r="I46" s="235"/>
      <c r="J46" s="236"/>
      <c r="K46" s="236"/>
      <c r="L46" s="236"/>
      <c r="M46" s="236"/>
      <c r="N46" s="236"/>
      <c r="O46" s="69"/>
      <c r="P46" s="77"/>
      <c r="Q46" s="61"/>
    </row>
    <row r="47" spans="2:18" x14ac:dyDescent="0.25">
      <c r="B47" s="179"/>
      <c r="C47" s="67" t="s">
        <v>219</v>
      </c>
      <c r="G47" s="415" t="s">
        <v>365</v>
      </c>
      <c r="K47" s="416"/>
      <c r="N47" s="198"/>
      <c r="O47" s="81"/>
    </row>
    <row r="48" spans="2:18" x14ac:dyDescent="0.25">
      <c r="B48" s="179"/>
      <c r="C48" s="67" t="s">
        <v>220</v>
      </c>
      <c r="G48" s="417" t="s">
        <v>366</v>
      </c>
      <c r="N48" s="198"/>
      <c r="O48" s="81"/>
    </row>
    <row r="49" spans="2:15" x14ac:dyDescent="0.25">
      <c r="B49" s="179"/>
      <c r="C49" s="155" t="s">
        <v>367</v>
      </c>
      <c r="G49" s="417" t="s">
        <v>368</v>
      </c>
      <c r="N49" s="198"/>
      <c r="O49" s="81"/>
    </row>
    <row r="50" spans="2:15" x14ac:dyDescent="0.25">
      <c r="B50" s="179"/>
      <c r="C50" s="67" t="s">
        <v>221</v>
      </c>
      <c r="G50" s="155" t="s">
        <v>369</v>
      </c>
      <c r="N50" s="198"/>
      <c r="O50" s="81"/>
    </row>
    <row r="51" spans="2:15" x14ac:dyDescent="0.25">
      <c r="B51" s="179"/>
      <c r="C51" s="67" t="s">
        <v>222</v>
      </c>
      <c r="N51" s="198"/>
      <c r="O51" s="81"/>
    </row>
    <row r="52" spans="2:15" x14ac:dyDescent="0.25">
      <c r="C52" s="67" t="s">
        <v>223</v>
      </c>
      <c r="N52" s="198"/>
      <c r="O52" s="81"/>
    </row>
    <row r="53" spans="2:15" x14ac:dyDescent="0.25">
      <c r="C53" s="67" t="s">
        <v>224</v>
      </c>
      <c r="N53" s="198"/>
      <c r="O53" s="81"/>
    </row>
    <row r="54" spans="2:15" x14ac:dyDescent="0.25">
      <c r="C54" s="67" t="s">
        <v>225</v>
      </c>
      <c r="N54" s="198"/>
      <c r="O54" s="81"/>
    </row>
    <row r="55" spans="2:15" x14ac:dyDescent="0.25">
      <c r="N55" s="198"/>
      <c r="O55" s="81"/>
    </row>
    <row r="56" spans="2:15" x14ac:dyDescent="0.25">
      <c r="C56" s="155" t="s">
        <v>210</v>
      </c>
      <c r="N56" s="198"/>
      <c r="O56" s="81"/>
    </row>
    <row r="57" spans="2:15" x14ac:dyDescent="0.25">
      <c r="N57" s="198"/>
      <c r="O57" s="81"/>
    </row>
    <row r="58" spans="2:15" x14ac:dyDescent="0.25">
      <c r="N58" s="198"/>
      <c r="O58" s="81"/>
    </row>
    <row r="59" spans="2:15" x14ac:dyDescent="0.25">
      <c r="N59" s="198"/>
      <c r="O59" s="81"/>
    </row>
    <row r="60" spans="2:15" x14ac:dyDescent="0.25">
      <c r="N60" s="198"/>
      <c r="O60" s="81"/>
    </row>
    <row r="61" spans="2:15" x14ac:dyDescent="0.25">
      <c r="O61" s="81"/>
    </row>
    <row r="62" spans="2:15" x14ac:dyDescent="0.25">
      <c r="C62" s="155"/>
      <c r="O62" s="81"/>
    </row>
    <row r="63" spans="2:15" x14ac:dyDescent="0.25">
      <c r="C63" s="155"/>
      <c r="O63" s="81"/>
    </row>
    <row r="64" spans="2:15" x14ac:dyDescent="0.25">
      <c r="C64" s="155"/>
      <c r="O64" s="81"/>
    </row>
    <row r="65" spans="3:15" x14ac:dyDescent="0.25">
      <c r="O65" s="81"/>
    </row>
    <row r="66" spans="3:15" x14ac:dyDescent="0.25">
      <c r="G66" s="368"/>
      <c r="I66" s="155"/>
    </row>
    <row r="67" spans="3:15" x14ac:dyDescent="0.25">
      <c r="G67" s="368"/>
      <c r="I67" s="155"/>
    </row>
    <row r="68" spans="3:15" x14ac:dyDescent="0.25">
      <c r="G68" s="155"/>
      <c r="I68" s="155"/>
    </row>
    <row r="69" spans="3:15" x14ac:dyDescent="0.25">
      <c r="C69" s="155"/>
      <c r="E69" s="155"/>
      <c r="G69" s="155"/>
      <c r="I69" s="155"/>
    </row>
    <row r="70" spans="3:15" x14ac:dyDescent="0.25">
      <c r="C70" s="81"/>
      <c r="G70" s="155"/>
      <c r="I70" s="155"/>
    </row>
    <row r="71" spans="3:15" x14ac:dyDescent="0.25">
      <c r="C71" s="81"/>
    </row>
    <row r="72" spans="3:15" x14ac:dyDescent="0.25">
      <c r="F72" s="155"/>
    </row>
  </sheetData>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BCF64-A973-430D-A6DD-FA3B31FE1EB7}">
  <sheetPr>
    <tabColor theme="7" tint="0.39997558519241921"/>
  </sheetPr>
  <dimension ref="B1:P75"/>
  <sheetViews>
    <sheetView showGridLines="0" zoomScale="90" zoomScaleNormal="90" workbookViewId="0">
      <selection activeCell="D68" sqref="D68:P68"/>
    </sheetView>
  </sheetViews>
  <sheetFormatPr defaultRowHeight="15" x14ac:dyDescent="0.25"/>
  <cols>
    <col min="1" max="2" width="5.42578125" style="80" customWidth="1"/>
    <col min="3" max="3" width="31.7109375" style="154" customWidth="1"/>
    <col min="4" max="4" width="17.140625" style="81" customWidth="1"/>
    <col min="5" max="5" width="9.42578125" style="81" bestFit="1" customWidth="1"/>
    <col min="6" max="6" width="19.7109375" style="81" bestFit="1" customWidth="1"/>
    <col min="7" max="7" width="23.85546875" style="81" customWidth="1"/>
    <col min="8" max="8" width="20.5703125" style="81" customWidth="1"/>
    <col min="9" max="15" width="20.140625" style="81" customWidth="1"/>
    <col min="16" max="17" width="9.140625" style="80"/>
    <col min="18" max="19" width="18.5703125" style="80" customWidth="1"/>
    <col min="20" max="16384" width="9.140625" style="80"/>
  </cols>
  <sheetData>
    <row r="1" spans="2:16" s="166" customFormat="1" ht="21.75" customHeight="1" thickBot="1" x14ac:dyDescent="0.3">
      <c r="C1" s="356"/>
      <c r="D1" s="354"/>
      <c r="E1" s="354"/>
      <c r="F1" s="354"/>
      <c r="G1" s="354"/>
      <c r="H1" s="354"/>
      <c r="I1" s="354"/>
      <c r="J1" s="354"/>
      <c r="K1" s="354"/>
      <c r="L1" s="354"/>
      <c r="M1" s="354"/>
      <c r="N1" s="354"/>
      <c r="O1" s="354"/>
    </row>
    <row r="2" spans="2:16" ht="15.75" thickBot="1" x14ac:dyDescent="0.3">
      <c r="C2" s="409" t="s">
        <v>275</v>
      </c>
      <c r="D2" s="410">
        <f>'Summary | 01 '!D2</f>
        <v>44834</v>
      </c>
      <c r="E2" s="80"/>
      <c r="F2" s="80"/>
      <c r="G2" s="80"/>
      <c r="H2" s="80"/>
      <c r="I2" s="80"/>
      <c r="J2" s="80"/>
      <c r="K2" s="80"/>
      <c r="L2" s="80"/>
      <c r="M2" s="80"/>
      <c r="N2" s="80"/>
      <c r="O2" s="80"/>
    </row>
    <row r="3" spans="2:16" s="166" customFormat="1" ht="21.75" customHeight="1" thickBot="1" x14ac:dyDescent="0.3">
      <c r="C3" s="356"/>
      <c r="D3" s="354"/>
      <c r="E3" s="354"/>
      <c r="F3" s="354"/>
      <c r="G3" s="354"/>
      <c r="H3" s="354"/>
      <c r="I3" s="354"/>
      <c r="J3" s="354"/>
      <c r="K3" s="354"/>
      <c r="L3" s="354"/>
      <c r="M3" s="354"/>
      <c r="N3" s="354"/>
      <c r="O3" s="354"/>
    </row>
    <row r="4" spans="2:16" x14ac:dyDescent="0.25">
      <c r="B4" s="156"/>
      <c r="C4" s="157"/>
      <c r="D4" s="158"/>
      <c r="E4" s="158"/>
      <c r="F4" s="158"/>
      <c r="G4" s="158"/>
      <c r="H4" s="547"/>
      <c r="I4" s="547" t="s">
        <v>388</v>
      </c>
      <c r="J4" s="547"/>
      <c r="K4" s="547"/>
      <c r="L4" s="547"/>
      <c r="M4" s="547"/>
      <c r="N4" s="547"/>
      <c r="O4" s="547"/>
      <c r="P4" s="160"/>
    </row>
    <row r="5" spans="2:16" x14ac:dyDescent="0.25">
      <c r="B5" s="167"/>
      <c r="C5" s="535"/>
      <c r="D5" s="324"/>
      <c r="E5" s="324"/>
      <c r="F5" s="324"/>
      <c r="G5" s="324"/>
      <c r="H5" s="324"/>
      <c r="I5" s="81" t="s">
        <v>394</v>
      </c>
      <c r="J5" s="81" t="s">
        <v>395</v>
      </c>
      <c r="K5" s="81" t="s">
        <v>396</v>
      </c>
      <c r="L5" s="81" t="s">
        <v>397</v>
      </c>
      <c r="N5" s="81">
        <v>3</v>
      </c>
      <c r="O5" s="354">
        <v>4</v>
      </c>
      <c r="P5" s="168"/>
    </row>
    <row r="6" spans="2:16" s="163" customFormat="1" ht="60" customHeight="1" x14ac:dyDescent="0.25">
      <c r="B6" s="161"/>
      <c r="C6" s="57" t="s">
        <v>64</v>
      </c>
      <c r="D6" s="1" t="s">
        <v>35</v>
      </c>
      <c r="E6" s="1" t="s">
        <v>103</v>
      </c>
      <c r="F6" s="1" t="s">
        <v>42</v>
      </c>
      <c r="G6" s="1" t="s">
        <v>47</v>
      </c>
      <c r="H6" s="1" t="s">
        <v>413</v>
      </c>
      <c r="I6" s="536" t="s">
        <v>426</v>
      </c>
      <c r="J6" s="536"/>
      <c r="K6" s="536"/>
      <c r="L6" s="536"/>
      <c r="M6" s="536"/>
      <c r="N6" s="537" t="s">
        <v>411</v>
      </c>
      <c r="O6" s="551" t="s">
        <v>430</v>
      </c>
      <c r="P6" s="162"/>
    </row>
    <row r="7" spans="2:16" s="166" customFormat="1" x14ac:dyDescent="0.25">
      <c r="B7" s="164"/>
      <c r="C7" s="59"/>
      <c r="D7" s="62"/>
      <c r="E7" s="62"/>
      <c r="F7" s="62"/>
      <c r="G7" s="62"/>
      <c r="H7" s="62"/>
      <c r="I7" s="538" t="s">
        <v>398</v>
      </c>
      <c r="J7" s="538" t="s">
        <v>399</v>
      </c>
      <c r="K7" s="538" t="s">
        <v>400</v>
      </c>
      <c r="L7" s="538" t="s">
        <v>401</v>
      </c>
      <c r="M7" s="538" t="s">
        <v>402</v>
      </c>
      <c r="N7" s="539"/>
      <c r="O7" s="540"/>
      <c r="P7" s="165"/>
    </row>
    <row r="8" spans="2:16" s="166" customFormat="1" x14ac:dyDescent="0.25">
      <c r="B8" s="164"/>
      <c r="C8" s="59"/>
      <c r="D8" s="62"/>
      <c r="E8" s="62"/>
      <c r="F8" s="62"/>
      <c r="G8" s="62"/>
      <c r="H8" s="62"/>
      <c r="I8" s="62"/>
      <c r="J8" s="62"/>
      <c r="K8" s="62"/>
      <c r="L8" s="62"/>
      <c r="M8" s="62"/>
      <c r="N8" s="62"/>
      <c r="O8" s="542"/>
      <c r="P8" s="165"/>
    </row>
    <row r="9" spans="2:16" x14ac:dyDescent="0.25">
      <c r="B9" s="167"/>
      <c r="C9" s="70" t="s">
        <v>39</v>
      </c>
      <c r="D9" s="56"/>
      <c r="E9" s="56"/>
      <c r="F9" s="56"/>
      <c r="G9" s="56"/>
      <c r="H9" s="56"/>
      <c r="I9" s="56"/>
      <c r="J9" s="56"/>
      <c r="K9" s="56"/>
      <c r="L9" s="56"/>
      <c r="M9" s="56"/>
      <c r="N9" s="437"/>
      <c r="O9" s="543"/>
      <c r="P9" s="168"/>
    </row>
    <row r="10" spans="2:16" x14ac:dyDescent="0.25">
      <c r="B10" s="167"/>
      <c r="C10" s="58" t="s">
        <v>59</v>
      </c>
      <c r="D10" s="56" t="s">
        <v>128</v>
      </c>
      <c r="E10" s="56" t="s">
        <v>105</v>
      </c>
      <c r="F10" s="56" t="s">
        <v>9</v>
      </c>
      <c r="G10" s="56" t="s">
        <v>123</v>
      </c>
      <c r="H10" s="56"/>
      <c r="I10" s="541">
        <f>'%'!D11</f>
        <v>13458655</v>
      </c>
      <c r="J10" s="541">
        <v>0</v>
      </c>
      <c r="K10" s="541">
        <v>0</v>
      </c>
      <c r="L10" s="541">
        <v>0</v>
      </c>
      <c r="M10" s="541">
        <f>I10</f>
        <v>13458655</v>
      </c>
      <c r="N10" s="541">
        <v>0</v>
      </c>
      <c r="O10" s="543">
        <v>1</v>
      </c>
      <c r="P10" s="168"/>
    </row>
    <row r="11" spans="2:16" x14ac:dyDescent="0.25">
      <c r="B11" s="167"/>
      <c r="C11" s="58" t="s">
        <v>0</v>
      </c>
      <c r="D11" s="56" t="s">
        <v>128</v>
      </c>
      <c r="E11" s="56" t="s">
        <v>105</v>
      </c>
      <c r="F11" s="56" t="s">
        <v>9</v>
      </c>
      <c r="G11" s="56" t="s">
        <v>115</v>
      </c>
      <c r="H11" s="56"/>
      <c r="I11" s="541">
        <f>'%'!D12</f>
        <v>21419829</v>
      </c>
      <c r="J11" s="541">
        <v>0</v>
      </c>
      <c r="K11" s="541">
        <v>0</v>
      </c>
      <c r="L11" s="541">
        <v>0</v>
      </c>
      <c r="M11" s="541">
        <f>I11</f>
        <v>21419829</v>
      </c>
      <c r="N11" s="541">
        <v>0</v>
      </c>
      <c r="O11" s="543">
        <v>2</v>
      </c>
      <c r="P11" s="168"/>
    </row>
    <row r="12" spans="2:16" x14ac:dyDescent="0.25">
      <c r="B12" s="167"/>
      <c r="C12" s="58" t="s">
        <v>50</v>
      </c>
      <c r="D12" s="56" t="s">
        <v>128</v>
      </c>
      <c r="E12" s="56" t="s">
        <v>104</v>
      </c>
      <c r="F12" s="56" t="s">
        <v>9</v>
      </c>
      <c r="G12" s="56" t="s">
        <v>125</v>
      </c>
      <c r="H12" s="56"/>
      <c r="I12" s="541">
        <f>'%'!D13</f>
        <v>5205482</v>
      </c>
      <c r="J12" s="541">
        <v>0</v>
      </c>
      <c r="K12" s="541">
        <v>0</v>
      </c>
      <c r="L12" s="541">
        <v>0</v>
      </c>
      <c r="M12" s="541"/>
      <c r="N12" s="541">
        <v>0</v>
      </c>
      <c r="O12" s="543">
        <v>3</v>
      </c>
      <c r="P12" s="168"/>
    </row>
    <row r="13" spans="2:16" x14ac:dyDescent="0.25">
      <c r="B13" s="167"/>
      <c r="C13" s="58" t="s">
        <v>51</v>
      </c>
      <c r="D13" s="56" t="s">
        <v>130</v>
      </c>
      <c r="E13" s="56" t="s">
        <v>104</v>
      </c>
      <c r="F13" s="56" t="s">
        <v>9</v>
      </c>
      <c r="G13" s="56" t="s">
        <v>56</v>
      </c>
      <c r="H13" s="56"/>
      <c r="I13" s="541"/>
      <c r="J13" s="541">
        <v>0</v>
      </c>
      <c r="K13" s="541">
        <v>0</v>
      </c>
      <c r="L13" s="541">
        <v>0</v>
      </c>
      <c r="M13" s="541"/>
      <c r="N13" s="541">
        <v>0</v>
      </c>
      <c r="O13" s="543">
        <v>4</v>
      </c>
      <c r="P13" s="168"/>
    </row>
    <row r="14" spans="2:16" x14ac:dyDescent="0.25">
      <c r="B14" s="167"/>
      <c r="C14" s="58" t="s">
        <v>49</v>
      </c>
      <c r="D14" s="56" t="s">
        <v>128</v>
      </c>
      <c r="E14" s="56" t="s">
        <v>106</v>
      </c>
      <c r="F14" s="56" t="s">
        <v>9</v>
      </c>
      <c r="G14" s="56" t="s">
        <v>114</v>
      </c>
      <c r="H14" s="56"/>
      <c r="I14" s="541">
        <f>'%'!D15</f>
        <v>17670202</v>
      </c>
      <c r="J14" s="541">
        <v>0</v>
      </c>
      <c r="K14" s="541">
        <v>0</v>
      </c>
      <c r="L14" s="541">
        <v>0</v>
      </c>
      <c r="M14" s="541">
        <f>I14</f>
        <v>17670202</v>
      </c>
      <c r="N14" s="541">
        <v>0</v>
      </c>
      <c r="O14" s="543">
        <v>5</v>
      </c>
      <c r="P14" s="168"/>
    </row>
    <row r="15" spans="2:16" x14ac:dyDescent="0.25">
      <c r="B15" s="167"/>
      <c r="C15" s="58" t="s">
        <v>142</v>
      </c>
      <c r="D15" s="56" t="s">
        <v>128</v>
      </c>
      <c r="E15" s="56" t="s">
        <v>106</v>
      </c>
      <c r="F15" s="56" t="s">
        <v>9</v>
      </c>
      <c r="G15" s="56" t="s">
        <v>57</v>
      </c>
      <c r="H15" s="56" t="s">
        <v>412</v>
      </c>
      <c r="I15" s="541">
        <f>'%'!D16</f>
        <v>44328120</v>
      </c>
      <c r="J15" s="541">
        <v>0</v>
      </c>
      <c r="K15" s="541">
        <v>0</v>
      </c>
      <c r="L15" s="541">
        <v>0</v>
      </c>
      <c r="M15" s="541">
        <f>I15</f>
        <v>44328120</v>
      </c>
      <c r="N15" s="541">
        <v>0</v>
      </c>
      <c r="O15" s="543">
        <v>6</v>
      </c>
      <c r="P15" s="168"/>
    </row>
    <row r="16" spans="2:16" x14ac:dyDescent="0.25">
      <c r="B16" s="167"/>
      <c r="C16" s="58" t="s">
        <v>11</v>
      </c>
      <c r="D16" s="56" t="s">
        <v>128</v>
      </c>
      <c r="E16" s="56" t="s">
        <v>105</v>
      </c>
      <c r="F16" s="56" t="s">
        <v>9</v>
      </c>
      <c r="G16" s="56" t="s">
        <v>122</v>
      </c>
      <c r="H16" s="56"/>
      <c r="I16" s="541">
        <f>'%'!D17</f>
        <v>3565017.22</v>
      </c>
      <c r="J16" s="541">
        <v>0</v>
      </c>
      <c r="K16" s="541">
        <v>0</v>
      </c>
      <c r="L16" s="541">
        <v>0</v>
      </c>
      <c r="M16" s="541">
        <f t="shared" ref="M16:M18" si="0">I16</f>
        <v>3565017.22</v>
      </c>
      <c r="N16" s="541">
        <v>0</v>
      </c>
      <c r="O16" s="543">
        <v>7</v>
      </c>
      <c r="P16" s="168"/>
    </row>
    <row r="17" spans="2:16" x14ac:dyDescent="0.25">
      <c r="B17" s="167"/>
      <c r="C17" s="58" t="s">
        <v>24</v>
      </c>
      <c r="D17" s="56" t="s">
        <v>129</v>
      </c>
      <c r="E17" s="56" t="s">
        <v>104</v>
      </c>
      <c r="F17" s="56" t="s">
        <v>26</v>
      </c>
      <c r="G17" s="56" t="s">
        <v>61</v>
      </c>
      <c r="H17" s="56"/>
      <c r="I17" s="541">
        <f>NAV!F16</f>
        <v>7959497</v>
      </c>
      <c r="J17" s="541">
        <v>0</v>
      </c>
      <c r="K17" s="541">
        <v>0</v>
      </c>
      <c r="L17" s="541">
        <v>0</v>
      </c>
      <c r="M17" s="541">
        <f t="shared" si="0"/>
        <v>7959497</v>
      </c>
      <c r="N17" s="541">
        <v>0</v>
      </c>
      <c r="O17" s="543">
        <v>8</v>
      </c>
      <c r="P17" s="168"/>
    </row>
    <row r="18" spans="2:16" x14ac:dyDescent="0.25">
      <c r="B18" s="167"/>
      <c r="C18" s="58" t="s">
        <v>52</v>
      </c>
      <c r="D18" s="56" t="s">
        <v>128</v>
      </c>
      <c r="E18" s="56" t="s">
        <v>112</v>
      </c>
      <c r="F18" s="56" t="s">
        <v>9</v>
      </c>
      <c r="G18" s="56" t="s">
        <v>117</v>
      </c>
      <c r="H18" s="56"/>
      <c r="I18" s="541">
        <f>NAV!F17</f>
        <v>1441711</v>
      </c>
      <c r="J18" s="541">
        <v>0</v>
      </c>
      <c r="K18" s="541">
        <v>0</v>
      </c>
      <c r="L18" s="541">
        <v>0</v>
      </c>
      <c r="M18" s="541">
        <f t="shared" si="0"/>
        <v>1441711</v>
      </c>
      <c r="N18" s="541">
        <v>0</v>
      </c>
      <c r="O18" s="543">
        <v>9</v>
      </c>
      <c r="P18" s="168"/>
    </row>
    <row r="19" spans="2:16" x14ac:dyDescent="0.25">
      <c r="B19" s="167"/>
      <c r="C19" s="58" t="s">
        <v>53</v>
      </c>
      <c r="D19" s="56" t="s">
        <v>128</v>
      </c>
      <c r="E19" s="56" t="s">
        <v>104</v>
      </c>
      <c r="F19" s="56" t="s">
        <v>9</v>
      </c>
      <c r="G19" s="56" t="s">
        <v>124</v>
      </c>
      <c r="H19" s="56"/>
      <c r="I19" s="541">
        <f>NAV!F18</f>
        <v>3000000</v>
      </c>
      <c r="J19" s="541">
        <v>0</v>
      </c>
      <c r="K19" s="541">
        <v>0</v>
      </c>
      <c r="L19" s="541">
        <v>0</v>
      </c>
      <c r="M19" s="541">
        <f t="shared" ref="M19" si="1">I19</f>
        <v>3000000</v>
      </c>
      <c r="N19" s="541">
        <v>0</v>
      </c>
      <c r="O19" s="543">
        <v>10</v>
      </c>
      <c r="P19" s="168"/>
    </row>
    <row r="20" spans="2:16" x14ac:dyDescent="0.25">
      <c r="B20" s="167"/>
      <c r="C20" s="58" t="s">
        <v>54</v>
      </c>
      <c r="D20" s="56" t="s">
        <v>128</v>
      </c>
      <c r="E20" s="56" t="s">
        <v>112</v>
      </c>
      <c r="F20" s="56" t="s">
        <v>9</v>
      </c>
      <c r="G20" s="56" t="s">
        <v>126</v>
      </c>
      <c r="H20" s="56"/>
      <c r="I20" s="541">
        <f>NAV!F19</f>
        <v>33267</v>
      </c>
      <c r="J20" s="541">
        <v>0</v>
      </c>
      <c r="K20" s="541">
        <v>0</v>
      </c>
      <c r="L20" s="541">
        <v>0</v>
      </c>
      <c r="M20" s="541">
        <f t="shared" ref="M20" si="2">I20</f>
        <v>33267</v>
      </c>
      <c r="N20" s="541">
        <v>0</v>
      </c>
      <c r="O20" s="543">
        <v>11</v>
      </c>
      <c r="P20" s="168"/>
    </row>
    <row r="21" spans="2:16" x14ac:dyDescent="0.25">
      <c r="B21" s="167"/>
      <c r="C21" s="58" t="s">
        <v>120</v>
      </c>
      <c r="D21" s="56" t="s">
        <v>128</v>
      </c>
      <c r="E21" s="56" t="s">
        <v>105</v>
      </c>
      <c r="F21" s="56" t="s">
        <v>119</v>
      </c>
      <c r="G21" s="56" t="s">
        <v>127</v>
      </c>
      <c r="H21" s="56"/>
      <c r="I21" s="541"/>
      <c r="J21" s="541"/>
      <c r="K21" s="541"/>
      <c r="L21" s="541"/>
      <c r="M21" s="541"/>
      <c r="N21" s="541"/>
      <c r="O21" s="543">
        <v>12</v>
      </c>
      <c r="P21" s="168"/>
    </row>
    <row r="22" spans="2:16" x14ac:dyDescent="0.25">
      <c r="B22" s="167"/>
      <c r="C22" s="58" t="s">
        <v>25</v>
      </c>
      <c r="D22" s="56" t="s">
        <v>128</v>
      </c>
      <c r="E22" s="56" t="s">
        <v>107</v>
      </c>
      <c r="F22" s="56" t="s">
        <v>13</v>
      </c>
      <c r="G22" s="56" t="s">
        <v>127</v>
      </c>
      <c r="H22" s="56"/>
      <c r="I22" s="541"/>
      <c r="J22" s="541"/>
      <c r="K22" s="541"/>
      <c r="L22" s="541"/>
      <c r="M22" s="541"/>
      <c r="N22" s="541"/>
      <c r="O22" s="543">
        <v>13</v>
      </c>
      <c r="P22" s="168"/>
    </row>
    <row r="23" spans="2:16" x14ac:dyDescent="0.25">
      <c r="B23" s="167"/>
      <c r="C23" s="58" t="s">
        <v>143</v>
      </c>
      <c r="D23" s="56" t="s">
        <v>128</v>
      </c>
      <c r="E23" s="56" t="s">
        <v>106</v>
      </c>
      <c r="F23" s="56" t="s">
        <v>13</v>
      </c>
      <c r="G23" s="56" t="s">
        <v>57</v>
      </c>
      <c r="H23" s="56" t="s">
        <v>412</v>
      </c>
      <c r="I23" s="541">
        <v>10386274</v>
      </c>
      <c r="J23" s="541">
        <v>0</v>
      </c>
      <c r="K23" s="541">
        <v>0</v>
      </c>
      <c r="L23" s="541">
        <v>0</v>
      </c>
      <c r="M23" s="541">
        <v>10386274</v>
      </c>
      <c r="N23" s="541">
        <v>0</v>
      </c>
      <c r="O23" s="543">
        <v>14</v>
      </c>
      <c r="P23" s="168"/>
    </row>
    <row r="24" spans="2:16" x14ac:dyDescent="0.25">
      <c r="B24" s="167"/>
      <c r="C24" s="58" t="s">
        <v>46</v>
      </c>
      <c r="D24" s="56" t="s">
        <v>128</v>
      </c>
      <c r="E24" s="56" t="s">
        <v>105</v>
      </c>
      <c r="F24" s="56" t="s">
        <v>118</v>
      </c>
      <c r="G24" s="56" t="s">
        <v>127</v>
      </c>
      <c r="H24" s="56"/>
      <c r="I24" s="437"/>
      <c r="J24" s="437"/>
      <c r="K24" s="437"/>
      <c r="L24" s="437"/>
      <c r="M24" s="437"/>
      <c r="N24" s="437"/>
      <c r="O24" s="543">
        <v>15</v>
      </c>
      <c r="P24" s="168"/>
    </row>
    <row r="25" spans="2:16" s="171" customFormat="1" x14ac:dyDescent="0.25">
      <c r="B25" s="169"/>
      <c r="C25" s="221"/>
      <c r="D25" s="221"/>
      <c r="E25" s="221"/>
      <c r="F25" s="221"/>
      <c r="G25" s="221"/>
      <c r="H25" s="221"/>
      <c r="I25" s="438"/>
      <c r="J25" s="438"/>
      <c r="K25" s="438"/>
      <c r="L25" s="438"/>
      <c r="M25" s="438"/>
      <c r="N25" s="438"/>
      <c r="O25" s="544"/>
      <c r="P25" s="170"/>
    </row>
    <row r="26" spans="2:16" s="166" customFormat="1" x14ac:dyDescent="0.25">
      <c r="B26" s="164"/>
      <c r="C26" s="59"/>
      <c r="D26" s="62"/>
      <c r="E26" s="62"/>
      <c r="F26" s="62"/>
      <c r="G26" s="62"/>
      <c r="H26" s="62"/>
      <c r="I26" s="439"/>
      <c r="J26" s="439"/>
      <c r="K26" s="439"/>
      <c r="L26" s="439"/>
      <c r="M26" s="439"/>
      <c r="N26" s="439"/>
      <c r="O26" s="542"/>
      <c r="P26" s="165"/>
    </row>
    <row r="27" spans="2:16" x14ac:dyDescent="0.25">
      <c r="B27" s="167"/>
      <c r="C27" s="70" t="s">
        <v>40</v>
      </c>
      <c r="D27" s="56"/>
      <c r="E27" s="56"/>
      <c r="F27" s="56"/>
      <c r="G27" s="56"/>
      <c r="H27" s="56"/>
      <c r="I27" s="437"/>
      <c r="J27" s="437"/>
      <c r="K27" s="437"/>
      <c r="L27" s="437"/>
      <c r="M27" s="437"/>
      <c r="N27" s="437"/>
      <c r="O27" s="543"/>
      <c r="P27" s="168"/>
    </row>
    <row r="28" spans="2:16" x14ac:dyDescent="0.25">
      <c r="B28" s="167"/>
      <c r="C28" s="58" t="s">
        <v>60</v>
      </c>
      <c r="D28" s="56" t="s">
        <v>202</v>
      </c>
      <c r="E28" s="56"/>
      <c r="F28" s="56" t="s">
        <v>9</v>
      </c>
      <c r="G28" s="56" t="s">
        <v>198</v>
      </c>
      <c r="H28" s="56"/>
      <c r="I28" s="437"/>
      <c r="J28" s="437"/>
      <c r="K28" s="437"/>
      <c r="L28" s="437"/>
      <c r="M28" s="437"/>
      <c r="N28" s="437"/>
      <c r="O28" s="543">
        <v>16</v>
      </c>
      <c r="P28" s="168"/>
    </row>
    <row r="29" spans="2:16" x14ac:dyDescent="0.25">
      <c r="B29" s="167"/>
      <c r="C29" s="58" t="s">
        <v>0</v>
      </c>
      <c r="D29" s="56" t="s">
        <v>202</v>
      </c>
      <c r="E29" s="56" t="s">
        <v>105</v>
      </c>
      <c r="F29" s="56" t="s">
        <v>9</v>
      </c>
      <c r="G29" s="56" t="s">
        <v>200</v>
      </c>
      <c r="H29" s="56"/>
      <c r="I29" s="437"/>
      <c r="J29" s="437"/>
      <c r="K29" s="437"/>
      <c r="L29" s="437"/>
      <c r="M29" s="437"/>
      <c r="N29" s="437"/>
      <c r="O29" s="543">
        <v>17</v>
      </c>
      <c r="P29" s="168"/>
    </row>
    <row r="30" spans="2:16" x14ac:dyDescent="0.25">
      <c r="B30" s="167"/>
      <c r="C30" s="58" t="s">
        <v>51</v>
      </c>
      <c r="D30" s="56" t="s">
        <v>128</v>
      </c>
      <c r="E30" s="56" t="s">
        <v>104</v>
      </c>
      <c r="F30" s="56" t="s">
        <v>9</v>
      </c>
      <c r="G30" s="56" t="s">
        <v>200</v>
      </c>
      <c r="H30" s="56"/>
      <c r="I30" s="437"/>
      <c r="J30" s="437"/>
      <c r="K30" s="437"/>
      <c r="L30" s="437"/>
      <c r="M30" s="437"/>
      <c r="N30" s="437"/>
      <c r="O30" s="543">
        <v>18</v>
      </c>
      <c r="P30" s="168"/>
    </row>
    <row r="31" spans="2:16" s="171" customFormat="1" x14ac:dyDescent="0.25">
      <c r="B31" s="169"/>
      <c r="C31" s="221"/>
      <c r="D31" s="221"/>
      <c r="E31" s="221"/>
      <c r="F31" s="221"/>
      <c r="G31" s="221"/>
      <c r="H31" s="221"/>
      <c r="I31" s="438"/>
      <c r="J31" s="438"/>
      <c r="K31" s="438"/>
      <c r="L31" s="438"/>
      <c r="M31" s="438"/>
      <c r="N31" s="438"/>
      <c r="O31" s="544"/>
      <c r="P31" s="170"/>
    </row>
    <row r="32" spans="2:16" s="166" customFormat="1" x14ac:dyDescent="0.25">
      <c r="B32" s="164"/>
      <c r="C32" s="59"/>
      <c r="D32" s="62"/>
      <c r="E32" s="62"/>
      <c r="F32" s="62"/>
      <c r="G32" s="62"/>
      <c r="H32" s="62"/>
      <c r="I32" s="439"/>
      <c r="J32" s="439"/>
      <c r="K32" s="439"/>
      <c r="L32" s="439"/>
      <c r="M32" s="439"/>
      <c r="N32" s="439"/>
      <c r="O32" s="542"/>
      <c r="P32" s="165"/>
    </row>
    <row r="33" spans="2:16" x14ac:dyDescent="0.25">
      <c r="B33" s="167"/>
      <c r="C33" s="70" t="s">
        <v>41</v>
      </c>
      <c r="D33" s="56"/>
      <c r="E33" s="56"/>
      <c r="F33" s="56"/>
      <c r="G33" s="56"/>
      <c r="H33" s="56"/>
      <c r="I33" s="437"/>
      <c r="J33" s="437"/>
      <c r="K33" s="437"/>
      <c r="L33" s="437"/>
      <c r="M33" s="437"/>
      <c r="N33" s="437"/>
      <c r="O33" s="543"/>
      <c r="P33" s="168"/>
    </row>
    <row r="34" spans="2:16" x14ac:dyDescent="0.25">
      <c r="B34" s="167"/>
      <c r="C34" s="58" t="s">
        <v>186</v>
      </c>
      <c r="D34" s="56" t="s">
        <v>128</v>
      </c>
      <c r="E34" s="56" t="s">
        <v>104</v>
      </c>
      <c r="F34" s="56" t="s">
        <v>13</v>
      </c>
      <c r="G34" s="56" t="s">
        <v>72</v>
      </c>
      <c r="H34" s="56"/>
      <c r="I34" s="437"/>
      <c r="J34" s="437"/>
      <c r="K34" s="437"/>
      <c r="L34" s="437"/>
      <c r="M34" s="437"/>
      <c r="N34" s="437"/>
      <c r="O34" s="543">
        <v>19</v>
      </c>
      <c r="P34" s="168"/>
    </row>
    <row r="35" spans="2:16" x14ac:dyDescent="0.25">
      <c r="B35" s="167"/>
      <c r="C35" s="58" t="s">
        <v>168</v>
      </c>
      <c r="D35" s="56" t="s">
        <v>128</v>
      </c>
      <c r="E35" s="56" t="s">
        <v>104</v>
      </c>
      <c r="F35" s="56" t="s">
        <v>13</v>
      </c>
      <c r="G35" s="56" t="s">
        <v>102</v>
      </c>
      <c r="H35" s="56"/>
      <c r="I35" s="437"/>
      <c r="J35" s="437"/>
      <c r="K35" s="437"/>
      <c r="L35" s="437"/>
      <c r="M35" s="437"/>
      <c r="N35" s="437"/>
      <c r="O35" s="543">
        <v>20</v>
      </c>
      <c r="P35" s="168"/>
    </row>
    <row r="36" spans="2:16" x14ac:dyDescent="0.25">
      <c r="B36" s="167"/>
      <c r="C36" s="58" t="s">
        <v>1</v>
      </c>
      <c r="D36" s="56" t="s">
        <v>128</v>
      </c>
      <c r="E36" s="56" t="s">
        <v>105</v>
      </c>
      <c r="F36" s="56" t="s">
        <v>13</v>
      </c>
      <c r="G36" s="56" t="s">
        <v>72</v>
      </c>
      <c r="H36" s="56"/>
      <c r="I36" s="437"/>
      <c r="J36" s="437"/>
      <c r="K36" s="437"/>
      <c r="L36" s="437"/>
      <c r="M36" s="437"/>
      <c r="N36" s="437"/>
      <c r="O36" s="543">
        <v>21</v>
      </c>
      <c r="P36" s="168"/>
    </row>
    <row r="37" spans="2:16" x14ac:dyDescent="0.25">
      <c r="B37" s="167"/>
      <c r="C37" s="58" t="s">
        <v>15</v>
      </c>
      <c r="D37" s="56" t="s">
        <v>128</v>
      </c>
      <c r="E37" s="56" t="s">
        <v>105</v>
      </c>
      <c r="F37" s="56" t="s">
        <v>13</v>
      </c>
      <c r="G37" s="56" t="s">
        <v>72</v>
      </c>
      <c r="H37" s="56"/>
      <c r="I37" s="437"/>
      <c r="J37" s="437"/>
      <c r="K37" s="437"/>
      <c r="L37" s="437"/>
      <c r="M37" s="437"/>
      <c r="N37" s="437"/>
      <c r="O37" s="543">
        <v>22</v>
      </c>
      <c r="P37" s="168"/>
    </row>
    <row r="38" spans="2:16" x14ac:dyDescent="0.25">
      <c r="B38" s="167"/>
      <c r="C38" s="58" t="s">
        <v>263</v>
      </c>
      <c r="D38" s="56" t="s">
        <v>128</v>
      </c>
      <c r="E38" s="56" t="s">
        <v>106</v>
      </c>
      <c r="F38" s="56" t="s">
        <v>13</v>
      </c>
      <c r="G38" s="56" t="s">
        <v>72</v>
      </c>
      <c r="H38" s="56"/>
      <c r="I38" s="437"/>
      <c r="J38" s="437"/>
      <c r="K38" s="437"/>
      <c r="L38" s="437"/>
      <c r="M38" s="437"/>
      <c r="N38" s="437"/>
      <c r="O38" s="543">
        <v>23</v>
      </c>
      <c r="P38" s="168"/>
    </row>
    <row r="39" spans="2:16" s="171" customFormat="1" x14ac:dyDescent="0.25">
      <c r="B39" s="169"/>
      <c r="C39" s="221"/>
      <c r="D39" s="221"/>
      <c r="E39" s="221"/>
      <c r="F39" s="221"/>
      <c r="G39" s="221"/>
      <c r="H39" s="221"/>
      <c r="I39" s="438"/>
      <c r="J39" s="438"/>
      <c r="K39" s="438"/>
      <c r="L39" s="438"/>
      <c r="M39" s="438"/>
      <c r="N39" s="438"/>
      <c r="O39" s="544"/>
      <c r="P39" s="170"/>
    </row>
    <row r="40" spans="2:16" s="413" customFormat="1" x14ac:dyDescent="0.25">
      <c r="B40" s="411"/>
      <c r="C40" s="405"/>
      <c r="D40" s="405"/>
      <c r="E40" s="405"/>
      <c r="F40" s="405"/>
      <c r="G40" s="405"/>
      <c r="H40" s="405"/>
      <c r="I40" s="439"/>
      <c r="J40" s="439"/>
      <c r="K40" s="439"/>
      <c r="L40" s="439"/>
      <c r="M40" s="439"/>
      <c r="N40" s="439"/>
      <c r="O40" s="542"/>
      <c r="P40" s="412"/>
    </row>
    <row r="41" spans="2:16" s="171" customFormat="1" x14ac:dyDescent="0.25">
      <c r="B41" s="169"/>
      <c r="C41" s="408"/>
      <c r="D41" s="400"/>
      <c r="E41" s="400"/>
      <c r="F41" s="400"/>
      <c r="G41" s="400"/>
      <c r="H41" s="400"/>
      <c r="I41" s="400"/>
      <c r="J41" s="400"/>
      <c r="K41" s="400"/>
      <c r="L41" s="400"/>
      <c r="M41" s="400"/>
      <c r="N41" s="400"/>
      <c r="O41" s="545"/>
      <c r="P41" s="170"/>
    </row>
    <row r="42" spans="2:16" ht="15.75" thickBot="1" x14ac:dyDescent="0.3">
      <c r="B42" s="172"/>
      <c r="C42" s="173"/>
      <c r="D42" s="253"/>
      <c r="E42" s="253"/>
      <c r="F42" s="253"/>
      <c r="G42" s="253"/>
      <c r="H42" s="253"/>
      <c r="I42" s="253"/>
      <c r="J42" s="253"/>
      <c r="K42" s="253"/>
      <c r="L42" s="253"/>
      <c r="M42" s="253"/>
      <c r="N42" s="253"/>
      <c r="O42" s="253"/>
      <c r="P42" s="176"/>
    </row>
    <row r="44" spans="2:16" s="166" customFormat="1" x14ac:dyDescent="0.25">
      <c r="D44" s="61"/>
      <c r="E44" s="61"/>
      <c r="F44" s="61"/>
      <c r="G44" s="61"/>
      <c r="H44" s="61"/>
      <c r="I44" s="61"/>
      <c r="J44" s="61"/>
      <c r="K44" s="61"/>
      <c r="L44" s="61"/>
      <c r="M44" s="61"/>
      <c r="N44" s="61"/>
      <c r="O44" s="61"/>
    </row>
    <row r="45" spans="2:16" s="166" customFormat="1" x14ac:dyDescent="0.25">
      <c r="B45" s="558" t="s">
        <v>236</v>
      </c>
      <c r="D45" s="61"/>
      <c r="E45" s="61"/>
      <c r="F45" s="61"/>
      <c r="G45" s="61"/>
      <c r="H45" s="61"/>
      <c r="I45" s="61"/>
      <c r="J45" s="61"/>
      <c r="K45" s="61"/>
      <c r="L45" s="61"/>
      <c r="M45" s="61"/>
      <c r="N45" s="61"/>
      <c r="O45" s="61"/>
    </row>
    <row r="46" spans="2:16" s="166" customFormat="1" x14ac:dyDescent="0.25">
      <c r="B46" s="548">
        <v>1</v>
      </c>
      <c r="C46" s="554" t="s">
        <v>427</v>
      </c>
      <c r="D46" s="549" t="s">
        <v>436</v>
      </c>
      <c r="E46" s="549"/>
      <c r="F46" s="549"/>
      <c r="G46" s="549"/>
      <c r="H46" s="549"/>
      <c r="I46" s="549"/>
      <c r="J46" s="549"/>
      <c r="K46" s="549"/>
      <c r="L46" s="549"/>
      <c r="M46" s="549"/>
      <c r="N46" s="549"/>
      <c r="O46" s="549"/>
      <c r="P46" s="549"/>
    </row>
    <row r="47" spans="2:16" x14ac:dyDescent="0.25">
      <c r="B47" s="557">
        <v>2</v>
      </c>
      <c r="C47" s="556" t="s">
        <v>99</v>
      </c>
      <c r="D47" s="552" t="s">
        <v>437</v>
      </c>
      <c r="E47" s="552"/>
      <c r="F47" s="552"/>
      <c r="G47" s="552"/>
      <c r="H47" s="552"/>
      <c r="I47" s="552"/>
      <c r="J47" s="552"/>
      <c r="K47" s="552"/>
      <c r="L47" s="552"/>
      <c r="M47" s="552"/>
      <c r="N47" s="552"/>
      <c r="O47" s="552"/>
      <c r="P47" s="552"/>
    </row>
    <row r="48" spans="2:16" s="81" customFormat="1" x14ac:dyDescent="0.25">
      <c r="B48" s="548">
        <v>3</v>
      </c>
      <c r="C48" s="550" t="s">
        <v>429</v>
      </c>
      <c r="D48" s="549" t="s">
        <v>434</v>
      </c>
      <c r="E48" s="549"/>
      <c r="F48" s="549"/>
      <c r="G48" s="549"/>
      <c r="H48" s="549"/>
      <c r="I48" s="549"/>
      <c r="J48" s="549"/>
      <c r="K48" s="549"/>
      <c r="L48" s="549"/>
      <c r="M48" s="549"/>
      <c r="N48" s="549"/>
      <c r="O48" s="549"/>
      <c r="P48" s="549"/>
    </row>
    <row r="49" spans="2:16" ht="52.5" customHeight="1" x14ac:dyDescent="0.25">
      <c r="B49" s="557">
        <v>4</v>
      </c>
      <c r="C49" s="556" t="s">
        <v>428</v>
      </c>
      <c r="D49" s="552" t="s">
        <v>435</v>
      </c>
      <c r="E49" s="552"/>
      <c r="F49" s="552"/>
      <c r="G49" s="552"/>
      <c r="H49" s="552"/>
      <c r="I49" s="552"/>
      <c r="J49" s="552"/>
      <c r="K49" s="552"/>
      <c r="L49" s="552"/>
      <c r="M49" s="552"/>
      <c r="N49" s="552"/>
      <c r="O49" s="552"/>
      <c r="P49" s="552"/>
    </row>
    <row r="50" spans="2:16" x14ac:dyDescent="0.25">
      <c r="B50" s="548">
        <v>5</v>
      </c>
      <c r="C50" s="550" t="s">
        <v>49</v>
      </c>
      <c r="D50" s="549" t="s">
        <v>441</v>
      </c>
      <c r="E50" s="549"/>
      <c r="F50" s="549"/>
      <c r="G50" s="549"/>
      <c r="H50" s="549"/>
      <c r="I50" s="549"/>
      <c r="J50" s="549"/>
      <c r="K50" s="549"/>
      <c r="L50" s="549"/>
      <c r="M50" s="549"/>
      <c r="N50" s="549"/>
      <c r="O50" s="549"/>
      <c r="P50" s="549"/>
    </row>
    <row r="51" spans="2:16" x14ac:dyDescent="0.25">
      <c r="B51" s="557">
        <v>6</v>
      </c>
      <c r="C51" s="556" t="s">
        <v>142</v>
      </c>
      <c r="D51" s="552"/>
      <c r="E51" s="552"/>
      <c r="F51" s="552"/>
      <c r="G51" s="552"/>
      <c r="H51" s="552"/>
      <c r="I51" s="552"/>
      <c r="J51" s="552"/>
      <c r="K51" s="552"/>
      <c r="L51" s="552"/>
      <c r="M51" s="552"/>
      <c r="N51" s="552"/>
      <c r="O51" s="552"/>
      <c r="P51" s="552"/>
    </row>
    <row r="52" spans="2:16" ht="15" customHeight="1" x14ac:dyDescent="0.25">
      <c r="B52" s="548">
        <v>7</v>
      </c>
      <c r="C52" s="550" t="s">
        <v>11</v>
      </c>
      <c r="D52" s="549" t="s">
        <v>438</v>
      </c>
      <c r="E52" s="549"/>
      <c r="F52" s="549"/>
      <c r="G52" s="549"/>
      <c r="H52" s="549"/>
      <c r="I52" s="549"/>
      <c r="J52" s="549"/>
      <c r="K52" s="549"/>
      <c r="L52" s="549"/>
      <c r="M52" s="549"/>
      <c r="N52" s="549"/>
      <c r="O52" s="549"/>
      <c r="P52" s="549"/>
    </row>
    <row r="53" spans="2:16" x14ac:dyDescent="0.25">
      <c r="B53" s="557">
        <v>8</v>
      </c>
      <c r="C53" s="556" t="s">
        <v>24</v>
      </c>
      <c r="D53" s="552" t="s">
        <v>433</v>
      </c>
      <c r="E53" s="552"/>
      <c r="F53" s="552"/>
      <c r="G53" s="552"/>
      <c r="H53" s="552"/>
      <c r="I53" s="552"/>
      <c r="J53" s="552"/>
      <c r="K53" s="552"/>
      <c r="L53" s="552"/>
      <c r="M53" s="552"/>
      <c r="N53" s="552"/>
      <c r="O53" s="552"/>
      <c r="P53" s="552"/>
    </row>
    <row r="54" spans="2:16" ht="15" customHeight="1" x14ac:dyDescent="0.25">
      <c r="B54" s="548">
        <v>9</v>
      </c>
      <c r="C54" s="550" t="s">
        <v>52</v>
      </c>
      <c r="D54" s="549" t="s">
        <v>442</v>
      </c>
      <c r="E54" s="549"/>
      <c r="F54" s="549"/>
      <c r="G54" s="549"/>
      <c r="H54" s="549"/>
      <c r="I54" s="549"/>
      <c r="J54" s="549"/>
      <c r="K54" s="549"/>
      <c r="L54" s="549"/>
      <c r="M54" s="549"/>
      <c r="N54" s="549"/>
      <c r="O54" s="549"/>
      <c r="P54" s="549"/>
    </row>
    <row r="55" spans="2:16" x14ac:dyDescent="0.25">
      <c r="B55" s="557">
        <v>10</v>
      </c>
      <c r="C55" s="556" t="s">
        <v>53</v>
      </c>
      <c r="D55" s="552"/>
      <c r="E55" s="552"/>
      <c r="F55" s="552"/>
      <c r="G55" s="552"/>
      <c r="H55" s="552"/>
      <c r="I55" s="552"/>
      <c r="J55" s="552"/>
      <c r="K55" s="552"/>
      <c r="L55" s="552"/>
      <c r="M55" s="552"/>
      <c r="N55" s="552"/>
      <c r="O55" s="552"/>
      <c r="P55" s="552"/>
    </row>
    <row r="56" spans="2:16" ht="15" customHeight="1" x14ac:dyDescent="0.25">
      <c r="B56" s="548">
        <v>11</v>
      </c>
      <c r="C56" s="550" t="s">
        <v>54</v>
      </c>
      <c r="D56" s="549" t="s">
        <v>443</v>
      </c>
      <c r="E56" s="549"/>
      <c r="F56" s="549"/>
      <c r="G56" s="549"/>
      <c r="H56" s="549"/>
      <c r="I56" s="549"/>
      <c r="J56" s="549"/>
      <c r="K56" s="549"/>
      <c r="L56" s="549"/>
      <c r="M56" s="549"/>
      <c r="N56" s="549"/>
      <c r="O56" s="549"/>
      <c r="P56" s="549"/>
    </row>
    <row r="57" spans="2:16" x14ac:dyDescent="0.25">
      <c r="B57" s="557">
        <v>12</v>
      </c>
      <c r="C57" s="556" t="s">
        <v>120</v>
      </c>
      <c r="D57" s="552" t="s">
        <v>432</v>
      </c>
      <c r="E57" s="552"/>
      <c r="F57" s="552"/>
      <c r="G57" s="552"/>
      <c r="H57" s="552"/>
      <c r="I57" s="552"/>
      <c r="J57" s="552"/>
      <c r="K57" s="552"/>
      <c r="L57" s="552"/>
      <c r="M57" s="552"/>
      <c r="N57" s="552"/>
      <c r="O57" s="552"/>
      <c r="P57" s="552"/>
    </row>
    <row r="58" spans="2:16" ht="15" customHeight="1" x14ac:dyDescent="0.25">
      <c r="B58" s="548">
        <v>13</v>
      </c>
      <c r="C58" s="550" t="s">
        <v>424</v>
      </c>
      <c r="D58" s="549" t="s">
        <v>440</v>
      </c>
      <c r="E58" s="549"/>
      <c r="F58" s="549"/>
      <c r="G58" s="549"/>
      <c r="H58" s="549"/>
      <c r="I58" s="549"/>
      <c r="J58" s="549"/>
      <c r="K58" s="549"/>
      <c r="L58" s="549"/>
      <c r="M58" s="549"/>
      <c r="N58" s="549"/>
      <c r="O58" s="549"/>
      <c r="P58" s="549"/>
    </row>
    <row r="59" spans="2:16" ht="61.5" customHeight="1" x14ac:dyDescent="0.25">
      <c r="B59" s="557">
        <v>14</v>
      </c>
      <c r="C59" s="555" t="s">
        <v>414</v>
      </c>
      <c r="D59" s="552" t="s">
        <v>423</v>
      </c>
      <c r="E59" s="552"/>
      <c r="F59" s="552"/>
      <c r="G59" s="552"/>
      <c r="H59" s="552"/>
      <c r="I59" s="552"/>
      <c r="J59" s="552"/>
      <c r="K59" s="552"/>
      <c r="L59" s="552"/>
      <c r="M59" s="552"/>
      <c r="N59" s="552"/>
      <c r="O59" s="552"/>
      <c r="P59" s="552"/>
    </row>
    <row r="60" spans="2:16" x14ac:dyDescent="0.25">
      <c r="B60" s="548">
        <v>15</v>
      </c>
      <c r="C60" s="550" t="s">
        <v>425</v>
      </c>
      <c r="D60" s="549" t="s">
        <v>439</v>
      </c>
      <c r="E60" s="549"/>
      <c r="F60" s="549"/>
      <c r="G60" s="549"/>
      <c r="H60" s="549"/>
      <c r="I60" s="549"/>
      <c r="J60" s="549"/>
      <c r="K60" s="549"/>
      <c r="L60" s="549"/>
      <c r="M60" s="549"/>
      <c r="N60" s="549"/>
      <c r="O60" s="549"/>
      <c r="P60" s="549"/>
    </row>
    <row r="61" spans="2:16" x14ac:dyDescent="0.25">
      <c r="B61" s="557">
        <v>16</v>
      </c>
      <c r="C61" s="556" t="s">
        <v>431</v>
      </c>
      <c r="D61" s="552" t="s">
        <v>449</v>
      </c>
      <c r="E61" s="552"/>
      <c r="F61" s="552"/>
      <c r="G61" s="552"/>
      <c r="H61" s="552"/>
      <c r="I61" s="552"/>
      <c r="J61" s="552"/>
      <c r="K61" s="552"/>
      <c r="L61" s="552"/>
      <c r="M61" s="552"/>
      <c r="N61" s="552"/>
      <c r="O61" s="552"/>
      <c r="P61" s="552"/>
    </row>
    <row r="62" spans="2:16" x14ac:dyDescent="0.25">
      <c r="B62" s="548">
        <v>17</v>
      </c>
      <c r="C62" s="550" t="s">
        <v>445</v>
      </c>
      <c r="D62" s="549" t="s">
        <v>450</v>
      </c>
      <c r="E62" s="549"/>
      <c r="F62" s="549"/>
      <c r="G62" s="549"/>
      <c r="H62" s="549"/>
      <c r="I62" s="549"/>
      <c r="J62" s="549"/>
      <c r="K62" s="549"/>
      <c r="L62" s="549"/>
      <c r="M62" s="549"/>
      <c r="N62" s="549"/>
      <c r="O62" s="549"/>
      <c r="P62" s="549"/>
    </row>
    <row r="63" spans="2:16" x14ac:dyDescent="0.25">
      <c r="B63" s="557">
        <v>18</v>
      </c>
      <c r="C63" s="556" t="s">
        <v>446</v>
      </c>
      <c r="D63" s="552" t="s">
        <v>450</v>
      </c>
      <c r="E63" s="552"/>
      <c r="F63" s="552"/>
      <c r="G63" s="552"/>
      <c r="H63" s="552"/>
      <c r="I63" s="552"/>
      <c r="J63" s="552"/>
      <c r="K63" s="552"/>
      <c r="L63" s="552"/>
      <c r="M63" s="552"/>
      <c r="N63" s="552"/>
      <c r="O63" s="552"/>
      <c r="P63" s="552"/>
    </row>
    <row r="64" spans="2:16" x14ac:dyDescent="0.25">
      <c r="B64" s="548">
        <v>19</v>
      </c>
      <c r="C64" s="550" t="s">
        <v>186</v>
      </c>
      <c r="D64" s="549" t="s">
        <v>448</v>
      </c>
      <c r="E64" s="549"/>
      <c r="F64" s="549"/>
      <c r="G64" s="549"/>
      <c r="H64" s="549"/>
      <c r="I64" s="549"/>
      <c r="J64" s="549"/>
      <c r="K64" s="549"/>
      <c r="L64" s="549"/>
      <c r="M64" s="549"/>
      <c r="N64" s="549"/>
      <c r="O64" s="549"/>
      <c r="P64" s="549"/>
    </row>
    <row r="65" spans="2:16" x14ac:dyDescent="0.25">
      <c r="B65" s="557">
        <v>20</v>
      </c>
      <c r="C65" s="556" t="s">
        <v>168</v>
      </c>
      <c r="D65" s="552" t="s">
        <v>447</v>
      </c>
      <c r="E65" s="552"/>
      <c r="F65" s="552"/>
      <c r="G65" s="552"/>
      <c r="H65" s="552"/>
      <c r="I65" s="552"/>
      <c r="J65" s="552"/>
      <c r="K65" s="552"/>
      <c r="L65" s="552"/>
      <c r="M65" s="552"/>
      <c r="N65" s="552"/>
      <c r="O65" s="552"/>
      <c r="P65" s="552"/>
    </row>
    <row r="66" spans="2:16" x14ac:dyDescent="0.25">
      <c r="B66" s="548">
        <v>21</v>
      </c>
      <c r="C66" s="550" t="s">
        <v>417</v>
      </c>
      <c r="D66" s="549" t="s">
        <v>418</v>
      </c>
      <c r="E66" s="549"/>
      <c r="F66" s="549"/>
      <c r="G66" s="549"/>
      <c r="H66" s="549"/>
      <c r="I66" s="549"/>
      <c r="J66" s="549"/>
      <c r="K66" s="549"/>
      <c r="L66" s="549"/>
      <c r="M66" s="549"/>
      <c r="N66" s="549"/>
      <c r="O66" s="549"/>
      <c r="P66" s="549"/>
    </row>
    <row r="67" spans="2:16" x14ac:dyDescent="0.25">
      <c r="B67" s="557">
        <v>22</v>
      </c>
      <c r="C67" s="556" t="s">
        <v>419</v>
      </c>
      <c r="D67" s="552" t="s">
        <v>420</v>
      </c>
      <c r="E67" s="552"/>
      <c r="F67" s="552"/>
      <c r="G67" s="552"/>
      <c r="H67" s="552"/>
      <c r="I67" s="552"/>
      <c r="J67" s="552"/>
      <c r="K67" s="552"/>
      <c r="L67" s="552"/>
      <c r="M67" s="552"/>
      <c r="N67" s="552"/>
      <c r="O67" s="552"/>
      <c r="P67" s="552"/>
    </row>
    <row r="68" spans="2:16" ht="15" customHeight="1" x14ac:dyDescent="0.25">
      <c r="B68" s="548">
        <v>23</v>
      </c>
      <c r="C68" s="550" t="s">
        <v>422</v>
      </c>
      <c r="D68" s="549"/>
      <c r="E68" s="549"/>
      <c r="F68" s="549"/>
      <c r="G68" s="549"/>
      <c r="H68" s="549"/>
      <c r="I68" s="549"/>
      <c r="J68" s="549"/>
      <c r="K68" s="549"/>
      <c r="L68" s="549"/>
      <c r="M68" s="549"/>
      <c r="N68" s="549"/>
      <c r="O68" s="549"/>
      <c r="P68" s="549"/>
    </row>
    <row r="69" spans="2:16" x14ac:dyDescent="0.25">
      <c r="B69" s="557"/>
      <c r="C69" s="556"/>
      <c r="D69" s="552"/>
      <c r="E69" s="552"/>
      <c r="F69" s="552"/>
      <c r="G69" s="552"/>
      <c r="H69" s="552"/>
      <c r="I69" s="552"/>
      <c r="J69" s="552"/>
      <c r="K69" s="552"/>
      <c r="L69" s="552"/>
      <c r="M69" s="552"/>
      <c r="N69" s="552"/>
      <c r="O69" s="552"/>
      <c r="P69" s="552"/>
    </row>
    <row r="70" spans="2:16" x14ac:dyDescent="0.25">
      <c r="B70" s="368" t="s">
        <v>444</v>
      </c>
    </row>
    <row r="71" spans="2:16" x14ac:dyDescent="0.25">
      <c r="B71" s="546"/>
    </row>
    <row r="72" spans="2:16" x14ac:dyDescent="0.25">
      <c r="B72" s="546"/>
    </row>
    <row r="73" spans="2:16" x14ac:dyDescent="0.25">
      <c r="B73" s="546"/>
    </row>
    <row r="74" spans="2:16" x14ac:dyDescent="0.25">
      <c r="B74" s="546"/>
    </row>
    <row r="75" spans="2:16" x14ac:dyDescent="0.25">
      <c r="B75" s="546"/>
    </row>
  </sheetData>
  <mergeCells count="25">
    <mergeCell ref="D67:P67"/>
    <mergeCell ref="D69:P69"/>
    <mergeCell ref="D55:P55"/>
    <mergeCell ref="D54:P54"/>
    <mergeCell ref="D56:P56"/>
    <mergeCell ref="D62:P62"/>
    <mergeCell ref="D63:P63"/>
    <mergeCell ref="D65:P65"/>
    <mergeCell ref="D64:P64"/>
    <mergeCell ref="D68:P68"/>
    <mergeCell ref="D66:P66"/>
    <mergeCell ref="D50:P50"/>
    <mergeCell ref="D61:P61"/>
    <mergeCell ref="D57:P57"/>
    <mergeCell ref="D53:P53"/>
    <mergeCell ref="D52:P52"/>
    <mergeCell ref="D59:P59"/>
    <mergeCell ref="D58:P58"/>
    <mergeCell ref="D46:P46"/>
    <mergeCell ref="D49:P49"/>
    <mergeCell ref="D48:P48"/>
    <mergeCell ref="D47:P47"/>
    <mergeCell ref="D60:P60"/>
    <mergeCell ref="D51:P51"/>
    <mergeCell ref="I6:M6"/>
  </mergeCells>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40F59-ED17-43C2-A71E-5EBD67871079}">
  <sheetPr>
    <tabColor theme="7" tint="-0.249977111117893"/>
  </sheetPr>
  <dimension ref="A2:O43"/>
  <sheetViews>
    <sheetView zoomScale="90" zoomScaleNormal="90" workbookViewId="0">
      <selection activeCell="D31" sqref="D31"/>
    </sheetView>
  </sheetViews>
  <sheetFormatPr defaultRowHeight="15" x14ac:dyDescent="0.25"/>
  <cols>
    <col min="1" max="1" width="9.140625" style="80"/>
    <col min="2" max="2" width="33.140625" style="80" customWidth="1"/>
    <col min="3" max="3" width="27" style="80" customWidth="1"/>
    <col min="4" max="5" width="27" style="81" customWidth="1"/>
    <col min="6" max="6" width="24.28515625" style="81" customWidth="1"/>
    <col min="7" max="7" width="27" style="81" customWidth="1"/>
    <col min="8" max="8" width="42.5703125" style="518" bestFit="1" customWidth="1"/>
    <col min="9" max="10" width="9.140625" style="80"/>
    <col min="11" max="11" width="16.5703125" style="80" bestFit="1" customWidth="1"/>
    <col min="12" max="16384" width="9.140625" style="80"/>
  </cols>
  <sheetData>
    <row r="2" spans="1:8" x14ac:dyDescent="0.25">
      <c r="B2" s="498" t="s">
        <v>91</v>
      </c>
      <c r="C2" s="499">
        <f>D!D2</f>
        <v>44834</v>
      </c>
      <c r="D2" s="500"/>
      <c r="E2" s="500"/>
      <c r="F2" s="500"/>
      <c r="G2" s="500"/>
      <c r="H2" s="501"/>
    </row>
    <row r="3" spans="1:8" x14ac:dyDescent="0.25">
      <c r="B3" s="502"/>
      <c r="C3" s="502"/>
      <c r="D3" s="502"/>
      <c r="E3" s="502"/>
      <c r="F3" s="502"/>
      <c r="G3" s="502"/>
      <c r="H3" s="502"/>
    </row>
    <row r="4" spans="1:8" x14ac:dyDescent="0.25">
      <c r="B4" s="57"/>
      <c r="C4" s="57"/>
      <c r="D4" s="1"/>
      <c r="E4" s="1"/>
      <c r="F4" s="1"/>
      <c r="G4" s="1"/>
      <c r="H4" s="503"/>
    </row>
    <row r="5" spans="1:8" x14ac:dyDescent="0.25">
      <c r="B5" s="504" t="s">
        <v>139</v>
      </c>
      <c r="C5" s="504" t="s">
        <v>47</v>
      </c>
      <c r="D5" s="504" t="s">
        <v>38</v>
      </c>
      <c r="E5" s="504" t="s">
        <v>38</v>
      </c>
      <c r="F5" s="504" t="s">
        <v>140</v>
      </c>
      <c r="G5" s="504" t="s">
        <v>421</v>
      </c>
      <c r="H5" s="505" t="s">
        <v>30</v>
      </c>
    </row>
    <row r="6" spans="1:8" x14ac:dyDescent="0.25">
      <c r="B6" s="232"/>
      <c r="C6" s="504"/>
      <c r="D6" s="506" t="s">
        <v>134</v>
      </c>
      <c r="E6" s="506" t="s">
        <v>134</v>
      </c>
      <c r="F6" s="506" t="s">
        <v>138</v>
      </c>
      <c r="G6" s="506" t="s">
        <v>12</v>
      </c>
      <c r="H6" s="505"/>
    </row>
    <row r="7" spans="1:8" x14ac:dyDescent="0.25">
      <c r="B7" s="232"/>
      <c r="C7" s="504"/>
      <c r="D7" s="553" t="str">
        <f>"NAV | "&amp; TEXT(C2,"dd")&amp;" "&amp;TEXT(C2,"mmm")&amp;" "&amp;TEXT(C2,"yyyy")</f>
        <v>NAV | 30 Sep 2022</v>
      </c>
      <c r="E7" s="553" t="s">
        <v>415</v>
      </c>
      <c r="F7" s="506"/>
      <c r="G7" s="506"/>
      <c r="H7" s="505"/>
    </row>
    <row r="8" spans="1:8" x14ac:dyDescent="0.25">
      <c r="B8" s="70" t="s">
        <v>39</v>
      </c>
      <c r="C8" s="507"/>
      <c r="D8" s="508"/>
      <c r="E8" s="508"/>
      <c r="F8" s="509"/>
      <c r="G8" s="405"/>
      <c r="H8" s="510"/>
    </row>
    <row r="9" spans="1:8" x14ac:dyDescent="0.25">
      <c r="A9" s="58"/>
      <c r="B9" s="58" t="s">
        <v>59</v>
      </c>
      <c r="C9" s="81" t="str">
        <f>'Summary | 01 '!G10</f>
        <v>C+ Prefs</v>
      </c>
      <c r="D9" s="405">
        <f>F9*G9*10^-6</f>
        <v>0</v>
      </c>
      <c r="E9" s="405">
        <v>0</v>
      </c>
      <c r="F9" s="487">
        <f>SUM('CF (Equity, Debt)'!J4:J6)</f>
        <v>13458655</v>
      </c>
      <c r="G9" s="405">
        <v>0</v>
      </c>
      <c r="H9" s="511" t="s">
        <v>133</v>
      </c>
    </row>
    <row r="10" spans="1:8" x14ac:dyDescent="0.25">
      <c r="A10" s="58"/>
      <c r="B10" s="58" t="s">
        <v>0</v>
      </c>
      <c r="C10" s="81" t="str">
        <f>'Summary | 01 '!G11</f>
        <v>B Prefs</v>
      </c>
      <c r="D10" s="405">
        <v>3.1</v>
      </c>
      <c r="E10" s="405">
        <f>D10</f>
        <v>3.1</v>
      </c>
      <c r="F10" s="487">
        <f>'CF (Equity, Debt)'!J7</f>
        <v>21419829</v>
      </c>
      <c r="G10" s="405"/>
      <c r="H10" s="511" t="s">
        <v>141</v>
      </c>
    </row>
    <row r="11" spans="1:8" x14ac:dyDescent="0.25">
      <c r="A11" s="58"/>
      <c r="B11" s="58" t="s">
        <v>50</v>
      </c>
      <c r="C11" s="81" t="str">
        <f>'Summary | 01 '!G12</f>
        <v>B-1,2 Prefs</v>
      </c>
      <c r="D11" s="405">
        <f>F11*G11*10^-6*(1-20%)</f>
        <v>78.082229999999996</v>
      </c>
      <c r="E11" s="405">
        <f>D11</f>
        <v>78.082229999999996</v>
      </c>
      <c r="F11" s="82">
        <v>5205482</v>
      </c>
      <c r="G11" s="405">
        <v>18.75</v>
      </c>
      <c r="H11" s="511" t="s">
        <v>390</v>
      </c>
    </row>
    <row r="12" spans="1:8" x14ac:dyDescent="0.25">
      <c r="A12" s="58"/>
      <c r="B12" s="58" t="s">
        <v>51</v>
      </c>
      <c r="C12" s="81" t="str">
        <f>'Summary | 01 '!G13</f>
        <v>Convertible Note</v>
      </c>
      <c r="D12" s="405">
        <v>0</v>
      </c>
      <c r="E12" s="405">
        <f>D12</f>
        <v>0</v>
      </c>
      <c r="F12" s="487" t="s">
        <v>121</v>
      </c>
      <c r="G12" s="405"/>
      <c r="H12" s="511" t="s">
        <v>416</v>
      </c>
    </row>
    <row r="13" spans="1:8" x14ac:dyDescent="0.25">
      <c r="A13" s="58"/>
      <c r="B13" s="58" t="s">
        <v>49</v>
      </c>
      <c r="C13" s="81" t="str">
        <f>'Summary | 01 '!G14</f>
        <v>C Prefs</v>
      </c>
      <c r="D13" s="405">
        <f>F13*G13*10^-6</f>
        <v>91.001540300000002</v>
      </c>
      <c r="E13" s="405">
        <f>D13</f>
        <v>91.001540300000002</v>
      </c>
      <c r="F13" s="487">
        <f>SUM('CF (Equity, Debt)'!J11:J14)</f>
        <v>17670202</v>
      </c>
      <c r="G13" s="405">
        <v>5.15</v>
      </c>
      <c r="H13" s="511" t="s">
        <v>391</v>
      </c>
    </row>
    <row r="14" spans="1:8" x14ac:dyDescent="0.25">
      <c r="A14" s="58"/>
      <c r="B14" s="58" t="s">
        <v>142</v>
      </c>
      <c r="C14" s="81" t="str">
        <f>'Summary | 01 '!G15</f>
        <v>Ordinary Shares</v>
      </c>
      <c r="D14" s="405">
        <f>F14*G14*10^-6</f>
        <v>125.96278579200001</v>
      </c>
      <c r="E14" s="405">
        <f>2.66*1.22*F14*10^-6</f>
        <v>143.85361502399999</v>
      </c>
      <c r="F14" s="487">
        <v>44328120</v>
      </c>
      <c r="G14" s="512">
        <f>2.56*1.11</f>
        <v>2.8416000000000001</v>
      </c>
      <c r="H14" s="511" t="s">
        <v>392</v>
      </c>
    </row>
    <row r="15" spans="1:8" x14ac:dyDescent="0.25">
      <c r="A15" s="58"/>
      <c r="B15" s="58" t="s">
        <v>11</v>
      </c>
      <c r="C15" s="81" t="str">
        <f>'Summary | 01 '!G16</f>
        <v>Registered Capital</v>
      </c>
      <c r="D15" s="405">
        <v>136.63999999999999</v>
      </c>
      <c r="E15" s="405">
        <f>D15</f>
        <v>136.63999999999999</v>
      </c>
      <c r="F15" s="487">
        <f>'CF (Equity, Debt)'!J20</f>
        <v>4753356.29</v>
      </c>
      <c r="G15" s="405"/>
      <c r="H15" s="511" t="s">
        <v>135</v>
      </c>
    </row>
    <row r="16" spans="1:8" x14ac:dyDescent="0.25">
      <c r="A16" s="58"/>
      <c r="B16" s="58" t="s">
        <v>24</v>
      </c>
      <c r="C16" s="81" t="str">
        <f>'Summary | 01 '!G17</f>
        <v>A (Ordinary Shares)</v>
      </c>
      <c r="D16" s="405">
        <f>-'CF (Equity, Debt)'!E21</f>
        <v>20</v>
      </c>
      <c r="E16" s="405">
        <f>D16</f>
        <v>20</v>
      </c>
      <c r="F16" s="487">
        <f>'CF (Equity, Debt)'!J21</f>
        <v>7959497</v>
      </c>
      <c r="G16" s="405">
        <f>D16*10^6/F16</f>
        <v>2.5127215953470428</v>
      </c>
      <c r="H16" s="511" t="s">
        <v>137</v>
      </c>
    </row>
    <row r="17" spans="1:15" x14ac:dyDescent="0.25">
      <c r="A17" s="58"/>
      <c r="B17" s="58" t="s">
        <v>52</v>
      </c>
      <c r="C17" s="81" t="str">
        <f>'Summary | 01 '!G18</f>
        <v>F Prefs</v>
      </c>
      <c r="D17" s="405">
        <f>-'CF (Equity, Debt)'!E22</f>
        <v>39.999983359999995</v>
      </c>
      <c r="E17" s="405">
        <f>D17</f>
        <v>39.999983359999995</v>
      </c>
      <c r="F17" s="487">
        <f>'CF (Equity, Debt)'!J22</f>
        <v>1441711</v>
      </c>
      <c r="G17" s="405"/>
      <c r="H17" s="511" t="s">
        <v>137</v>
      </c>
    </row>
    <row r="18" spans="1:15" x14ac:dyDescent="0.25">
      <c r="A18" s="58"/>
      <c r="B18" s="58" t="s">
        <v>53</v>
      </c>
      <c r="C18" s="81" t="str">
        <f>'Summary | 01 '!G19</f>
        <v>A Pref Units</v>
      </c>
      <c r="D18" s="405">
        <f>-'CF (Equity, Debt)'!E23</f>
        <v>3</v>
      </c>
      <c r="E18" s="405">
        <f>D18</f>
        <v>3</v>
      </c>
      <c r="F18" s="487">
        <f>'CF (Equity, Debt)'!J23</f>
        <v>3000000</v>
      </c>
      <c r="G18" s="405"/>
      <c r="H18" s="511" t="s">
        <v>136</v>
      </c>
    </row>
    <row r="19" spans="1:15" x14ac:dyDescent="0.25">
      <c r="A19" s="58"/>
      <c r="B19" s="58" t="s">
        <v>54</v>
      </c>
      <c r="C19" s="81" t="str">
        <f>'Summary | 01 '!G20</f>
        <v xml:space="preserve">B Prefs </v>
      </c>
      <c r="D19" s="405">
        <f>-'CF (Equity, Debt)'!E24</f>
        <v>5.0237201984774336</v>
      </c>
      <c r="E19" s="405">
        <f>D19</f>
        <v>5.0237201984774336</v>
      </c>
      <c r="F19" s="487">
        <f>'CF (Equity, Debt)'!J24</f>
        <v>33267</v>
      </c>
      <c r="G19" s="405"/>
      <c r="H19" s="511" t="s">
        <v>136</v>
      </c>
      <c r="J19" s="513"/>
    </row>
    <row r="20" spans="1:15" x14ac:dyDescent="0.25">
      <c r="A20" s="58"/>
      <c r="B20" s="58" t="s">
        <v>120</v>
      </c>
      <c r="C20" s="81" t="str">
        <f>'Summary | 01 '!G21</f>
        <v>Equity-TBC</v>
      </c>
      <c r="D20" s="405">
        <f>-'CF (Equity, Debt)'!E25</f>
        <v>493.50095619999996</v>
      </c>
      <c r="E20" s="405">
        <f>D20</f>
        <v>493.50095619999996</v>
      </c>
      <c r="F20" s="487"/>
      <c r="G20" s="405"/>
      <c r="H20" s="511" t="s">
        <v>136</v>
      </c>
      <c r="J20" s="513"/>
    </row>
    <row r="21" spans="1:15" x14ac:dyDescent="0.25">
      <c r="A21" s="58"/>
      <c r="B21" s="58" t="s">
        <v>25</v>
      </c>
      <c r="C21" s="81" t="str">
        <f>'Summary | 01 '!G22</f>
        <v>Equity-TBC</v>
      </c>
      <c r="D21" s="405">
        <f>-SUM('CF (Equity, Debt)'!E26:E27)</f>
        <v>300</v>
      </c>
      <c r="E21" s="405">
        <f>D21</f>
        <v>300</v>
      </c>
      <c r="F21" s="487"/>
      <c r="G21" s="405"/>
      <c r="H21" s="511" t="s">
        <v>136</v>
      </c>
      <c r="J21" s="513"/>
      <c r="O21" s="514"/>
    </row>
    <row r="22" spans="1:15" x14ac:dyDescent="0.25">
      <c r="A22" s="58"/>
      <c r="B22" s="58" t="s">
        <v>143</v>
      </c>
      <c r="C22" s="81" t="str">
        <f>'Summary | 01 '!G23</f>
        <v>Ordinary Shares</v>
      </c>
      <c r="D22" s="515">
        <f>(F22*G22)*10^-6-12.5</f>
        <v>-2.4253142200000006</v>
      </c>
      <c r="E22" s="515">
        <f>(0.75*G22)*10^-6-12.5</f>
        <v>-12.4999992725</v>
      </c>
      <c r="F22" s="487">
        <f>'CF (Equity, Debt)'!J29</f>
        <v>10386274</v>
      </c>
      <c r="G22" s="512">
        <v>0.97</v>
      </c>
      <c r="H22" s="511" t="s">
        <v>392</v>
      </c>
      <c r="J22" s="513"/>
    </row>
    <row r="23" spans="1:15" x14ac:dyDescent="0.25">
      <c r="A23" s="58"/>
      <c r="B23" s="59" t="s">
        <v>46</v>
      </c>
      <c r="C23" s="81" t="str">
        <f>'Summary | 01 '!G24</f>
        <v>Equity-TBC</v>
      </c>
      <c r="D23" s="405">
        <f>310000000000/6.7731/1000000*4.7%*50%*0.8</f>
        <v>860.46271279030282</v>
      </c>
      <c r="E23" s="405" t="s">
        <v>196</v>
      </c>
      <c r="F23" s="487"/>
      <c r="G23" s="405"/>
      <c r="H23" s="511" t="s">
        <v>144</v>
      </c>
      <c r="J23" s="513"/>
    </row>
    <row r="24" spans="1:15" x14ac:dyDescent="0.25">
      <c r="B24" s="63"/>
      <c r="C24" s="63"/>
      <c r="D24" s="63"/>
      <c r="E24" s="63"/>
      <c r="F24" s="63"/>
      <c r="G24" s="63"/>
      <c r="H24" s="516"/>
      <c r="J24" s="513"/>
    </row>
    <row r="25" spans="1:15" x14ac:dyDescent="0.25">
      <c r="B25" s="405"/>
      <c r="C25" s="405"/>
      <c r="D25" s="405"/>
      <c r="E25" s="405"/>
      <c r="F25" s="405"/>
      <c r="G25" s="405"/>
      <c r="H25" s="517"/>
      <c r="J25" s="513"/>
    </row>
    <row r="26" spans="1:15" x14ac:dyDescent="0.25">
      <c r="B26" s="504"/>
      <c r="C26" s="504"/>
      <c r="D26" s="504"/>
      <c r="E26" s="504"/>
      <c r="F26" s="504"/>
      <c r="G26" s="504"/>
      <c r="H26" s="505"/>
      <c r="J26" s="513"/>
    </row>
    <row r="27" spans="1:15" x14ac:dyDescent="0.25">
      <c r="B27" s="70" t="s">
        <v>40</v>
      </c>
      <c r="C27" s="508"/>
      <c r="D27" s="508"/>
      <c r="E27" s="508"/>
      <c r="F27" s="508"/>
      <c r="G27" s="508"/>
      <c r="H27" s="510"/>
      <c r="J27" s="513"/>
    </row>
    <row r="28" spans="1:15" x14ac:dyDescent="0.25">
      <c r="B28" s="58" t="s">
        <v>60</v>
      </c>
      <c r="C28" s="405" t="s">
        <v>198</v>
      </c>
      <c r="D28" s="405">
        <v>0</v>
      </c>
      <c r="E28" s="405"/>
      <c r="F28" s="405"/>
      <c r="G28" s="405"/>
      <c r="H28" s="517"/>
      <c r="J28" s="513"/>
    </row>
    <row r="29" spans="1:15" x14ac:dyDescent="0.25">
      <c r="B29" s="58" t="s">
        <v>0</v>
      </c>
      <c r="C29" s="405" t="s">
        <v>199</v>
      </c>
      <c r="D29" s="405">
        <v>2.3539819999999998</v>
      </c>
      <c r="E29" s="405"/>
      <c r="F29" s="405"/>
      <c r="G29" s="405"/>
      <c r="H29" s="517"/>
      <c r="J29" s="513"/>
    </row>
    <row r="30" spans="1:15" x14ac:dyDescent="0.25">
      <c r="B30" s="59" t="s">
        <v>51</v>
      </c>
      <c r="C30" s="405" t="s">
        <v>199</v>
      </c>
      <c r="D30" s="405">
        <v>0.45643868219178102</v>
      </c>
      <c r="E30" s="405"/>
      <c r="F30" s="405"/>
      <c r="G30" s="405"/>
      <c r="H30" s="517"/>
    </row>
    <row r="31" spans="1:15" x14ac:dyDescent="0.25">
      <c r="B31" s="63"/>
      <c r="C31" s="63"/>
      <c r="D31" s="63"/>
      <c r="E31" s="63"/>
      <c r="F31" s="63"/>
      <c r="G31" s="63"/>
      <c r="H31" s="516"/>
    </row>
    <row r="32" spans="1:15" x14ac:dyDescent="0.25">
      <c r="B32" s="405"/>
      <c r="C32" s="405"/>
      <c r="D32" s="405"/>
      <c r="E32" s="405"/>
      <c r="F32" s="405"/>
      <c r="G32" s="405"/>
      <c r="H32" s="517"/>
    </row>
    <row r="33" spans="2:8" x14ac:dyDescent="0.25">
      <c r="B33" s="504"/>
      <c r="C33" s="504"/>
      <c r="D33" s="504"/>
      <c r="E33" s="504"/>
      <c r="F33" s="504"/>
      <c r="G33" s="504"/>
      <c r="H33" s="505"/>
    </row>
    <row r="34" spans="2:8" x14ac:dyDescent="0.25">
      <c r="B34" s="70" t="s">
        <v>41</v>
      </c>
      <c r="C34" s="508"/>
      <c r="D34" s="508"/>
      <c r="E34" s="508"/>
      <c r="F34" s="508"/>
      <c r="G34" s="508"/>
      <c r="H34" s="510"/>
    </row>
    <row r="35" spans="2:8" x14ac:dyDescent="0.25">
      <c r="B35" s="58" t="s">
        <v>186</v>
      </c>
      <c r="C35" s="81" t="s">
        <v>72</v>
      </c>
      <c r="D35" s="405">
        <v>31.952799285000001</v>
      </c>
      <c r="E35" s="405"/>
      <c r="F35" s="487"/>
      <c r="G35" s="405"/>
      <c r="H35" s="511" t="s">
        <v>232</v>
      </c>
    </row>
    <row r="36" spans="2:8" x14ac:dyDescent="0.25">
      <c r="B36" s="58" t="s">
        <v>168</v>
      </c>
      <c r="C36" s="81" t="s">
        <v>102</v>
      </c>
      <c r="D36" s="405">
        <v>2.7058823529411762</v>
      </c>
      <c r="E36" s="405"/>
      <c r="F36" s="487"/>
      <c r="G36" s="405"/>
      <c r="H36" s="511" t="s">
        <v>232</v>
      </c>
    </row>
    <row r="37" spans="2:8" x14ac:dyDescent="0.25">
      <c r="B37" s="58" t="s">
        <v>1</v>
      </c>
      <c r="C37" s="81" t="s">
        <v>72</v>
      </c>
      <c r="D37" s="405">
        <v>79.319999999999993</v>
      </c>
      <c r="E37" s="405"/>
      <c r="F37" s="82"/>
      <c r="G37" s="405"/>
      <c r="H37" s="511" t="s">
        <v>232</v>
      </c>
    </row>
    <row r="38" spans="2:8" x14ac:dyDescent="0.25">
      <c r="B38" s="58" t="s">
        <v>15</v>
      </c>
      <c r="C38" s="81" t="s">
        <v>72</v>
      </c>
      <c r="D38" s="405">
        <v>15.875237</v>
      </c>
      <c r="E38" s="405"/>
      <c r="F38" s="487"/>
      <c r="G38" s="405"/>
      <c r="H38" s="511" t="s">
        <v>232</v>
      </c>
    </row>
    <row r="39" spans="2:8" x14ac:dyDescent="0.25">
      <c r="B39" s="58" t="s">
        <v>263</v>
      </c>
      <c r="C39" s="81" t="s">
        <v>72</v>
      </c>
      <c r="D39" s="405">
        <v>10.343446999999999</v>
      </c>
      <c r="E39" s="405"/>
      <c r="F39" s="487"/>
      <c r="G39" s="405"/>
      <c r="H39" s="511" t="s">
        <v>232</v>
      </c>
    </row>
    <row r="40" spans="2:8" x14ac:dyDescent="0.25">
      <c r="B40" s="63"/>
      <c r="C40" s="63"/>
      <c r="D40" s="63"/>
      <c r="E40" s="63"/>
      <c r="F40" s="63"/>
      <c r="G40" s="63"/>
      <c r="H40" s="516"/>
    </row>
    <row r="42" spans="2:8" x14ac:dyDescent="0.25">
      <c r="B42" s="92" t="s">
        <v>145</v>
      </c>
    </row>
    <row r="43" spans="2:8" x14ac:dyDescent="0.25">
      <c r="B43" s="519" t="s">
        <v>393</v>
      </c>
    </row>
  </sheetData>
  <mergeCells count="1">
    <mergeCell ref="B3:H3"/>
  </mergeCells>
  <pageMargins left="0.7" right="0.7" top="0.75" bottom="0.75" header="0.3" footer="0.3"/>
  <ignoredErrors>
    <ignoredError sqref="F9:F13" formulaRange="1"/>
    <ignoredError sqref="E14"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E2EA2-201D-42D4-A28C-5AE143AC0DDB}">
  <sheetPr>
    <tabColor theme="7" tint="-0.249977111117893"/>
  </sheetPr>
  <dimension ref="A1:O41"/>
  <sheetViews>
    <sheetView showGridLines="0" zoomScale="90" zoomScaleNormal="90" workbookViewId="0">
      <selection activeCell="D49" sqref="D49"/>
    </sheetView>
  </sheetViews>
  <sheetFormatPr defaultRowHeight="15" outlineLevelRow="1" x14ac:dyDescent="0.25"/>
  <cols>
    <col min="1" max="2" width="9.140625" style="80"/>
    <col min="3" max="3" width="32.85546875" style="80" bestFit="1" customWidth="1"/>
    <col min="4" max="5" width="27.85546875" style="81" customWidth="1"/>
    <col min="6" max="6" width="27.85546875" style="80" customWidth="1"/>
    <col min="7" max="7" width="27.85546875" style="254" customWidth="1"/>
    <col min="8" max="10" width="9.140625" style="80"/>
    <col min="11" max="11" width="11.28515625" style="80" bestFit="1" customWidth="1"/>
    <col min="12" max="16384" width="9.140625" style="80"/>
  </cols>
  <sheetData>
    <row r="1" spans="1:15" x14ac:dyDescent="0.25">
      <c r="C1" s="154"/>
      <c r="D1" s="237"/>
      <c r="E1" s="237"/>
      <c r="F1" s="154"/>
    </row>
    <row r="2" spans="1:15" s="166" customFormat="1" ht="43.5" customHeight="1" thickBot="1" x14ac:dyDescent="0.5">
      <c r="C2" s="352" t="s">
        <v>328</v>
      </c>
      <c r="D2" s="353"/>
      <c r="F2" s="354"/>
      <c r="G2" s="354"/>
      <c r="H2" s="354"/>
      <c r="I2" s="354"/>
      <c r="J2" s="354"/>
      <c r="K2" s="355"/>
      <c r="L2" s="354"/>
    </row>
    <row r="3" spans="1:15" s="138" customFormat="1" ht="15.75" thickBot="1" x14ac:dyDescent="0.3">
      <c r="C3" s="277" t="s">
        <v>275</v>
      </c>
      <c r="D3" s="291">
        <f>'Summary | 01 '!D2</f>
        <v>44834</v>
      </c>
      <c r="E3" s="80"/>
      <c r="F3" s="80"/>
      <c r="G3" s="80"/>
      <c r="H3" s="80"/>
      <c r="I3" s="80"/>
      <c r="J3" s="80"/>
      <c r="K3" s="80"/>
      <c r="L3" s="80"/>
      <c r="M3" s="80"/>
      <c r="N3" s="80"/>
      <c r="O3" s="80"/>
    </row>
    <row r="4" spans="1:15" x14ac:dyDescent="0.25">
      <c r="C4" s="154"/>
      <c r="D4" s="237"/>
      <c r="E4" s="237"/>
      <c r="F4" s="154"/>
    </row>
    <row r="5" spans="1:15" x14ac:dyDescent="0.25">
      <c r="C5" s="154"/>
      <c r="D5" s="237"/>
      <c r="E5" s="237"/>
      <c r="F5" s="154"/>
    </row>
    <row r="6" spans="1:15" ht="15.75" thickBot="1" x14ac:dyDescent="0.3">
      <c r="C6" s="154"/>
      <c r="D6" s="237"/>
      <c r="E6" s="237"/>
      <c r="F6" s="154"/>
    </row>
    <row r="7" spans="1:15" x14ac:dyDescent="0.25">
      <c r="B7" s="156"/>
      <c r="C7" s="157"/>
      <c r="D7" s="238"/>
      <c r="E7" s="238"/>
      <c r="F7" s="157"/>
      <c r="G7" s="255"/>
      <c r="H7" s="160"/>
    </row>
    <row r="8" spans="1:15" x14ac:dyDescent="0.25">
      <c r="A8" s="163"/>
      <c r="B8" s="161"/>
      <c r="C8" s="1" t="s">
        <v>64</v>
      </c>
      <c r="D8" s="1" t="s">
        <v>237</v>
      </c>
      <c r="E8" s="1" t="s">
        <v>79</v>
      </c>
      <c r="F8" s="1" t="s">
        <v>238</v>
      </c>
      <c r="G8" s="250" t="s">
        <v>239</v>
      </c>
      <c r="H8" s="162"/>
      <c r="I8" s="163"/>
    </row>
    <row r="9" spans="1:15" x14ac:dyDescent="0.25">
      <c r="A9" s="166"/>
      <c r="B9" s="164"/>
      <c r="C9" s="199"/>
      <c r="D9" s="239"/>
      <c r="E9" s="239"/>
      <c r="F9" s="199"/>
      <c r="G9" s="256"/>
      <c r="H9" s="165"/>
      <c r="I9" s="166"/>
    </row>
    <row r="10" spans="1:15" x14ac:dyDescent="0.25">
      <c r="B10" s="167"/>
      <c r="C10" s="70" t="s">
        <v>39</v>
      </c>
      <c r="D10" s="240"/>
      <c r="E10" s="240"/>
      <c r="F10" s="70"/>
      <c r="G10" s="257"/>
      <c r="H10" s="168"/>
    </row>
    <row r="11" spans="1:15" x14ac:dyDescent="0.25">
      <c r="B11" s="167"/>
      <c r="C11" s="58" t="s">
        <v>59</v>
      </c>
      <c r="D11" s="242">
        <v>13458655</v>
      </c>
      <c r="E11" s="242">
        <v>236116762</v>
      </c>
      <c r="F11" s="153">
        <f>D11/E11</f>
        <v>5.6999998161926343E-2</v>
      </c>
      <c r="G11" s="258" t="s">
        <v>241</v>
      </c>
      <c r="H11" s="168"/>
    </row>
    <row r="12" spans="1:15" x14ac:dyDescent="0.25">
      <c r="B12" s="167"/>
      <c r="C12" s="58" t="s">
        <v>0</v>
      </c>
      <c r="D12" s="242">
        <v>21419829</v>
      </c>
      <c r="E12" s="242">
        <v>152998776</v>
      </c>
      <c r="F12" s="153">
        <f>D12/E12</f>
        <v>0.14000000235296001</v>
      </c>
      <c r="G12" s="258" t="s">
        <v>241</v>
      </c>
      <c r="H12" s="168"/>
    </row>
    <row r="13" spans="1:15" x14ac:dyDescent="0.25">
      <c r="B13" s="167"/>
      <c r="C13" s="58" t="s">
        <v>50</v>
      </c>
      <c r="D13" s="242">
        <v>5205482</v>
      </c>
      <c r="E13" s="242">
        <v>61222609</v>
      </c>
      <c r="F13" s="153">
        <f>D13/E13</f>
        <v>8.5025484621212399E-2</v>
      </c>
      <c r="G13" s="258" t="s">
        <v>244</v>
      </c>
      <c r="H13" s="168"/>
    </row>
    <row r="14" spans="1:15" x14ac:dyDescent="0.25">
      <c r="B14" s="167"/>
      <c r="C14" s="58" t="s">
        <v>51</v>
      </c>
      <c r="D14" s="242" t="s">
        <v>196</v>
      </c>
      <c r="E14" s="242" t="s">
        <v>196</v>
      </c>
      <c r="F14" s="242" t="s">
        <v>196</v>
      </c>
      <c r="G14" s="258" t="s">
        <v>196</v>
      </c>
      <c r="H14" s="168"/>
    </row>
    <row r="15" spans="1:15" x14ac:dyDescent="0.25">
      <c r="B15" s="167"/>
      <c r="C15" s="58" t="s">
        <v>49</v>
      </c>
      <c r="D15" s="242">
        <v>17670202</v>
      </c>
      <c r="E15" s="242">
        <v>181428559.98023903</v>
      </c>
      <c r="F15" s="153">
        <f>D15/E15</f>
        <v>9.7394820318943254E-2</v>
      </c>
      <c r="G15" s="258" t="s">
        <v>244</v>
      </c>
      <c r="H15" s="168"/>
    </row>
    <row r="16" spans="1:15" x14ac:dyDescent="0.25">
      <c r="B16" s="167"/>
      <c r="C16" s="58" t="s">
        <v>142</v>
      </c>
      <c r="D16" s="242">
        <v>44328120</v>
      </c>
      <c r="E16" s="242">
        <v>823636945</v>
      </c>
      <c r="F16" s="153">
        <f>D16/E16</f>
        <v>5.3819975256209518E-2</v>
      </c>
      <c r="G16" s="258" t="s">
        <v>245</v>
      </c>
      <c r="H16" s="168"/>
    </row>
    <row r="17" spans="1:11" x14ac:dyDescent="0.25">
      <c r="B17" s="167"/>
      <c r="C17" s="58" t="s">
        <v>11</v>
      </c>
      <c r="D17" s="242">
        <v>3565017.22</v>
      </c>
      <c r="E17" s="242">
        <f>D17/F17</f>
        <v>24791496.662030596</v>
      </c>
      <c r="F17" s="153">
        <v>0.14380000000000001</v>
      </c>
      <c r="G17" s="258" t="s">
        <v>241</v>
      </c>
      <c r="H17" s="168"/>
    </row>
    <row r="18" spans="1:11" x14ac:dyDescent="0.25">
      <c r="B18" s="167"/>
      <c r="C18" s="58" t="s">
        <v>24</v>
      </c>
      <c r="D18" s="242">
        <v>7959497</v>
      </c>
      <c r="E18" s="242">
        <v>265316566.66666669</v>
      </c>
      <c r="F18" s="153">
        <v>0.03</v>
      </c>
      <c r="G18" s="258" t="s">
        <v>242</v>
      </c>
      <c r="H18" s="168"/>
    </row>
    <row r="19" spans="1:11" x14ac:dyDescent="0.25">
      <c r="B19" s="167"/>
      <c r="C19" s="58" t="s">
        <v>52</v>
      </c>
      <c r="D19" s="242">
        <v>1441711</v>
      </c>
      <c r="E19" s="242" t="s">
        <v>196</v>
      </c>
      <c r="F19" s="153">
        <v>0.01</v>
      </c>
      <c r="G19" s="258" t="s">
        <v>243</v>
      </c>
      <c r="H19" s="168"/>
    </row>
    <row r="20" spans="1:11" x14ac:dyDescent="0.25">
      <c r="B20" s="167"/>
      <c r="C20" s="58" t="s">
        <v>53</v>
      </c>
      <c r="D20" s="242">
        <v>3000000</v>
      </c>
      <c r="E20" s="242">
        <v>43750000</v>
      </c>
      <c r="F20" s="153">
        <f>D20/E20</f>
        <v>6.8571428571428575E-2</v>
      </c>
      <c r="G20" s="258" t="s">
        <v>242</v>
      </c>
      <c r="H20" s="168"/>
    </row>
    <row r="21" spans="1:11" x14ac:dyDescent="0.25">
      <c r="B21" s="167"/>
      <c r="C21" s="58" t="s">
        <v>54</v>
      </c>
      <c r="D21" s="242">
        <v>33267</v>
      </c>
      <c r="E21" s="242">
        <v>2895450</v>
      </c>
      <c r="F21" s="153">
        <f>D21/E21</f>
        <v>1.1489405791845828E-2</v>
      </c>
      <c r="G21" s="258" t="s">
        <v>242</v>
      </c>
      <c r="H21" s="168"/>
    </row>
    <row r="22" spans="1:11" x14ac:dyDescent="0.25">
      <c r="B22" s="167"/>
      <c r="C22" s="58" t="s">
        <v>120</v>
      </c>
      <c r="D22" s="249"/>
      <c r="E22" s="249"/>
      <c r="F22" s="153">
        <f>10% * 1/2</f>
        <v>0.05</v>
      </c>
      <c r="G22" s="258" t="s">
        <v>241</v>
      </c>
      <c r="H22" s="168"/>
    </row>
    <row r="23" spans="1:11" x14ac:dyDescent="0.25">
      <c r="B23" s="167"/>
      <c r="C23" s="58" t="s">
        <v>25</v>
      </c>
      <c r="D23" s="249"/>
      <c r="E23" s="249"/>
      <c r="F23" s="153">
        <v>9.4299999999999995E-2</v>
      </c>
      <c r="G23" s="258" t="s">
        <v>364</v>
      </c>
      <c r="H23" s="168"/>
    </row>
    <row r="24" spans="1:11" x14ac:dyDescent="0.25">
      <c r="B24" s="167"/>
      <c r="C24" s="58" t="s">
        <v>143</v>
      </c>
      <c r="D24" s="242">
        <v>10386274</v>
      </c>
      <c r="E24" s="242">
        <f>81483600+23093860</f>
        <v>104577460</v>
      </c>
      <c r="F24" s="153">
        <f>D24/E24</f>
        <v>9.9316564009108654E-2</v>
      </c>
      <c r="G24" s="258" t="s">
        <v>240</v>
      </c>
      <c r="H24" s="168"/>
    </row>
    <row r="25" spans="1:11" x14ac:dyDescent="0.25">
      <c r="B25" s="167"/>
      <c r="C25" s="58" t="s">
        <v>46</v>
      </c>
      <c r="D25" s="249"/>
      <c r="E25" s="249"/>
      <c r="F25" s="153">
        <f>4.7%* 0.8/2</f>
        <v>1.8800000000000001E-2</v>
      </c>
      <c r="G25" s="258" t="s">
        <v>241</v>
      </c>
      <c r="H25" s="168"/>
      <c r="J25" s="247"/>
      <c r="K25" s="247"/>
    </row>
    <row r="26" spans="1:11" x14ac:dyDescent="0.25">
      <c r="A26" s="171"/>
      <c r="B26" s="169"/>
      <c r="C26" s="63"/>
      <c r="D26" s="243"/>
      <c r="E26" s="243"/>
      <c r="F26" s="75"/>
      <c r="G26" s="259"/>
      <c r="H26" s="170"/>
      <c r="I26" s="171"/>
      <c r="J26" s="247"/>
      <c r="K26" s="247"/>
    </row>
    <row r="27" spans="1:11" hidden="1" outlineLevel="1" x14ac:dyDescent="0.25">
      <c r="B27" s="167"/>
      <c r="C27" s="70" t="s">
        <v>40</v>
      </c>
      <c r="D27" s="244"/>
      <c r="E27" s="244"/>
      <c r="F27" s="246"/>
      <c r="G27" s="261"/>
      <c r="H27" s="168"/>
      <c r="J27" s="248"/>
      <c r="K27" s="248"/>
    </row>
    <row r="28" spans="1:11" hidden="1" outlineLevel="1" x14ac:dyDescent="0.25">
      <c r="B28" s="167"/>
      <c r="C28" s="58" t="s">
        <v>60</v>
      </c>
      <c r="D28" s="242"/>
      <c r="E28" s="242"/>
      <c r="F28" s="153"/>
      <c r="G28" s="260"/>
      <c r="H28" s="168"/>
    </row>
    <row r="29" spans="1:11" hidden="1" outlineLevel="1" x14ac:dyDescent="0.25">
      <c r="B29" s="167"/>
      <c r="C29" s="58" t="s">
        <v>0</v>
      </c>
      <c r="D29" s="242"/>
      <c r="E29" s="242"/>
      <c r="F29" s="153"/>
      <c r="G29" s="260"/>
      <c r="H29" s="168"/>
      <c r="K29" s="248"/>
    </row>
    <row r="30" spans="1:11" hidden="1" outlineLevel="1" x14ac:dyDescent="0.25">
      <c r="B30" s="167"/>
      <c r="C30" s="58" t="s">
        <v>51</v>
      </c>
      <c r="D30" s="242"/>
      <c r="E30" s="242"/>
      <c r="F30" s="153"/>
      <c r="G30" s="260"/>
      <c r="H30" s="168"/>
    </row>
    <row r="31" spans="1:11" hidden="1" outlineLevel="1" x14ac:dyDescent="0.25">
      <c r="A31" s="171"/>
      <c r="B31" s="169"/>
      <c r="C31" s="63"/>
      <c r="D31" s="243"/>
      <c r="E31" s="243"/>
      <c r="F31" s="75"/>
      <c r="G31" s="262"/>
      <c r="H31" s="170"/>
      <c r="I31" s="171"/>
    </row>
    <row r="32" spans="1:11" hidden="1" outlineLevel="1" x14ac:dyDescent="0.25">
      <c r="A32" s="166"/>
      <c r="B32" s="164"/>
      <c r="C32" s="59"/>
      <c r="D32" s="82"/>
      <c r="E32" s="82"/>
      <c r="F32" s="245"/>
      <c r="G32" s="260"/>
      <c r="H32" s="165"/>
      <c r="I32" s="166"/>
    </row>
    <row r="33" spans="2:8" hidden="1" outlineLevel="1" x14ac:dyDescent="0.25">
      <c r="B33" s="167"/>
      <c r="C33" s="70" t="s">
        <v>41</v>
      </c>
      <c r="D33" s="244"/>
      <c r="E33" s="244"/>
      <c r="F33" s="246"/>
      <c r="G33" s="261"/>
      <c r="H33" s="168"/>
    </row>
    <row r="34" spans="2:8" hidden="1" outlineLevel="1" x14ac:dyDescent="0.25">
      <c r="B34" s="167"/>
      <c r="C34" s="58" t="s">
        <v>186</v>
      </c>
      <c r="D34" s="242"/>
      <c r="E34" s="242"/>
      <c r="F34" s="153"/>
      <c r="G34" s="260"/>
      <c r="H34" s="168"/>
    </row>
    <row r="35" spans="2:8" hidden="1" outlineLevel="1" x14ac:dyDescent="0.25">
      <c r="B35" s="167"/>
      <c r="C35" s="58" t="s">
        <v>168</v>
      </c>
      <c r="D35" s="242"/>
      <c r="E35" s="242"/>
      <c r="F35" s="153"/>
      <c r="G35" s="260"/>
      <c r="H35" s="168"/>
    </row>
    <row r="36" spans="2:8" hidden="1" outlineLevel="1" x14ac:dyDescent="0.25">
      <c r="B36" s="167"/>
      <c r="C36" s="58" t="s">
        <v>1</v>
      </c>
      <c r="D36" s="242"/>
      <c r="E36" s="242"/>
      <c r="F36" s="153"/>
      <c r="G36" s="260"/>
      <c r="H36" s="168"/>
    </row>
    <row r="37" spans="2:8" hidden="1" outlineLevel="1" x14ac:dyDescent="0.25">
      <c r="B37" s="167"/>
      <c r="C37" s="58" t="s">
        <v>15</v>
      </c>
      <c r="D37" s="242"/>
      <c r="E37" s="242"/>
      <c r="F37" s="153"/>
      <c r="G37" s="260"/>
      <c r="H37" s="168"/>
    </row>
    <row r="38" spans="2:8" hidden="1" outlineLevel="1" x14ac:dyDescent="0.25">
      <c r="B38" s="167"/>
      <c r="C38" s="58" t="s">
        <v>263</v>
      </c>
      <c r="D38" s="242"/>
      <c r="E38" s="242"/>
      <c r="F38" s="153">
        <f>1/3</f>
        <v>0.33333333333333331</v>
      </c>
      <c r="G38" s="260"/>
      <c r="H38" s="168"/>
    </row>
    <row r="39" spans="2:8" collapsed="1" x14ac:dyDescent="0.25">
      <c r="B39" s="167"/>
      <c r="C39" s="59"/>
      <c r="D39" s="82"/>
      <c r="E39" s="82"/>
      <c r="F39" s="245"/>
      <c r="G39" s="260"/>
      <c r="H39" s="168"/>
    </row>
    <row r="40" spans="2:8" ht="15.75" thickBot="1" x14ac:dyDescent="0.3">
      <c r="B40" s="172"/>
      <c r="C40" s="173"/>
      <c r="D40" s="241"/>
      <c r="E40" s="241"/>
      <c r="F40" s="173"/>
      <c r="G40" s="263"/>
      <c r="H40" s="176"/>
    </row>
    <row r="41" spans="2:8" x14ac:dyDescent="0.25">
      <c r="C41" s="154"/>
      <c r="D41" s="237"/>
      <c r="E41" s="237"/>
      <c r="F41" s="154"/>
    </row>
  </sheetData>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5350D-FDAA-41B0-B646-0851DEE3AA18}">
  <sheetPr>
    <tabColor theme="9" tint="-0.249977111117893"/>
  </sheetPr>
  <dimension ref="B2:O38"/>
  <sheetViews>
    <sheetView zoomScaleNormal="100" workbookViewId="0">
      <selection activeCell="D42" sqref="D42"/>
    </sheetView>
  </sheetViews>
  <sheetFormatPr defaultRowHeight="12.75" outlineLevelCol="1" x14ac:dyDescent="0.2"/>
  <cols>
    <col min="1" max="1" width="5.5703125" style="138" customWidth="1"/>
    <col min="2" max="2" width="22.5703125" style="138" customWidth="1"/>
    <col min="3" max="3" width="26.85546875" style="138" bestFit="1" customWidth="1"/>
    <col min="4" max="4" width="21.5703125" style="149" customWidth="1"/>
    <col min="5" max="5" width="12.5703125" style="138" customWidth="1"/>
    <col min="6" max="6" width="11.85546875" style="138" customWidth="1"/>
    <col min="7" max="7" width="17" style="138" customWidth="1" outlineLevel="1"/>
    <col min="8" max="8" width="19.28515625" style="151" customWidth="1" outlineLevel="1"/>
    <col min="9" max="9" width="19.7109375" style="138" customWidth="1" outlineLevel="1"/>
    <col min="10" max="10" width="17.85546875" style="138" customWidth="1"/>
    <col min="11" max="11" width="9.5703125" style="138" bestFit="1" customWidth="1"/>
    <col min="12" max="16384" width="9.140625" style="138"/>
  </cols>
  <sheetData>
    <row r="2" spans="2:15" s="129" customFormat="1" x14ac:dyDescent="0.2">
      <c r="B2" s="194" t="s">
        <v>227</v>
      </c>
      <c r="C2" s="195"/>
      <c r="D2" s="196"/>
      <c r="E2" s="197"/>
      <c r="F2" s="197"/>
      <c r="G2" s="197"/>
      <c r="H2" s="197"/>
      <c r="I2" s="197"/>
      <c r="J2" s="197"/>
      <c r="K2" s="197"/>
    </row>
    <row r="3" spans="2:15" s="129" customFormat="1" ht="36" customHeight="1" x14ac:dyDescent="0.2">
      <c r="B3" s="126" t="s">
        <v>5</v>
      </c>
      <c r="C3" s="126" t="s">
        <v>6</v>
      </c>
      <c r="D3" s="127" t="s">
        <v>7</v>
      </c>
      <c r="E3" s="128" t="s">
        <v>147</v>
      </c>
      <c r="F3" s="128" t="s">
        <v>203</v>
      </c>
      <c r="G3" s="128" t="s">
        <v>87</v>
      </c>
      <c r="H3" s="128" t="s">
        <v>113</v>
      </c>
      <c r="I3" s="128" t="s">
        <v>113</v>
      </c>
      <c r="J3" s="128" t="s">
        <v>206</v>
      </c>
      <c r="K3" s="128" t="s">
        <v>30</v>
      </c>
    </row>
    <row r="4" spans="2:15" ht="12.75" customHeight="1" x14ac:dyDescent="0.2">
      <c r="B4" s="130" t="s">
        <v>9</v>
      </c>
      <c r="C4" s="131" t="s">
        <v>59</v>
      </c>
      <c r="D4" s="132">
        <v>43470</v>
      </c>
      <c r="E4" s="136">
        <f t="shared" ref="E4:E27" si="0">-I4*10^-6</f>
        <v>-30</v>
      </c>
      <c r="F4" s="134"/>
      <c r="G4" s="133" t="s">
        <v>12</v>
      </c>
      <c r="H4" s="134">
        <v>30000000</v>
      </c>
      <c r="I4" s="135">
        <f t="shared" ref="I4:I14" si="1">H4</f>
        <v>30000000</v>
      </c>
      <c r="J4" s="137">
        <v>6100312</v>
      </c>
      <c r="K4" s="133"/>
      <c r="N4" s="129" t="s">
        <v>188</v>
      </c>
    </row>
    <row r="5" spans="2:15" ht="12.75" customHeight="1" x14ac:dyDescent="0.2">
      <c r="B5" s="130" t="s">
        <v>9</v>
      </c>
      <c r="C5" s="131" t="s">
        <v>59</v>
      </c>
      <c r="D5" s="132">
        <v>43724</v>
      </c>
      <c r="E5" s="136">
        <f t="shared" si="0"/>
        <v>-20</v>
      </c>
      <c r="F5" s="134"/>
      <c r="G5" s="133" t="s">
        <v>12</v>
      </c>
      <c r="H5" s="134">
        <v>20000000</v>
      </c>
      <c r="I5" s="135">
        <f t="shared" si="1"/>
        <v>20000000</v>
      </c>
      <c r="J5" s="137">
        <v>4204767.4285714282</v>
      </c>
      <c r="K5" s="133"/>
      <c r="N5" s="138" t="s">
        <v>146</v>
      </c>
      <c r="O5" s="151">
        <v>3.6779999999999999</v>
      </c>
    </row>
    <row r="6" spans="2:15" ht="12.75" customHeight="1" x14ac:dyDescent="0.2">
      <c r="B6" s="130" t="s">
        <v>9</v>
      </c>
      <c r="C6" s="131" t="s">
        <v>59</v>
      </c>
      <c r="D6" s="132">
        <v>43724</v>
      </c>
      <c r="E6" s="136">
        <f t="shared" si="0"/>
        <v>-15</v>
      </c>
      <c r="F6" s="134"/>
      <c r="G6" s="133" t="s">
        <v>12</v>
      </c>
      <c r="H6" s="134">
        <v>15000000</v>
      </c>
      <c r="I6" s="135">
        <f t="shared" si="1"/>
        <v>15000000</v>
      </c>
      <c r="J6" s="137">
        <v>3153575.5714285714</v>
      </c>
      <c r="K6" s="133"/>
    </row>
    <row r="7" spans="2:15" ht="12.75" customHeight="1" x14ac:dyDescent="0.2">
      <c r="B7" s="139" t="s">
        <v>9</v>
      </c>
      <c r="C7" s="140" t="s">
        <v>0</v>
      </c>
      <c r="D7" s="141">
        <v>43563</v>
      </c>
      <c r="E7" s="145">
        <f t="shared" si="0"/>
        <v>-8</v>
      </c>
      <c r="F7" s="143"/>
      <c r="G7" s="142" t="s">
        <v>12</v>
      </c>
      <c r="H7" s="143">
        <v>8000000</v>
      </c>
      <c r="I7" s="144">
        <f t="shared" si="1"/>
        <v>8000000</v>
      </c>
      <c r="J7" s="146">
        <v>21419829</v>
      </c>
      <c r="K7" s="142"/>
    </row>
    <row r="8" spans="2:15" ht="12.75" customHeight="1" x14ac:dyDescent="0.2">
      <c r="B8" s="130" t="s">
        <v>9</v>
      </c>
      <c r="C8" s="131" t="s">
        <v>50</v>
      </c>
      <c r="D8" s="132">
        <v>43570</v>
      </c>
      <c r="E8" s="136">
        <f t="shared" si="0"/>
        <v>-4.9999980900000001</v>
      </c>
      <c r="F8" s="134"/>
      <c r="G8" s="133" t="s">
        <v>12</v>
      </c>
      <c r="H8" s="134">
        <v>4999998.09</v>
      </c>
      <c r="I8" s="135">
        <f t="shared" si="1"/>
        <v>4999998.09</v>
      </c>
      <c r="J8" s="137">
        <v>2625467</v>
      </c>
      <c r="K8" s="133"/>
    </row>
    <row r="9" spans="2:15" ht="12.75" customHeight="1" x14ac:dyDescent="0.2">
      <c r="B9" s="130" t="s">
        <v>9</v>
      </c>
      <c r="C9" s="131" t="s">
        <v>50</v>
      </c>
      <c r="D9" s="132">
        <v>43915</v>
      </c>
      <c r="E9" s="136">
        <f t="shared" si="0"/>
        <v>-5.0000019099999999</v>
      </c>
      <c r="F9" s="134"/>
      <c r="G9" s="133" t="s">
        <v>12</v>
      </c>
      <c r="H9" s="134">
        <f>10000000-H8</f>
        <v>5000001.91</v>
      </c>
      <c r="I9" s="135">
        <f t="shared" si="1"/>
        <v>5000001.91</v>
      </c>
      <c r="J9" s="137">
        <v>2580015</v>
      </c>
      <c r="K9" s="133"/>
    </row>
    <row r="10" spans="2:15" ht="12.75" customHeight="1" x14ac:dyDescent="0.2">
      <c r="B10" s="139" t="s">
        <v>9</v>
      </c>
      <c r="C10" s="140" t="s">
        <v>51</v>
      </c>
      <c r="D10" s="141">
        <v>43870</v>
      </c>
      <c r="E10" s="145">
        <f t="shared" si="0"/>
        <v>-2.5</v>
      </c>
      <c r="F10" s="143"/>
      <c r="G10" s="142" t="s">
        <v>12</v>
      </c>
      <c r="H10" s="143">
        <v>2500000</v>
      </c>
      <c r="I10" s="144">
        <f t="shared" si="1"/>
        <v>2500000</v>
      </c>
      <c r="J10" s="146" t="s">
        <v>121</v>
      </c>
      <c r="K10" s="142"/>
    </row>
    <row r="11" spans="2:15" ht="12.75" customHeight="1" x14ac:dyDescent="0.2">
      <c r="B11" s="130" t="s">
        <v>9</v>
      </c>
      <c r="C11" s="131" t="s">
        <v>49</v>
      </c>
      <c r="D11" s="132">
        <v>43879</v>
      </c>
      <c r="E11" s="136">
        <f t="shared" si="0"/>
        <v>-20</v>
      </c>
      <c r="F11" s="134"/>
      <c r="G11" s="133" t="s">
        <v>12</v>
      </c>
      <c r="H11" s="134">
        <v>20000000</v>
      </c>
      <c r="I11" s="135">
        <f t="shared" si="1"/>
        <v>20000000</v>
      </c>
      <c r="J11" s="137">
        <v>4084038</v>
      </c>
      <c r="K11" s="133"/>
    </row>
    <row r="12" spans="2:15" ht="12.75" customHeight="1" x14ac:dyDescent="0.2">
      <c r="B12" s="130" t="s">
        <v>9</v>
      </c>
      <c r="C12" s="131" t="s">
        <v>49</v>
      </c>
      <c r="D12" s="132">
        <v>43921</v>
      </c>
      <c r="E12" s="136">
        <f t="shared" si="0"/>
        <v>-30</v>
      </c>
      <c r="F12" s="134"/>
      <c r="G12" s="133" t="s">
        <v>12</v>
      </c>
      <c r="H12" s="134">
        <v>30000000</v>
      </c>
      <c r="I12" s="135">
        <f t="shared" si="1"/>
        <v>30000000</v>
      </c>
      <c r="J12" s="137">
        <v>5822642</v>
      </c>
      <c r="K12" s="133"/>
    </row>
    <row r="13" spans="2:15" ht="12.75" customHeight="1" x14ac:dyDescent="0.2">
      <c r="B13" s="130" t="s">
        <v>9</v>
      </c>
      <c r="C13" s="131" t="s">
        <v>49</v>
      </c>
      <c r="D13" s="132">
        <v>43989</v>
      </c>
      <c r="E13" s="136">
        <f t="shared" si="0"/>
        <v>-30</v>
      </c>
      <c r="F13" s="134"/>
      <c r="G13" s="133" t="s">
        <v>12</v>
      </c>
      <c r="H13" s="134">
        <v>30000000</v>
      </c>
      <c r="I13" s="135">
        <f t="shared" si="1"/>
        <v>30000000</v>
      </c>
      <c r="J13" s="137">
        <v>5822642</v>
      </c>
      <c r="K13" s="133"/>
    </row>
    <row r="14" spans="2:15" ht="12.75" customHeight="1" x14ac:dyDescent="0.2">
      <c r="B14" s="130" t="s">
        <v>9</v>
      </c>
      <c r="C14" s="131" t="s">
        <v>49</v>
      </c>
      <c r="D14" s="132">
        <v>44103</v>
      </c>
      <c r="E14" s="136">
        <f t="shared" si="0"/>
        <v>-10</v>
      </c>
      <c r="F14" s="134"/>
      <c r="G14" s="133" t="s">
        <v>12</v>
      </c>
      <c r="H14" s="134">
        <v>10000000</v>
      </c>
      <c r="I14" s="135">
        <f t="shared" si="1"/>
        <v>10000000</v>
      </c>
      <c r="J14" s="137">
        <v>1940880</v>
      </c>
      <c r="K14" s="133"/>
    </row>
    <row r="15" spans="2:15" ht="12.75" customHeight="1" x14ac:dyDescent="0.2">
      <c r="B15" s="139" t="s">
        <v>13</v>
      </c>
      <c r="C15" s="140" t="s">
        <v>142</v>
      </c>
      <c r="D15" s="141">
        <v>43968</v>
      </c>
      <c r="E15" s="145">
        <f t="shared" si="0"/>
        <v>-50</v>
      </c>
      <c r="F15" s="143"/>
      <c r="G15" s="142" t="s">
        <v>12</v>
      </c>
      <c r="H15" s="143">
        <v>50000000</v>
      </c>
      <c r="I15" s="144">
        <v>50000000</v>
      </c>
      <c r="J15" s="146">
        <v>15277680</v>
      </c>
      <c r="K15" s="142"/>
    </row>
    <row r="16" spans="2:15" ht="12.75" customHeight="1" x14ac:dyDescent="0.2">
      <c r="B16" s="139" t="s">
        <v>13</v>
      </c>
      <c r="C16" s="140" t="s">
        <v>142</v>
      </c>
      <c r="D16" s="141">
        <v>44006</v>
      </c>
      <c r="E16" s="145">
        <f t="shared" si="0"/>
        <v>-27.268350856443721</v>
      </c>
      <c r="F16" s="143"/>
      <c r="G16" s="142" t="s">
        <v>29</v>
      </c>
      <c r="H16" s="184">
        <v>21029625</v>
      </c>
      <c r="I16" s="144">
        <v>27268350.856443722</v>
      </c>
      <c r="J16" s="146">
        <v>9000000</v>
      </c>
      <c r="K16" s="142"/>
    </row>
    <row r="17" spans="2:11" ht="12.75" customHeight="1" x14ac:dyDescent="0.2">
      <c r="B17" s="139" t="s">
        <v>13</v>
      </c>
      <c r="C17" s="140" t="s">
        <v>142</v>
      </c>
      <c r="D17" s="141">
        <v>43837</v>
      </c>
      <c r="E17" s="145">
        <f t="shared" si="0"/>
        <v>-18.109441299619355</v>
      </c>
      <c r="F17" s="143"/>
      <c r="G17" s="142" t="s">
        <v>29</v>
      </c>
      <c r="H17" s="184">
        <v>14386480</v>
      </c>
      <c r="I17" s="144">
        <v>18109441.299619358</v>
      </c>
      <c r="J17" s="146">
        <v>6362180</v>
      </c>
      <c r="K17" s="142"/>
    </row>
    <row r="18" spans="2:11" ht="12.75" customHeight="1" x14ac:dyDescent="0.2">
      <c r="B18" s="139" t="s">
        <v>13</v>
      </c>
      <c r="C18" s="140" t="s">
        <v>142</v>
      </c>
      <c r="D18" s="141">
        <v>43990</v>
      </c>
      <c r="E18" s="145">
        <f t="shared" si="0"/>
        <v>-34.851687094159864</v>
      </c>
      <c r="F18" s="143"/>
      <c r="G18" s="142" t="s">
        <v>29</v>
      </c>
      <c r="H18" s="184">
        <v>26085572.879999999</v>
      </c>
      <c r="I18" s="144">
        <v>34851687.094159864</v>
      </c>
      <c r="J18" s="146">
        <v>11381140</v>
      </c>
      <c r="K18" s="142"/>
    </row>
    <row r="19" spans="2:11" ht="12.75" customHeight="1" x14ac:dyDescent="0.2">
      <c r="B19" s="139" t="s">
        <v>13</v>
      </c>
      <c r="C19" s="140" t="s">
        <v>142</v>
      </c>
      <c r="D19" s="141">
        <v>44315</v>
      </c>
      <c r="E19" s="145">
        <f t="shared" si="0"/>
        <v>-11.240780424143557</v>
      </c>
      <c r="F19" s="143"/>
      <c r="G19" s="142" t="s">
        <v>29</v>
      </c>
      <c r="H19" s="184">
        <v>8074920</v>
      </c>
      <c r="I19" s="144">
        <v>11240780.424143557</v>
      </c>
      <c r="J19" s="146">
        <v>2307120</v>
      </c>
      <c r="K19" s="142"/>
    </row>
    <row r="20" spans="2:11" ht="12.75" customHeight="1" x14ac:dyDescent="0.2">
      <c r="B20" s="130" t="s">
        <v>9</v>
      </c>
      <c r="C20" s="131" t="s">
        <v>11</v>
      </c>
      <c r="D20" s="132">
        <v>44166</v>
      </c>
      <c r="E20" s="136">
        <f t="shared" si="0"/>
        <v>-60</v>
      </c>
      <c r="F20" s="134"/>
      <c r="G20" s="133" t="s">
        <v>12</v>
      </c>
      <c r="H20" s="134">
        <v>60000000</v>
      </c>
      <c r="I20" s="135">
        <f>H20</f>
        <v>60000000</v>
      </c>
      <c r="J20" s="137">
        <v>4753356.29</v>
      </c>
      <c r="K20" s="133"/>
    </row>
    <row r="21" spans="2:11" ht="12.75" customHeight="1" x14ac:dyDescent="0.2">
      <c r="B21" s="139" t="s">
        <v>27</v>
      </c>
      <c r="C21" s="140" t="s">
        <v>24</v>
      </c>
      <c r="D21" s="141">
        <v>44363</v>
      </c>
      <c r="E21" s="145">
        <f t="shared" si="0"/>
        <v>-20</v>
      </c>
      <c r="F21" s="143"/>
      <c r="G21" s="142" t="s">
        <v>12</v>
      </c>
      <c r="H21" s="143">
        <v>20000000</v>
      </c>
      <c r="I21" s="144">
        <f>H21</f>
        <v>20000000</v>
      </c>
      <c r="J21" s="146">
        <v>7959497</v>
      </c>
      <c r="K21" s="142"/>
    </row>
    <row r="22" spans="2:11" ht="12.75" customHeight="1" x14ac:dyDescent="0.2">
      <c r="B22" s="130" t="s">
        <v>9</v>
      </c>
      <c r="C22" s="131" t="s">
        <v>52</v>
      </c>
      <c r="D22" s="132">
        <v>44488</v>
      </c>
      <c r="E22" s="136">
        <f t="shared" si="0"/>
        <v>-39.999983359999995</v>
      </c>
      <c r="F22" s="134"/>
      <c r="G22" s="133" t="s">
        <v>12</v>
      </c>
      <c r="H22" s="134">
        <v>39999983.359999999</v>
      </c>
      <c r="I22" s="135">
        <f>H22</f>
        <v>39999983.359999999</v>
      </c>
      <c r="J22" s="137">
        <v>1441711</v>
      </c>
      <c r="K22" s="133"/>
    </row>
    <row r="23" spans="2:11" ht="12.75" customHeight="1" x14ac:dyDescent="0.2">
      <c r="B23" s="139" t="s">
        <v>116</v>
      </c>
      <c r="C23" s="140" t="s">
        <v>53</v>
      </c>
      <c r="D23" s="141">
        <v>44494</v>
      </c>
      <c r="E23" s="145">
        <f t="shared" si="0"/>
        <v>-3</v>
      </c>
      <c r="F23" s="143"/>
      <c r="G23" s="142" t="s">
        <v>12</v>
      </c>
      <c r="H23" s="143">
        <v>3000000</v>
      </c>
      <c r="I23" s="144">
        <f>H23</f>
        <v>3000000</v>
      </c>
      <c r="J23" s="146">
        <v>3000000</v>
      </c>
      <c r="K23" s="142"/>
    </row>
    <row r="24" spans="2:11" ht="12.75" customHeight="1" x14ac:dyDescent="0.2">
      <c r="B24" s="130" t="s">
        <v>9</v>
      </c>
      <c r="C24" s="131" t="s">
        <v>54</v>
      </c>
      <c r="D24" s="132">
        <v>44550</v>
      </c>
      <c r="E24" s="136">
        <f t="shared" si="0"/>
        <v>-5.0237201984774336</v>
      </c>
      <c r="F24" s="134"/>
      <c r="G24" s="133" t="s">
        <v>29</v>
      </c>
      <c r="H24" s="185">
        <v>3679995.54</v>
      </c>
      <c r="I24" s="135">
        <v>5023720.198477434</v>
      </c>
      <c r="J24" s="137">
        <v>33267</v>
      </c>
      <c r="K24" s="133"/>
    </row>
    <row r="25" spans="2:11" ht="12.75" customHeight="1" x14ac:dyDescent="0.2">
      <c r="B25" s="139" t="s">
        <v>119</v>
      </c>
      <c r="C25" s="140" t="s">
        <v>120</v>
      </c>
      <c r="D25" s="141">
        <v>44574</v>
      </c>
      <c r="E25" s="145">
        <f t="shared" si="0"/>
        <v>-493.50095619999996</v>
      </c>
      <c r="F25" s="143"/>
      <c r="G25" s="142" t="s">
        <v>12</v>
      </c>
      <c r="H25" s="143">
        <v>893500956.20000005</v>
      </c>
      <c r="I25" s="143">
        <v>493500956.19999999</v>
      </c>
      <c r="J25" s="146"/>
      <c r="K25" s="142"/>
    </row>
    <row r="26" spans="2:11" ht="12.75" customHeight="1" x14ac:dyDescent="0.2">
      <c r="B26" s="130" t="s">
        <v>13</v>
      </c>
      <c r="C26" s="131" t="s">
        <v>25</v>
      </c>
      <c r="D26" s="132">
        <v>44643</v>
      </c>
      <c r="E26" s="136">
        <f t="shared" si="0"/>
        <v>-200</v>
      </c>
      <c r="F26" s="134"/>
      <c r="G26" s="133" t="s">
        <v>12</v>
      </c>
      <c r="H26" s="134">
        <v>200000000</v>
      </c>
      <c r="I26" s="135">
        <f>H26</f>
        <v>200000000</v>
      </c>
      <c r="J26" s="137"/>
      <c r="K26" s="133"/>
    </row>
    <row r="27" spans="2:11" ht="12.75" customHeight="1" x14ac:dyDescent="0.2">
      <c r="B27" s="130" t="s">
        <v>13</v>
      </c>
      <c r="C27" s="131" t="s">
        <v>25</v>
      </c>
      <c r="D27" s="132">
        <v>44680</v>
      </c>
      <c r="E27" s="136">
        <f t="shared" si="0"/>
        <v>-100</v>
      </c>
      <c r="F27" s="134"/>
      <c r="G27" s="133" t="s">
        <v>12</v>
      </c>
      <c r="H27" s="134">
        <v>100000000</v>
      </c>
      <c r="I27" s="135">
        <f>H27</f>
        <v>100000000</v>
      </c>
      <c r="J27" s="137"/>
      <c r="K27" s="133"/>
    </row>
    <row r="28" spans="2:11" ht="12.75" customHeight="1" x14ac:dyDescent="0.2">
      <c r="B28" s="139" t="s">
        <v>9</v>
      </c>
      <c r="C28" s="140" t="s">
        <v>51</v>
      </c>
      <c r="D28" s="141">
        <v>44691</v>
      </c>
      <c r="E28" s="145"/>
      <c r="F28" s="145">
        <v>5</v>
      </c>
      <c r="G28" s="142" t="s">
        <v>12</v>
      </c>
      <c r="H28" s="143"/>
      <c r="I28" s="144"/>
      <c r="J28" s="146"/>
      <c r="K28" s="142"/>
    </row>
    <row r="29" spans="2:11" ht="12.75" customHeight="1" x14ac:dyDescent="0.2">
      <c r="B29" s="130" t="s">
        <v>13</v>
      </c>
      <c r="C29" s="131" t="s">
        <v>143</v>
      </c>
      <c r="D29" s="132">
        <v>44712</v>
      </c>
      <c r="E29" s="136">
        <f>-I29*10^-6</f>
        <v>-12.5</v>
      </c>
      <c r="F29" s="134"/>
      <c r="G29" s="133" t="s">
        <v>12</v>
      </c>
      <c r="H29" s="134">
        <v>12500000</v>
      </c>
      <c r="I29" s="135">
        <f>H29</f>
        <v>12500000</v>
      </c>
      <c r="J29" s="137">
        <v>10386274</v>
      </c>
      <c r="K29" s="133"/>
    </row>
    <row r="30" spans="2:11" ht="12.75" customHeight="1" x14ac:dyDescent="0.2">
      <c r="B30" s="139" t="s">
        <v>118</v>
      </c>
      <c r="C30" s="140" t="s">
        <v>46</v>
      </c>
      <c r="D30" s="141">
        <v>44769</v>
      </c>
      <c r="E30" s="145">
        <f>-I30*10^-6</f>
        <v>-800</v>
      </c>
      <c r="F30" s="143"/>
      <c r="G30" s="142" t="s">
        <v>12</v>
      </c>
      <c r="H30" s="143">
        <v>800000000</v>
      </c>
      <c r="I30" s="144">
        <f>H30</f>
        <v>800000000</v>
      </c>
      <c r="J30" s="146"/>
      <c r="K30" s="142"/>
    </row>
    <row r="31" spans="2:11" x14ac:dyDescent="0.2">
      <c r="D31" s="147"/>
      <c r="H31" s="148"/>
    </row>
    <row r="32" spans="2:11" s="129" customFormat="1" x14ac:dyDescent="0.2">
      <c r="B32" s="194" t="s">
        <v>204</v>
      </c>
      <c r="C32" s="195"/>
      <c r="D32" s="196"/>
      <c r="E32" s="197"/>
      <c r="F32" s="197"/>
      <c r="G32" s="197"/>
      <c r="H32" s="197"/>
      <c r="I32" s="197"/>
      <c r="J32" s="197"/>
      <c r="K32" s="197"/>
    </row>
    <row r="33" spans="2:11" ht="12.75" customHeight="1" x14ac:dyDescent="0.2">
      <c r="B33" s="130" t="s">
        <v>9</v>
      </c>
      <c r="C33" s="131" t="s">
        <v>60</v>
      </c>
      <c r="D33" s="132">
        <v>43635</v>
      </c>
      <c r="E33" s="136">
        <v>-8</v>
      </c>
      <c r="F33" s="134"/>
      <c r="G33" s="133"/>
      <c r="H33" s="134">
        <v>8000000</v>
      </c>
      <c r="I33" s="135"/>
      <c r="J33" s="137"/>
      <c r="K33" s="133"/>
    </row>
    <row r="34" spans="2:11" ht="12.75" customHeight="1" x14ac:dyDescent="0.2">
      <c r="B34" s="139" t="s">
        <v>9</v>
      </c>
      <c r="C34" s="140" t="s">
        <v>0</v>
      </c>
      <c r="D34" s="141">
        <v>44293</v>
      </c>
      <c r="E34" s="145">
        <v>-2.3539819999999998</v>
      </c>
      <c r="F34" s="143"/>
      <c r="G34" s="142"/>
      <c r="H34" s="143"/>
      <c r="I34" s="143"/>
      <c r="J34" s="146"/>
      <c r="K34" s="142"/>
    </row>
    <row r="35" spans="2:11" ht="12.75" customHeight="1" x14ac:dyDescent="0.2">
      <c r="B35" s="139" t="s">
        <v>9</v>
      </c>
      <c r="C35" s="140" t="s">
        <v>51</v>
      </c>
      <c r="D35" s="141">
        <v>44384</v>
      </c>
      <c r="E35" s="145">
        <f>-I35*10^-6</f>
        <v>-0.41176499999999999</v>
      </c>
      <c r="F35" s="143"/>
      <c r="G35" s="142" t="s">
        <v>12</v>
      </c>
      <c r="H35" s="143">
        <v>2500000</v>
      </c>
      <c r="I35" s="143">
        <v>411765</v>
      </c>
      <c r="J35" s="146" t="s">
        <v>121</v>
      </c>
      <c r="K35" s="142"/>
    </row>
    <row r="36" spans="2:11" x14ac:dyDescent="0.2">
      <c r="J36" s="150"/>
    </row>
    <row r="37" spans="2:11" x14ac:dyDescent="0.2">
      <c r="J37" s="150"/>
    </row>
    <row r="38" spans="2:11" x14ac:dyDescent="0.2">
      <c r="J38" s="150"/>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FE2F5-41F2-4107-9F69-101D6EF0D1A4}">
  <sheetPr>
    <tabColor theme="9" tint="-0.249977111117893"/>
  </sheetPr>
  <dimension ref="A2:H38"/>
  <sheetViews>
    <sheetView zoomScaleNormal="100" workbookViewId="0">
      <selection activeCell="B10" sqref="B10"/>
    </sheetView>
  </sheetViews>
  <sheetFormatPr defaultRowHeight="15" outlineLevelCol="1" x14ac:dyDescent="0.25"/>
  <cols>
    <col min="1" max="1" width="16.28515625" style="81" customWidth="1"/>
    <col min="2" max="2" width="30.140625" style="80" bestFit="1" customWidth="1"/>
    <col min="3" max="3" width="15.85546875" style="80" customWidth="1"/>
    <col min="4" max="4" width="14.140625" style="80" customWidth="1"/>
    <col min="5" max="5" width="13" style="80" customWidth="1"/>
    <col min="6" max="6" width="10.28515625" style="80" customWidth="1"/>
    <col min="7" max="7" width="16" style="80" customWidth="1" outlineLevel="1"/>
    <col min="8" max="8" width="47.85546875" style="80" customWidth="1"/>
    <col min="9" max="16384" width="9.140625" style="80"/>
  </cols>
  <sheetData>
    <row r="2" spans="1:8" s="115" customFormat="1" ht="33.75" customHeight="1" x14ac:dyDescent="0.2">
      <c r="A2" s="113" t="s">
        <v>183</v>
      </c>
      <c r="B2" s="114" t="s">
        <v>6</v>
      </c>
      <c r="C2" s="113" t="s">
        <v>7</v>
      </c>
      <c r="D2" s="113" t="s">
        <v>257</v>
      </c>
      <c r="E2" s="113" t="s">
        <v>258</v>
      </c>
      <c r="F2" s="113" t="s">
        <v>31</v>
      </c>
      <c r="G2" s="113" t="s">
        <v>248</v>
      </c>
      <c r="H2" s="113" t="s">
        <v>8</v>
      </c>
    </row>
    <row r="3" spans="1:8" s="119" customFormat="1" ht="15.75" customHeight="1" x14ac:dyDescent="0.2">
      <c r="A3" s="116" t="s">
        <v>13</v>
      </c>
      <c r="B3" s="117" t="s">
        <v>15</v>
      </c>
      <c r="C3" s="443">
        <v>44153</v>
      </c>
      <c r="D3" s="118">
        <f>G3</f>
        <v>-10.5</v>
      </c>
      <c r="E3" s="118"/>
      <c r="F3" s="116" t="s">
        <v>12</v>
      </c>
      <c r="G3" s="118">
        <v>-10.5</v>
      </c>
      <c r="H3" s="116" t="s">
        <v>17</v>
      </c>
    </row>
    <row r="4" spans="1:8" s="119" customFormat="1" ht="15.75" customHeight="1" x14ac:dyDescent="0.2">
      <c r="A4" s="116" t="s">
        <v>13</v>
      </c>
      <c r="B4" s="117" t="s">
        <v>15</v>
      </c>
      <c r="C4" s="443">
        <v>44238</v>
      </c>
      <c r="D4" s="118">
        <f>G4</f>
        <v>4.2140269999999997</v>
      </c>
      <c r="E4" s="118"/>
      <c r="F4" s="120" t="s">
        <v>12</v>
      </c>
      <c r="G4" s="118">
        <v>4.2140269999999997</v>
      </c>
      <c r="H4" s="116" t="s">
        <v>18</v>
      </c>
    </row>
    <row r="5" spans="1:8" s="119" customFormat="1" ht="15.75" customHeight="1" x14ac:dyDescent="0.2">
      <c r="A5" s="116" t="s">
        <v>13</v>
      </c>
      <c r="B5" s="117" t="s">
        <v>15</v>
      </c>
      <c r="C5" s="443">
        <v>44238</v>
      </c>
      <c r="D5" s="118"/>
      <c r="E5" s="118">
        <f>G5</f>
        <v>5.0448349999999996E-2</v>
      </c>
      <c r="F5" s="120" t="s">
        <v>12</v>
      </c>
      <c r="G5" s="118">
        <v>5.0448349999999996E-2</v>
      </c>
      <c r="H5" s="116" t="s">
        <v>21</v>
      </c>
    </row>
    <row r="6" spans="1:8" s="119" customFormat="1" ht="15.75" customHeight="1" x14ac:dyDescent="0.2">
      <c r="A6" s="116" t="s">
        <v>13</v>
      </c>
      <c r="B6" s="117" t="s">
        <v>15</v>
      </c>
      <c r="C6" s="443">
        <v>44285</v>
      </c>
      <c r="D6" s="118">
        <f>G6</f>
        <v>-6.4337459999999993</v>
      </c>
      <c r="E6" s="118"/>
      <c r="F6" s="120" t="s">
        <v>12</v>
      </c>
      <c r="G6" s="118">
        <v>-6.4337459999999993</v>
      </c>
      <c r="H6" s="116" t="s">
        <v>19</v>
      </c>
    </row>
    <row r="7" spans="1:8" s="119" customFormat="1" ht="15.75" customHeight="1" x14ac:dyDescent="0.2">
      <c r="A7" s="116" t="s">
        <v>13</v>
      </c>
      <c r="B7" s="117" t="s">
        <v>15</v>
      </c>
      <c r="C7" s="443">
        <v>44269</v>
      </c>
      <c r="D7" s="118">
        <f>G7</f>
        <v>1.1352073899999999</v>
      </c>
      <c r="E7" s="118"/>
      <c r="F7" s="120" t="s">
        <v>12</v>
      </c>
      <c r="G7" s="118">
        <v>1.1352073899999999</v>
      </c>
      <c r="H7" s="116" t="s">
        <v>20</v>
      </c>
    </row>
    <row r="8" spans="1:8" s="119" customFormat="1" ht="15.75" customHeight="1" x14ac:dyDescent="0.2">
      <c r="A8" s="116" t="s">
        <v>13</v>
      </c>
      <c r="B8" s="117" t="s">
        <v>15</v>
      </c>
      <c r="C8" s="443">
        <v>44269</v>
      </c>
      <c r="D8" s="118"/>
      <c r="E8" s="118">
        <f>G8</f>
        <v>2.5899999999999999E-2</v>
      </c>
      <c r="F8" s="116" t="s">
        <v>12</v>
      </c>
      <c r="G8" s="118">
        <v>2.5899999999999999E-2</v>
      </c>
      <c r="H8" s="116" t="s">
        <v>21</v>
      </c>
    </row>
    <row r="9" spans="1:8" s="119" customFormat="1" ht="15.75" customHeight="1" x14ac:dyDescent="0.2">
      <c r="A9" s="116" t="s">
        <v>13</v>
      </c>
      <c r="B9" s="117" t="s">
        <v>15</v>
      </c>
      <c r="C9" s="443">
        <v>44483</v>
      </c>
      <c r="D9" s="118">
        <f>G9</f>
        <v>-7.5671379999999999</v>
      </c>
      <c r="E9" s="118"/>
      <c r="F9" s="116" t="s">
        <v>12</v>
      </c>
      <c r="G9" s="118">
        <v>-7.5671379999999999</v>
      </c>
      <c r="H9" s="116" t="s">
        <v>170</v>
      </c>
    </row>
    <row r="10" spans="1:8" s="119" customFormat="1" ht="15.75" customHeight="1" x14ac:dyDescent="0.2">
      <c r="A10" s="116" t="s">
        <v>13</v>
      </c>
      <c r="B10" s="117" t="s">
        <v>15</v>
      </c>
      <c r="C10" s="443">
        <v>44554</v>
      </c>
      <c r="D10" s="118">
        <f>G10</f>
        <v>-7.3850159999999994</v>
      </c>
      <c r="E10" s="118"/>
      <c r="F10" s="116" t="s">
        <v>12</v>
      </c>
      <c r="G10" s="118">
        <v>-7.3850159999999994</v>
      </c>
      <c r="H10" s="116" t="s">
        <v>171</v>
      </c>
    </row>
    <row r="11" spans="1:8" s="119" customFormat="1" ht="15.75" customHeight="1" x14ac:dyDescent="0.2">
      <c r="A11" s="116" t="s">
        <v>13</v>
      </c>
      <c r="B11" s="117" t="s">
        <v>15</v>
      </c>
      <c r="C11" s="443">
        <v>44554</v>
      </c>
      <c r="D11" s="118">
        <f>G11</f>
        <v>4.0733456099999996</v>
      </c>
      <c r="E11" s="118"/>
      <c r="F11" s="116" t="s">
        <v>12</v>
      </c>
      <c r="G11" s="118">
        <v>4.0733456099999996</v>
      </c>
      <c r="H11" s="116" t="s">
        <v>20</v>
      </c>
    </row>
    <row r="12" spans="1:8" s="119" customFormat="1" ht="15.75" customHeight="1" x14ac:dyDescent="0.2">
      <c r="A12" s="116" t="s">
        <v>13</v>
      </c>
      <c r="B12" s="117" t="s">
        <v>15</v>
      </c>
      <c r="C12" s="443">
        <v>44554</v>
      </c>
      <c r="D12" s="118"/>
      <c r="E12" s="118">
        <f>G12</f>
        <v>0.13969399999999998</v>
      </c>
      <c r="F12" s="116" t="s">
        <v>12</v>
      </c>
      <c r="G12" s="118">
        <v>0.13969399999999998</v>
      </c>
      <c r="H12" s="116" t="s">
        <v>21</v>
      </c>
    </row>
    <row r="13" spans="1:8" s="119" customFormat="1" ht="15.75" customHeight="1" x14ac:dyDescent="0.2">
      <c r="A13" s="116" t="s">
        <v>13</v>
      </c>
      <c r="B13" s="117" t="s">
        <v>15</v>
      </c>
      <c r="C13" s="443">
        <v>44703</v>
      </c>
      <c r="D13" s="118">
        <f>G13</f>
        <v>5.6730739999999997</v>
      </c>
      <c r="E13" s="118"/>
      <c r="F13" s="116" t="s">
        <v>12</v>
      </c>
      <c r="G13" s="118">
        <v>5.6730739999999997</v>
      </c>
      <c r="H13" s="116" t="s">
        <v>20</v>
      </c>
    </row>
    <row r="14" spans="1:8" s="119" customFormat="1" ht="15.75" customHeight="1" x14ac:dyDescent="0.2">
      <c r="A14" s="116" t="s">
        <v>13</v>
      </c>
      <c r="B14" s="117" t="s">
        <v>15</v>
      </c>
      <c r="C14" s="443">
        <v>44703</v>
      </c>
      <c r="D14" s="118"/>
      <c r="E14" s="118">
        <f>G14</f>
        <v>0.22778599999999999</v>
      </c>
      <c r="F14" s="116" t="s">
        <v>12</v>
      </c>
      <c r="G14" s="118">
        <v>0.22778599999999999</v>
      </c>
      <c r="H14" s="116" t="s">
        <v>21</v>
      </c>
    </row>
    <row r="15" spans="1:8" s="119" customFormat="1" ht="15.75" customHeight="1" x14ac:dyDescent="0.2">
      <c r="A15" s="121" t="s">
        <v>9</v>
      </c>
      <c r="B15" s="122" t="s">
        <v>1</v>
      </c>
      <c r="C15" s="444">
        <v>43665</v>
      </c>
      <c r="D15" s="125">
        <f t="shared" ref="D15:D22" si="0">G15</f>
        <v>-3</v>
      </c>
      <c r="E15" s="125"/>
      <c r="F15" s="121" t="s">
        <v>12</v>
      </c>
      <c r="G15" s="125">
        <v>-3</v>
      </c>
      <c r="H15" s="121" t="s">
        <v>17</v>
      </c>
    </row>
    <row r="16" spans="1:8" s="119" customFormat="1" ht="15.75" customHeight="1" x14ac:dyDescent="0.2">
      <c r="A16" s="121" t="s">
        <v>9</v>
      </c>
      <c r="B16" s="122" t="s">
        <v>1</v>
      </c>
      <c r="C16" s="444">
        <v>43983</v>
      </c>
      <c r="D16" s="125">
        <f t="shared" si="0"/>
        <v>-4.4849999999999994</v>
      </c>
      <c r="E16" s="125"/>
      <c r="F16" s="121" t="s">
        <v>12</v>
      </c>
      <c r="G16" s="125">
        <v>-4.4849999999999994</v>
      </c>
      <c r="H16" s="121" t="s">
        <v>19</v>
      </c>
    </row>
    <row r="17" spans="1:8" s="119" customFormat="1" ht="15.75" customHeight="1" x14ac:dyDescent="0.2">
      <c r="A17" s="121" t="s">
        <v>9</v>
      </c>
      <c r="B17" s="122" t="s">
        <v>1</v>
      </c>
      <c r="C17" s="444">
        <v>43879</v>
      </c>
      <c r="D17" s="125">
        <f t="shared" si="0"/>
        <v>-9.5097500000000004</v>
      </c>
      <c r="E17" s="125"/>
      <c r="F17" s="121" t="s">
        <v>12</v>
      </c>
      <c r="G17" s="125">
        <v>-9.5097500000000004</v>
      </c>
      <c r="H17" s="121" t="s">
        <v>170</v>
      </c>
    </row>
    <row r="18" spans="1:8" s="119" customFormat="1" ht="15.75" customHeight="1" x14ac:dyDescent="0.2">
      <c r="A18" s="121" t="s">
        <v>9</v>
      </c>
      <c r="B18" s="122" t="s">
        <v>1</v>
      </c>
      <c r="C18" s="444">
        <v>43934</v>
      </c>
      <c r="D18" s="125">
        <f t="shared" si="0"/>
        <v>-41.3</v>
      </c>
      <c r="E18" s="125"/>
      <c r="F18" s="121" t="s">
        <v>12</v>
      </c>
      <c r="G18" s="125">
        <v>-41.3</v>
      </c>
      <c r="H18" s="121" t="s">
        <v>171</v>
      </c>
    </row>
    <row r="19" spans="1:8" s="119" customFormat="1" ht="15.75" customHeight="1" x14ac:dyDescent="0.2">
      <c r="A19" s="121" t="s">
        <v>9</v>
      </c>
      <c r="B19" s="122" t="s">
        <v>1</v>
      </c>
      <c r="C19" s="444">
        <v>44151</v>
      </c>
      <c r="D19" s="125">
        <f t="shared" si="0"/>
        <v>9.9499999999999993</v>
      </c>
      <c r="E19" s="125"/>
      <c r="F19" s="121" t="s">
        <v>12</v>
      </c>
      <c r="G19" s="125">
        <v>9.9499999999999993</v>
      </c>
      <c r="H19" s="121" t="s">
        <v>173</v>
      </c>
    </row>
    <row r="20" spans="1:8" s="119" customFormat="1" ht="15.75" customHeight="1" x14ac:dyDescent="0.2">
      <c r="A20" s="121" t="s">
        <v>9</v>
      </c>
      <c r="B20" s="122" t="s">
        <v>1</v>
      </c>
      <c r="C20" s="444">
        <v>44151</v>
      </c>
      <c r="D20" s="125">
        <f t="shared" si="0"/>
        <v>-10.455</v>
      </c>
      <c r="E20" s="125"/>
      <c r="F20" s="121" t="s">
        <v>12</v>
      </c>
      <c r="G20" s="125">
        <v>-10.455</v>
      </c>
      <c r="H20" s="121" t="s">
        <v>174</v>
      </c>
    </row>
    <row r="21" spans="1:8" s="119" customFormat="1" ht="15.75" customHeight="1" x14ac:dyDescent="0.2">
      <c r="A21" s="121" t="s">
        <v>9</v>
      </c>
      <c r="B21" s="122" t="s">
        <v>1</v>
      </c>
      <c r="C21" s="444">
        <v>44196</v>
      </c>
      <c r="D21" s="125">
        <f t="shared" si="0"/>
        <v>4.9749999999999996</v>
      </c>
      <c r="E21" s="125"/>
      <c r="F21" s="121" t="s">
        <v>12</v>
      </c>
      <c r="G21" s="125">
        <v>4.9749999999999996</v>
      </c>
      <c r="H21" s="121" t="s">
        <v>175</v>
      </c>
    </row>
    <row r="22" spans="1:8" s="119" customFormat="1" ht="15.75" customHeight="1" x14ac:dyDescent="0.2">
      <c r="A22" s="121" t="s">
        <v>9</v>
      </c>
      <c r="B22" s="122" t="s">
        <v>1</v>
      </c>
      <c r="C22" s="444">
        <v>44196</v>
      </c>
      <c r="D22" s="125">
        <f t="shared" si="0"/>
        <v>-3.4522930000000001</v>
      </c>
      <c r="E22" s="125"/>
      <c r="F22" s="121" t="s">
        <v>12</v>
      </c>
      <c r="G22" s="125">
        <v>-3.4522930000000001</v>
      </c>
      <c r="H22" s="121" t="s">
        <v>176</v>
      </c>
    </row>
    <row r="23" spans="1:8" s="119" customFormat="1" ht="15.75" customHeight="1" x14ac:dyDescent="0.2">
      <c r="A23" s="121" t="s">
        <v>9</v>
      </c>
      <c r="B23" s="122" t="s">
        <v>1</v>
      </c>
      <c r="C23" s="444">
        <v>44196</v>
      </c>
      <c r="D23" s="125"/>
      <c r="E23" s="125">
        <f>G23</f>
        <v>0.58290199999999992</v>
      </c>
      <c r="F23" s="121" t="s">
        <v>12</v>
      </c>
      <c r="G23" s="125">
        <v>0.58290199999999992</v>
      </c>
      <c r="H23" s="121" t="s">
        <v>177</v>
      </c>
    </row>
    <row r="24" spans="1:8" s="119" customFormat="1" ht="15.75" customHeight="1" x14ac:dyDescent="0.2">
      <c r="A24" s="121" t="s">
        <v>9</v>
      </c>
      <c r="B24" s="122" t="s">
        <v>1</v>
      </c>
      <c r="C24" s="444">
        <v>44370</v>
      </c>
      <c r="D24" s="125">
        <f>G24</f>
        <v>-5.97</v>
      </c>
      <c r="E24" s="125"/>
      <c r="F24" s="121" t="s">
        <v>12</v>
      </c>
      <c r="G24" s="125">
        <v>-5.97</v>
      </c>
      <c r="H24" s="121" t="s">
        <v>178</v>
      </c>
    </row>
    <row r="25" spans="1:8" s="119" customFormat="1" ht="15.75" customHeight="1" x14ac:dyDescent="0.2">
      <c r="A25" s="121" t="s">
        <v>9</v>
      </c>
      <c r="B25" s="122" t="s">
        <v>1</v>
      </c>
      <c r="C25" s="444">
        <v>44400</v>
      </c>
      <c r="D25" s="125">
        <f>G25</f>
        <v>-0.75</v>
      </c>
      <c r="E25" s="125"/>
      <c r="F25" s="121" t="s">
        <v>12</v>
      </c>
      <c r="G25" s="125">
        <v>-0.75</v>
      </c>
      <c r="H25" s="121" t="s">
        <v>179</v>
      </c>
    </row>
    <row r="26" spans="1:8" s="119" customFormat="1" ht="15.75" customHeight="1" x14ac:dyDescent="0.2">
      <c r="A26" s="121" t="s">
        <v>9</v>
      </c>
      <c r="B26" s="122" t="s">
        <v>1</v>
      </c>
      <c r="C26" s="444">
        <v>44400</v>
      </c>
      <c r="D26" s="125"/>
      <c r="E26" s="125">
        <f>G26</f>
        <v>0.44505899999999998</v>
      </c>
      <c r="F26" s="121" t="s">
        <v>12</v>
      </c>
      <c r="G26" s="125">
        <v>0.44505899999999998</v>
      </c>
      <c r="H26" s="121" t="s">
        <v>180</v>
      </c>
    </row>
    <row r="27" spans="1:8" s="119" customFormat="1" ht="15.75" customHeight="1" x14ac:dyDescent="0.2">
      <c r="A27" s="121" t="s">
        <v>9</v>
      </c>
      <c r="B27" s="122" t="s">
        <v>1</v>
      </c>
      <c r="C27" s="444">
        <v>44554</v>
      </c>
      <c r="D27" s="125">
        <f>G27</f>
        <v>1.7823899999999999</v>
      </c>
      <c r="E27" s="125"/>
      <c r="F27" s="121" t="s">
        <v>12</v>
      </c>
      <c r="G27" s="125">
        <v>1.7823899999999999</v>
      </c>
      <c r="H27" s="121" t="s">
        <v>181</v>
      </c>
    </row>
    <row r="28" spans="1:8" s="119" customFormat="1" ht="15.75" customHeight="1" x14ac:dyDescent="0.2">
      <c r="A28" s="121" t="s">
        <v>9</v>
      </c>
      <c r="B28" s="122" t="s">
        <v>1</v>
      </c>
      <c r="C28" s="444">
        <v>44676</v>
      </c>
      <c r="D28" s="125">
        <f>G28</f>
        <v>-21</v>
      </c>
      <c r="E28" s="125"/>
      <c r="F28" s="121" t="s">
        <v>12</v>
      </c>
      <c r="G28" s="125">
        <v>-21</v>
      </c>
      <c r="H28" s="121" t="s">
        <v>182</v>
      </c>
    </row>
    <row r="29" spans="1:8" s="119" customFormat="1" ht="15.75" customHeight="1" x14ac:dyDescent="0.2">
      <c r="A29" s="116" t="s">
        <v>13</v>
      </c>
      <c r="B29" s="117" t="s">
        <v>186</v>
      </c>
      <c r="C29" s="443">
        <v>44087</v>
      </c>
      <c r="D29" s="118">
        <f>G29*1.1</f>
        <v>-20.917552997000001</v>
      </c>
      <c r="E29" s="186"/>
      <c r="F29" s="116" t="s">
        <v>205</v>
      </c>
      <c r="G29" s="187">
        <v>-19.015957270000001</v>
      </c>
      <c r="H29" s="116" t="s">
        <v>207</v>
      </c>
    </row>
    <row r="30" spans="1:8" s="119" customFormat="1" ht="15.75" customHeight="1" x14ac:dyDescent="0.2">
      <c r="A30" s="116" t="s">
        <v>13</v>
      </c>
      <c r="B30" s="117" t="s">
        <v>186</v>
      </c>
      <c r="C30" s="443">
        <v>44287</v>
      </c>
      <c r="D30" s="118">
        <v>-0.21103182000000001</v>
      </c>
      <c r="E30" s="186"/>
      <c r="F30" s="118" t="s">
        <v>205</v>
      </c>
      <c r="G30" s="187">
        <v>-0.21103182000000001</v>
      </c>
      <c r="H30" s="116" t="s">
        <v>208</v>
      </c>
    </row>
    <row r="31" spans="1:8" s="119" customFormat="1" ht="15.75" customHeight="1" x14ac:dyDescent="0.2">
      <c r="A31" s="116" t="s">
        <v>13</v>
      </c>
      <c r="B31" s="117" t="s">
        <v>186</v>
      </c>
      <c r="C31" s="443">
        <v>44442</v>
      </c>
      <c r="D31" s="118">
        <f>1.18*G31</f>
        <v>-0.23965473139999999</v>
      </c>
      <c r="E31" s="186"/>
      <c r="F31" s="118" t="s">
        <v>205</v>
      </c>
      <c r="G31" s="187">
        <f>-203097.23*10^-6</f>
        <v>-0.20309722999999999</v>
      </c>
      <c r="H31" s="116" t="s">
        <v>254</v>
      </c>
    </row>
    <row r="32" spans="1:8" s="119" customFormat="1" ht="15.75" customHeight="1" x14ac:dyDescent="0.2">
      <c r="A32" s="116" t="s">
        <v>13</v>
      </c>
      <c r="B32" s="117" t="s">
        <v>186</v>
      </c>
      <c r="C32" s="443">
        <v>44623</v>
      </c>
      <c r="D32" s="118">
        <f>1.11*G32</f>
        <v>-0.25893584940000003</v>
      </c>
      <c r="E32" s="186"/>
      <c r="F32" s="118" t="s">
        <v>205</v>
      </c>
      <c r="G32" s="187">
        <f>-233275.54*10^-6</f>
        <v>-0.23327554</v>
      </c>
      <c r="H32" s="116" t="s">
        <v>255</v>
      </c>
    </row>
    <row r="33" spans="1:8" s="119" customFormat="1" ht="15.75" customHeight="1" x14ac:dyDescent="0.2">
      <c r="A33" s="116" t="s">
        <v>13</v>
      </c>
      <c r="B33" s="117" t="s">
        <v>186</v>
      </c>
      <c r="C33" s="443">
        <v>44784</v>
      </c>
      <c r="D33" s="118">
        <f>1.03*G33</f>
        <v>1.5224656599999999E-2</v>
      </c>
      <c r="E33" s="186"/>
      <c r="F33" s="118" t="s">
        <v>205</v>
      </c>
      <c r="G33" s="187">
        <f>14781.22*10^-6</f>
        <v>1.4781219999999999E-2</v>
      </c>
      <c r="H33" s="116" t="s">
        <v>256</v>
      </c>
    </row>
    <row r="34" spans="1:8" s="119" customFormat="1" ht="15.75" customHeight="1" x14ac:dyDescent="0.2">
      <c r="A34" s="116" t="s">
        <v>13</v>
      </c>
      <c r="B34" s="117" t="s">
        <v>168</v>
      </c>
      <c r="C34" s="443">
        <v>44087</v>
      </c>
      <c r="D34" s="118">
        <f>-'Summary | 01 '!K35</f>
        <v>-2.7058823529411762</v>
      </c>
      <c r="E34" s="186"/>
      <c r="F34" s="116" t="s">
        <v>205</v>
      </c>
      <c r="G34" s="187">
        <v>-2.125</v>
      </c>
      <c r="H34" s="116" t="s">
        <v>207</v>
      </c>
    </row>
    <row r="35" spans="1:8" s="119" customFormat="1" ht="15.75" customHeight="1" x14ac:dyDescent="0.2">
      <c r="A35" s="121" t="s">
        <v>13</v>
      </c>
      <c r="B35" s="122" t="s">
        <v>263</v>
      </c>
      <c r="C35" s="444">
        <v>44540</v>
      </c>
      <c r="D35" s="125">
        <f>G35</f>
        <v>-2.8053124999999999</v>
      </c>
      <c r="E35" s="125"/>
      <c r="F35" s="121" t="s">
        <v>12</v>
      </c>
      <c r="G35" s="124">
        <v>-2.8053124999999999</v>
      </c>
      <c r="H35" s="121" t="s">
        <v>17</v>
      </c>
    </row>
    <row r="36" spans="1:8" s="119" customFormat="1" ht="15.75" customHeight="1" x14ac:dyDescent="0.2">
      <c r="A36" s="121" t="s">
        <v>13</v>
      </c>
      <c r="B36" s="122" t="s">
        <v>263</v>
      </c>
      <c r="C36" s="444">
        <v>44602</v>
      </c>
      <c r="D36" s="125">
        <f>G36</f>
        <v>-3.4074999999999998</v>
      </c>
      <c r="E36" s="125"/>
      <c r="F36" s="121" t="s">
        <v>12</v>
      </c>
      <c r="G36" s="124">
        <v>-3.4074999999999998</v>
      </c>
      <c r="H36" s="121" t="s">
        <v>185</v>
      </c>
    </row>
    <row r="37" spans="1:8" s="119" customFormat="1" ht="15.75" customHeight="1" x14ac:dyDescent="0.2">
      <c r="A37" s="121" t="s">
        <v>13</v>
      </c>
      <c r="B37" s="122" t="s">
        <v>263</v>
      </c>
      <c r="C37" s="444">
        <v>44683</v>
      </c>
      <c r="D37" s="125">
        <f>G37</f>
        <v>-1.0257749999999999</v>
      </c>
      <c r="E37" s="125"/>
      <c r="F37" s="121" t="s">
        <v>12</v>
      </c>
      <c r="G37" s="124">
        <v>-1.0257749999999999</v>
      </c>
      <c r="H37" s="121" t="s">
        <v>184</v>
      </c>
    </row>
    <row r="38" spans="1:8" s="119" customFormat="1" ht="15.75" customHeight="1" x14ac:dyDescent="0.2">
      <c r="A38" s="121" t="s">
        <v>13</v>
      </c>
      <c r="B38" s="122" t="s">
        <v>263</v>
      </c>
      <c r="C38" s="444">
        <v>44707</v>
      </c>
      <c r="D38" s="125">
        <f>G38</f>
        <v>-3.3882749999999997</v>
      </c>
      <c r="E38" s="125"/>
      <c r="F38" s="121" t="s">
        <v>12</v>
      </c>
      <c r="G38" s="124">
        <v>-3.3882749999999997</v>
      </c>
      <c r="H38" s="121" t="s">
        <v>171</v>
      </c>
    </row>
  </sheetData>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04496-E958-4595-9993-6EE625849130}">
  <sheetPr>
    <tabColor theme="4" tint="-0.499984740745262"/>
  </sheetPr>
  <dimension ref="B2:AK57"/>
  <sheetViews>
    <sheetView zoomScale="90" zoomScaleNormal="90" workbookViewId="0">
      <selection activeCell="I38" sqref="I38"/>
    </sheetView>
  </sheetViews>
  <sheetFormatPr defaultRowHeight="12" x14ac:dyDescent="0.2"/>
  <cols>
    <col min="1" max="1" width="2.5703125" style="83" customWidth="1"/>
    <col min="2" max="2" width="25.5703125" style="83" bestFit="1" customWidth="1"/>
    <col min="3" max="3" width="16.5703125" style="83" customWidth="1"/>
    <col min="4" max="7" width="13.7109375" style="83" customWidth="1"/>
    <col min="8" max="8" width="10.7109375" style="91" customWidth="1"/>
    <col min="9" max="9" width="8" style="88" customWidth="1"/>
    <col min="10" max="24" width="14.85546875" style="88" customWidth="1"/>
    <col min="25" max="27" width="9.140625" style="83"/>
    <col min="28" max="28" width="19.7109375" style="83" bestFit="1" customWidth="1"/>
    <col min="29" max="30" width="13.28515625" style="83" customWidth="1"/>
    <col min="31" max="31" width="17.140625" style="83" customWidth="1"/>
    <col min="32" max="32" width="19.140625" style="83" customWidth="1"/>
    <col min="33" max="37" width="13.28515625" style="83" customWidth="1"/>
    <col min="38" max="16384" width="9.140625" style="83"/>
  </cols>
  <sheetData>
    <row r="2" spans="2:37" s="166" customFormat="1" ht="43.5" customHeight="1" x14ac:dyDescent="0.45">
      <c r="B2" s="352" t="s">
        <v>315</v>
      </c>
      <c r="C2" s="353"/>
      <c r="D2" s="353"/>
      <c r="E2" s="353"/>
      <c r="F2" s="361"/>
      <c r="G2" s="361"/>
      <c r="H2" s="361"/>
      <c r="I2" s="361"/>
      <c r="J2" s="354"/>
      <c r="K2" s="355"/>
      <c r="L2" s="354"/>
    </row>
    <row r="3" spans="2:37" ht="12.75" thickBot="1" x14ac:dyDescent="0.25"/>
    <row r="4" spans="2:37" s="138" customFormat="1" ht="13.5" thickBot="1" x14ac:dyDescent="0.25">
      <c r="B4" s="277" t="s">
        <v>261</v>
      </c>
      <c r="C4" s="291">
        <f>D!D2</f>
        <v>44834</v>
      </c>
      <c r="J4" s="295" t="s">
        <v>270</v>
      </c>
      <c r="K4" s="296"/>
      <c r="L4" s="296"/>
      <c r="M4" s="296"/>
      <c r="N4" s="296"/>
      <c r="O4" s="296"/>
      <c r="P4" s="129"/>
      <c r="AA4" s="295" t="s">
        <v>265</v>
      </c>
      <c r="AB4" s="296"/>
      <c r="AC4" s="296"/>
      <c r="AD4" s="296"/>
      <c r="AE4" s="296"/>
      <c r="AF4" s="296"/>
    </row>
    <row r="6" spans="2:37" x14ac:dyDescent="0.2">
      <c r="B6" s="97" t="s">
        <v>150</v>
      </c>
    </row>
    <row r="7" spans="2:37" s="98" customFormat="1" ht="36" customHeight="1" x14ac:dyDescent="0.2">
      <c r="B7" s="95" t="s">
        <v>6</v>
      </c>
      <c r="C7" s="96" t="s">
        <v>7</v>
      </c>
      <c r="D7" s="96" t="s">
        <v>151</v>
      </c>
      <c r="E7" s="96" t="s">
        <v>44</v>
      </c>
      <c r="F7" s="97" t="s">
        <v>149</v>
      </c>
      <c r="G7" s="97" t="s">
        <v>251</v>
      </c>
      <c r="H7" s="303"/>
      <c r="I7" s="97"/>
      <c r="J7" s="96" t="s">
        <v>59</v>
      </c>
      <c r="K7" s="96" t="s">
        <v>0</v>
      </c>
      <c r="L7" s="96" t="s">
        <v>50</v>
      </c>
      <c r="M7" s="96" t="s">
        <v>51</v>
      </c>
      <c r="N7" s="96" t="s">
        <v>49</v>
      </c>
      <c r="O7" s="96" t="s">
        <v>142</v>
      </c>
      <c r="P7" s="96" t="s">
        <v>11</v>
      </c>
      <c r="Q7" s="96" t="s">
        <v>24</v>
      </c>
      <c r="R7" s="96" t="s">
        <v>52</v>
      </c>
      <c r="S7" s="96" t="s">
        <v>53</v>
      </c>
      <c r="T7" s="96" t="s">
        <v>54</v>
      </c>
      <c r="U7" s="96" t="s">
        <v>120</v>
      </c>
      <c r="V7" s="96" t="s">
        <v>25</v>
      </c>
      <c r="W7" s="96" t="s">
        <v>143</v>
      </c>
      <c r="X7" s="96" t="s">
        <v>46</v>
      </c>
      <c r="AB7" s="127"/>
      <c r="AC7" s="127" t="s">
        <v>43</v>
      </c>
      <c r="AD7" s="128" t="s">
        <v>2</v>
      </c>
      <c r="AE7" s="128" t="s">
        <v>62</v>
      </c>
      <c r="AF7" s="128" t="s">
        <v>44</v>
      </c>
      <c r="AG7" s="128" t="s">
        <v>249</v>
      </c>
      <c r="AH7" s="128" t="s">
        <v>34</v>
      </c>
      <c r="AI7" s="128" t="s">
        <v>45</v>
      </c>
      <c r="AJ7" s="128" t="s">
        <v>262</v>
      </c>
      <c r="AK7" s="128" t="s">
        <v>152</v>
      </c>
    </row>
    <row r="8" spans="2:37" ht="12.75" x14ac:dyDescent="0.2">
      <c r="AB8" s="268"/>
      <c r="AC8" s="138"/>
      <c r="AD8" s="138"/>
      <c r="AE8" s="138"/>
      <c r="AF8" s="138"/>
      <c r="AG8" s="138"/>
      <c r="AH8" s="272"/>
      <c r="AI8" s="138"/>
      <c r="AJ8" s="138"/>
      <c r="AK8" s="138"/>
    </row>
    <row r="10" spans="2:37" ht="12.75" x14ac:dyDescent="0.2">
      <c r="B10" s="84" t="str">
        <f>'CF (Equity, Debt)'!C4</f>
        <v>Jollychic Holding Limited</v>
      </c>
      <c r="C10" s="85">
        <f>'CF (Equity, Debt)'!D4</f>
        <v>43470</v>
      </c>
      <c r="D10" s="93">
        <f>'CF (Equity, Debt)'!E4</f>
        <v>-30</v>
      </c>
      <c r="E10" s="93"/>
      <c r="F10" s="93"/>
      <c r="G10" s="118">
        <f t="shared" ref="G10:G52" si="0">SUM(D10:F10)</f>
        <v>-30</v>
      </c>
      <c r="H10" s="306" t="str">
        <f>IF(D10='CF (Equity, Debt)'!E4," ", "xxx")</f>
        <v xml:space="preserve"> </v>
      </c>
      <c r="J10" s="93">
        <f>D10</f>
        <v>-30</v>
      </c>
    </row>
    <row r="11" spans="2:37" x14ac:dyDescent="0.2">
      <c r="B11" s="84" t="str">
        <f>'CF (Equity, Debt)'!C5</f>
        <v>Jollychic Holding Limited</v>
      </c>
      <c r="C11" s="85">
        <f>'CF (Equity, Debt)'!D5</f>
        <v>43724</v>
      </c>
      <c r="D11" s="93">
        <f>'CF (Equity, Debt)'!E5</f>
        <v>-20</v>
      </c>
      <c r="E11" s="93"/>
      <c r="F11" s="93"/>
      <c r="G11" s="93">
        <f t="shared" si="0"/>
        <v>-20</v>
      </c>
      <c r="H11" s="306" t="str">
        <f>IF(D11='CF (Equity, Debt)'!E5," ", "xxx")</f>
        <v xml:space="preserve"> </v>
      </c>
      <c r="J11" s="93">
        <f>D11</f>
        <v>-20</v>
      </c>
    </row>
    <row r="12" spans="2:37" ht="12.75" x14ac:dyDescent="0.2">
      <c r="B12" s="84" t="str">
        <f>'CF (Equity, Debt)'!C6</f>
        <v>Jollychic Holding Limited</v>
      </c>
      <c r="C12" s="85">
        <f>'CF (Equity, Debt)'!D6</f>
        <v>43724</v>
      </c>
      <c r="D12" s="93">
        <f>'CF (Equity, Debt)'!E6</f>
        <v>-15</v>
      </c>
      <c r="E12" s="93"/>
      <c r="F12" s="93"/>
      <c r="G12" s="93">
        <f t="shared" si="0"/>
        <v>-15</v>
      </c>
      <c r="H12" s="306" t="str">
        <f>IF(D12='CF (Equity, Debt)'!E6," ", "xxx")</f>
        <v xml:space="preserve"> </v>
      </c>
      <c r="J12" s="93">
        <f>D12</f>
        <v>-15</v>
      </c>
      <c r="AB12" s="86" t="s">
        <v>59</v>
      </c>
      <c r="AC12" s="269">
        <f>'Summary | 01 '!J10</f>
        <v>65</v>
      </c>
      <c r="AD12" s="269">
        <f ca="1">-SUMIF($B$7:$F$103,$AB12,$D$7:$D$103)</f>
        <v>65</v>
      </c>
      <c r="AE12" s="269">
        <f ca="1">AC12-AD12</f>
        <v>0</v>
      </c>
      <c r="AF12" s="269">
        <f ca="1">SUMIF($B$7:$F$103,$AB12,$E$7:$E$103)</f>
        <v>0</v>
      </c>
      <c r="AG12" s="269">
        <f ca="1">SUMIF($B$7:$F$103,$AB12,$F$7:$F$103)</f>
        <v>0</v>
      </c>
      <c r="AH12" s="292" t="str">
        <f t="shared" ref="AH12:AH26" si="1">HLOOKUP(AB12,$J$7:$X$59,48,0)</f>
        <v>NM</v>
      </c>
      <c r="AI12" s="283">
        <f ca="1">(AF12+AG12)/AD12</f>
        <v>0</v>
      </c>
      <c r="AJ12" s="283">
        <f ca="1">AG12/AD12</f>
        <v>0</v>
      </c>
      <c r="AK12" s="283">
        <f ca="1">AF12/AD12</f>
        <v>0</v>
      </c>
    </row>
    <row r="13" spans="2:37" ht="12.75" x14ac:dyDescent="0.2">
      <c r="B13" s="86" t="str">
        <f>'CF (Equity, Debt)'!C7</f>
        <v>Mena Mobile Inc</v>
      </c>
      <c r="C13" s="87">
        <f>'CF (Equity, Debt)'!D7</f>
        <v>43563</v>
      </c>
      <c r="D13" s="94">
        <f>'CF (Equity, Debt)'!E7</f>
        <v>-8</v>
      </c>
      <c r="E13" s="94"/>
      <c r="F13" s="94"/>
      <c r="G13" s="94">
        <f t="shared" si="0"/>
        <v>-8</v>
      </c>
      <c r="H13" s="306" t="str">
        <f>IF(D13='CF (Equity, Debt)'!E7," ", "xxx")</f>
        <v xml:space="preserve"> </v>
      </c>
      <c r="K13" s="94">
        <f>D13</f>
        <v>-8</v>
      </c>
      <c r="AB13" s="84" t="s">
        <v>0</v>
      </c>
      <c r="AC13" s="269">
        <f>'Summary | 01 '!J11</f>
        <v>8</v>
      </c>
      <c r="AD13" s="269">
        <f t="shared" ref="AD13:AD26" ca="1" si="2">-SUMIF($B$7:$F$103,$AB13,$D$7:$D$103)</f>
        <v>8</v>
      </c>
      <c r="AE13" s="269">
        <f t="shared" ref="AE13:AE26" ca="1" si="3">AC13-AD13</f>
        <v>0</v>
      </c>
      <c r="AF13" s="269">
        <f t="shared" ref="AF13:AF26" ca="1" si="4">SUMIF($B$7:$F$103,$AB13,$E$7:$E$103)</f>
        <v>0</v>
      </c>
      <c r="AG13" s="269">
        <f t="shared" ref="AG13:AG26" ca="1" si="5">SUMIF($B$7:$F$103,$AB13,$F$7:$F$103)</f>
        <v>3.1</v>
      </c>
      <c r="AH13" s="292">
        <f t="shared" si="1"/>
        <v>-0.23833895996212962</v>
      </c>
      <c r="AI13" s="283">
        <f t="shared" ref="AI13:AI26" ca="1" si="6">(AF13+AG13)/AD13</f>
        <v>0.38750000000000001</v>
      </c>
      <c r="AJ13" s="283">
        <f t="shared" ref="AJ13:AJ26" ca="1" si="7">AG13/AD13</f>
        <v>0.38750000000000001</v>
      </c>
      <c r="AK13" s="283">
        <f t="shared" ref="AK13:AK26" ca="1" si="8">AF13/AD13</f>
        <v>0</v>
      </c>
    </row>
    <row r="14" spans="2:37" ht="12.75" x14ac:dyDescent="0.2">
      <c r="B14" s="84" t="str">
        <f>'CF (Equity, Debt)'!C8</f>
        <v>Flyr Inc</v>
      </c>
      <c r="C14" s="85">
        <f>'CF (Equity, Debt)'!D8</f>
        <v>43570</v>
      </c>
      <c r="D14" s="93">
        <f>'CF (Equity, Debt)'!E8</f>
        <v>-4.9999980900000001</v>
      </c>
      <c r="E14" s="93"/>
      <c r="F14" s="93"/>
      <c r="G14" s="93">
        <f t="shared" si="0"/>
        <v>-4.9999980900000001</v>
      </c>
      <c r="H14" s="306" t="str">
        <f>IF(D14='CF (Equity, Debt)'!E8," ", "xxx")</f>
        <v xml:space="preserve"> </v>
      </c>
      <c r="L14" s="93">
        <f>D14</f>
        <v>-4.9999980900000001</v>
      </c>
      <c r="AB14" s="86" t="s">
        <v>50</v>
      </c>
      <c r="AC14" s="269">
        <f>'Summary | 01 '!J12</f>
        <v>10</v>
      </c>
      <c r="AD14" s="269">
        <f t="shared" ca="1" si="2"/>
        <v>10</v>
      </c>
      <c r="AE14" s="269">
        <f t="shared" ca="1" si="3"/>
        <v>0</v>
      </c>
      <c r="AF14" s="269">
        <f t="shared" ca="1" si="4"/>
        <v>0</v>
      </c>
      <c r="AG14" s="269">
        <f t="shared" ca="1" si="5"/>
        <v>78.082229999999996</v>
      </c>
      <c r="AH14" s="292">
        <f t="shared" si="1"/>
        <v>0.95566302537918091</v>
      </c>
      <c r="AI14" s="283">
        <f t="shared" ca="1" si="6"/>
        <v>7.8082229999999999</v>
      </c>
      <c r="AJ14" s="283">
        <f t="shared" ca="1" si="7"/>
        <v>7.8082229999999999</v>
      </c>
      <c r="AK14" s="283">
        <f t="shared" ca="1" si="8"/>
        <v>0</v>
      </c>
    </row>
    <row r="15" spans="2:37" ht="12.75" x14ac:dyDescent="0.2">
      <c r="B15" s="84" t="str">
        <f>'CF (Equity, Debt)'!C9</f>
        <v>Flyr Inc</v>
      </c>
      <c r="C15" s="85">
        <f>'CF (Equity, Debt)'!D9</f>
        <v>43915</v>
      </c>
      <c r="D15" s="93">
        <f>'CF (Equity, Debt)'!E9</f>
        <v>-5.0000019099999999</v>
      </c>
      <c r="E15" s="93"/>
      <c r="F15" s="93"/>
      <c r="G15" s="93">
        <f t="shared" si="0"/>
        <v>-5.0000019099999999</v>
      </c>
      <c r="H15" s="306" t="str">
        <f>IF(D15='CF (Equity, Debt)'!E9," ", "xxx")</f>
        <v xml:space="preserve"> </v>
      </c>
      <c r="L15" s="93">
        <f>D15</f>
        <v>-5.0000019099999999</v>
      </c>
      <c r="AB15" s="84" t="s">
        <v>51</v>
      </c>
      <c r="AC15" s="269">
        <f>'Summary | 01 '!J13</f>
        <v>2.5</v>
      </c>
      <c r="AD15" s="269">
        <f t="shared" ca="1" si="2"/>
        <v>2.5</v>
      </c>
      <c r="AE15" s="269">
        <f t="shared" ca="1" si="3"/>
        <v>0</v>
      </c>
      <c r="AF15" s="269">
        <f t="shared" ca="1" si="4"/>
        <v>5</v>
      </c>
      <c r="AG15" s="269">
        <f t="shared" ca="1" si="5"/>
        <v>0</v>
      </c>
      <c r="AH15" s="292">
        <f t="shared" si="1"/>
        <v>0.36091765761375438</v>
      </c>
      <c r="AI15" s="283">
        <f t="shared" ca="1" si="6"/>
        <v>2</v>
      </c>
      <c r="AJ15" s="283">
        <f t="shared" ca="1" si="7"/>
        <v>0</v>
      </c>
      <c r="AK15" s="283">
        <f t="shared" ca="1" si="8"/>
        <v>2</v>
      </c>
    </row>
    <row r="16" spans="2:37" ht="12.75" x14ac:dyDescent="0.2">
      <c r="B16" s="86" t="str">
        <f>'CF (Equity, Debt)'!C10</f>
        <v xml:space="preserve">Esyasoft Holding </v>
      </c>
      <c r="C16" s="87">
        <f>'CF (Equity, Debt)'!D10</f>
        <v>43870</v>
      </c>
      <c r="D16" s="94">
        <f>'CF (Equity, Debt)'!E10</f>
        <v>-2.5</v>
      </c>
      <c r="E16" s="94"/>
      <c r="F16" s="94"/>
      <c r="G16" s="94">
        <f t="shared" si="0"/>
        <v>-2.5</v>
      </c>
      <c r="H16" s="306" t="str">
        <f>IF(D16='CF (Equity, Debt)'!E10," ", "xxx")</f>
        <v xml:space="preserve"> </v>
      </c>
      <c r="M16" s="94">
        <f>D16</f>
        <v>-2.5</v>
      </c>
      <c r="AB16" s="86" t="s">
        <v>49</v>
      </c>
      <c r="AC16" s="269">
        <f>'Summary | 01 '!J14</f>
        <v>90</v>
      </c>
      <c r="AD16" s="269">
        <f t="shared" ca="1" si="2"/>
        <v>90</v>
      </c>
      <c r="AE16" s="269">
        <f t="shared" ca="1" si="3"/>
        <v>0</v>
      </c>
      <c r="AF16" s="269">
        <f t="shared" ca="1" si="4"/>
        <v>0</v>
      </c>
      <c r="AG16" s="269">
        <f t="shared" ca="1" si="5"/>
        <v>91.001540300000002</v>
      </c>
      <c r="AH16" s="292">
        <f t="shared" si="1"/>
        <v>4.6035081148147585E-3</v>
      </c>
      <c r="AI16" s="283">
        <f t="shared" ca="1" si="6"/>
        <v>1.0111282255555556</v>
      </c>
      <c r="AJ16" s="283">
        <f t="shared" ca="1" si="7"/>
        <v>1.0111282255555556</v>
      </c>
      <c r="AK16" s="283">
        <f t="shared" ca="1" si="8"/>
        <v>0</v>
      </c>
    </row>
    <row r="17" spans="2:37" ht="12.75" x14ac:dyDescent="0.2">
      <c r="B17" s="84" t="str">
        <f>'CF (Equity, Debt)'!C11</f>
        <v>Beyond Limits</v>
      </c>
      <c r="C17" s="85">
        <f>'CF (Equity, Debt)'!D11</f>
        <v>43879</v>
      </c>
      <c r="D17" s="93">
        <f>'CF (Equity, Debt)'!E11</f>
        <v>-20</v>
      </c>
      <c r="E17" s="93"/>
      <c r="F17" s="93"/>
      <c r="G17" s="93">
        <f t="shared" si="0"/>
        <v>-20</v>
      </c>
      <c r="H17" s="306" t="str">
        <f>IF(D17='CF (Equity, Debt)'!E11," ", "xxx")</f>
        <v xml:space="preserve"> </v>
      </c>
      <c r="N17" s="93">
        <f>D17</f>
        <v>-20</v>
      </c>
      <c r="AB17" s="84" t="s">
        <v>142</v>
      </c>
      <c r="AC17" s="269">
        <f>'Summary | 01 '!J15</f>
        <v>141.4702596743665</v>
      </c>
      <c r="AD17" s="269">
        <f t="shared" ca="1" si="2"/>
        <v>141.4702596743665</v>
      </c>
      <c r="AE17" s="269">
        <f t="shared" ca="1" si="3"/>
        <v>0</v>
      </c>
      <c r="AF17" s="269">
        <f t="shared" ca="1" si="4"/>
        <v>0</v>
      </c>
      <c r="AG17" s="269">
        <f t="shared" ca="1" si="5"/>
        <v>125.96278579200001</v>
      </c>
      <c r="AH17" s="292">
        <f t="shared" si="1"/>
        <v>-4.9104276299476626E-2</v>
      </c>
      <c r="AI17" s="283">
        <f t="shared" ca="1" si="6"/>
        <v>0.89038350591805449</v>
      </c>
      <c r="AJ17" s="283">
        <f t="shared" ca="1" si="7"/>
        <v>0.89038350591805449</v>
      </c>
      <c r="AK17" s="283">
        <f t="shared" ca="1" si="8"/>
        <v>0</v>
      </c>
    </row>
    <row r="18" spans="2:37" ht="12.75" x14ac:dyDescent="0.2">
      <c r="B18" s="84" t="str">
        <f>'CF (Equity, Debt)'!C12</f>
        <v>Beyond Limits</v>
      </c>
      <c r="C18" s="85">
        <f>'CF (Equity, Debt)'!D12</f>
        <v>43921</v>
      </c>
      <c r="D18" s="93">
        <f>'CF (Equity, Debt)'!E12</f>
        <v>-30</v>
      </c>
      <c r="E18" s="93"/>
      <c r="F18" s="93"/>
      <c r="G18" s="93">
        <f t="shared" si="0"/>
        <v>-30</v>
      </c>
      <c r="H18" s="306" t="str">
        <f>IF(D18='CF (Equity, Debt)'!E12," ", "xxx")</f>
        <v xml:space="preserve"> </v>
      </c>
      <c r="N18" s="93">
        <f>D18</f>
        <v>-30</v>
      </c>
      <c r="AB18" s="86" t="s">
        <v>11</v>
      </c>
      <c r="AC18" s="269">
        <f>'Summary | 01 '!J16</f>
        <v>60</v>
      </c>
      <c r="AD18" s="269">
        <f t="shared" ca="1" si="2"/>
        <v>60</v>
      </c>
      <c r="AE18" s="269">
        <f t="shared" ca="1" si="3"/>
        <v>0</v>
      </c>
      <c r="AF18" s="269">
        <f t="shared" ca="1" si="4"/>
        <v>0</v>
      </c>
      <c r="AG18" s="269">
        <f t="shared" ca="1" si="5"/>
        <v>136.63999999999999</v>
      </c>
      <c r="AH18" s="292">
        <f t="shared" si="1"/>
        <v>0.56783539652824411</v>
      </c>
      <c r="AI18" s="283">
        <f t="shared" ca="1" si="6"/>
        <v>2.277333333333333</v>
      </c>
      <c r="AJ18" s="283">
        <f t="shared" ca="1" si="7"/>
        <v>2.277333333333333</v>
      </c>
      <c r="AK18" s="283">
        <f t="shared" ca="1" si="8"/>
        <v>0</v>
      </c>
    </row>
    <row r="19" spans="2:37" ht="12.75" x14ac:dyDescent="0.2">
      <c r="B19" s="84" t="str">
        <f>'CF (Equity, Debt)'!C13</f>
        <v>Beyond Limits</v>
      </c>
      <c r="C19" s="85">
        <f>'CF (Equity, Debt)'!D13</f>
        <v>43989</v>
      </c>
      <c r="D19" s="93">
        <f>'CF (Equity, Debt)'!E13</f>
        <v>-30</v>
      </c>
      <c r="E19" s="93"/>
      <c r="F19" s="93"/>
      <c r="G19" s="93">
        <f t="shared" si="0"/>
        <v>-30</v>
      </c>
      <c r="H19" s="306" t="str">
        <f>IF(D19='CF (Equity, Debt)'!E13," ", "xxx")</f>
        <v xml:space="preserve"> </v>
      </c>
      <c r="N19" s="93">
        <f>D19</f>
        <v>-30</v>
      </c>
      <c r="AB19" s="84" t="s">
        <v>24</v>
      </c>
      <c r="AC19" s="269">
        <f>'Summary | 01 '!J17</f>
        <v>20</v>
      </c>
      <c r="AD19" s="269">
        <f t="shared" ca="1" si="2"/>
        <v>20</v>
      </c>
      <c r="AE19" s="269">
        <f t="shared" ca="1" si="3"/>
        <v>0</v>
      </c>
      <c r="AF19" s="269">
        <f t="shared" ca="1" si="4"/>
        <v>0</v>
      </c>
      <c r="AG19" s="269">
        <f t="shared" ca="1" si="5"/>
        <v>20</v>
      </c>
      <c r="AH19" s="292">
        <f t="shared" si="1"/>
        <v>2.9802322387695314E-9</v>
      </c>
      <c r="AI19" s="283">
        <f t="shared" ca="1" si="6"/>
        <v>1</v>
      </c>
      <c r="AJ19" s="283">
        <f t="shared" ca="1" si="7"/>
        <v>1</v>
      </c>
      <c r="AK19" s="283">
        <f t="shared" ca="1" si="8"/>
        <v>0</v>
      </c>
    </row>
    <row r="20" spans="2:37" ht="12.75" x14ac:dyDescent="0.2">
      <c r="B20" s="84" t="str">
        <f>'CF (Equity, Debt)'!C14</f>
        <v>Beyond Limits</v>
      </c>
      <c r="C20" s="85">
        <f>'CF (Equity, Debt)'!D14</f>
        <v>44103</v>
      </c>
      <c r="D20" s="93">
        <f>'CF (Equity, Debt)'!E14</f>
        <v>-10</v>
      </c>
      <c r="E20" s="93"/>
      <c r="F20" s="93"/>
      <c r="G20" s="93">
        <f t="shared" si="0"/>
        <v>-10</v>
      </c>
      <c r="H20" s="306" t="str">
        <f>IF(D20='CF (Equity, Debt)'!E14," ", "xxx")</f>
        <v xml:space="preserve"> </v>
      </c>
      <c r="N20" s="93">
        <f>D20</f>
        <v>-10</v>
      </c>
      <c r="AB20" s="86" t="s">
        <v>52</v>
      </c>
      <c r="AC20" s="269">
        <f>'Summary | 01 '!J18</f>
        <v>40</v>
      </c>
      <c r="AD20" s="269">
        <f t="shared" ca="1" si="2"/>
        <v>39.999983359999995</v>
      </c>
      <c r="AE20" s="269">
        <f t="shared" ca="1" si="3"/>
        <v>1.6640000005452293E-5</v>
      </c>
      <c r="AF20" s="269">
        <f t="shared" ca="1" si="4"/>
        <v>0</v>
      </c>
      <c r="AG20" s="269">
        <f t="shared" ca="1" si="5"/>
        <v>39.999983359999995</v>
      </c>
      <c r="AH20" s="292">
        <f t="shared" si="1"/>
        <v>2.9802322387695314E-9</v>
      </c>
      <c r="AI20" s="283">
        <f t="shared" ca="1" si="6"/>
        <v>1</v>
      </c>
      <c r="AJ20" s="283">
        <f t="shared" ca="1" si="7"/>
        <v>1</v>
      </c>
      <c r="AK20" s="283">
        <f t="shared" ca="1" si="8"/>
        <v>0</v>
      </c>
    </row>
    <row r="21" spans="2:37" ht="12.75" x14ac:dyDescent="0.2">
      <c r="B21" s="86" t="str">
        <f>'CF (Equity, Debt)'!C15</f>
        <v>ONT plc</v>
      </c>
      <c r="C21" s="87">
        <f>'CF (Equity, Debt)'!D15</f>
        <v>43968</v>
      </c>
      <c r="D21" s="94">
        <f>'CF (Equity, Debt)'!E15</f>
        <v>-50</v>
      </c>
      <c r="E21" s="94"/>
      <c r="F21" s="94"/>
      <c r="G21" s="94">
        <f t="shared" si="0"/>
        <v>-50</v>
      </c>
      <c r="H21" s="306" t="str">
        <f>IF(D21='CF (Equity, Debt)'!E15," ", "xxx")</f>
        <v xml:space="preserve"> </v>
      </c>
      <c r="O21" s="94">
        <f>D21</f>
        <v>-50</v>
      </c>
      <c r="AB21" s="84" t="s">
        <v>53</v>
      </c>
      <c r="AC21" s="269">
        <f>'Summary | 01 '!J19</f>
        <v>3</v>
      </c>
      <c r="AD21" s="269">
        <f t="shared" ca="1" si="2"/>
        <v>3</v>
      </c>
      <c r="AE21" s="269">
        <f t="shared" ca="1" si="3"/>
        <v>0</v>
      </c>
      <c r="AF21" s="269">
        <f t="shared" ca="1" si="4"/>
        <v>0</v>
      </c>
      <c r="AG21" s="269">
        <f t="shared" ca="1" si="5"/>
        <v>3</v>
      </c>
      <c r="AH21" s="292">
        <f t="shared" si="1"/>
        <v>2.9802322387695314E-9</v>
      </c>
      <c r="AI21" s="283">
        <f t="shared" ca="1" si="6"/>
        <v>1</v>
      </c>
      <c r="AJ21" s="283">
        <f t="shared" ca="1" si="7"/>
        <v>1</v>
      </c>
      <c r="AK21" s="283">
        <f t="shared" ca="1" si="8"/>
        <v>0</v>
      </c>
    </row>
    <row r="22" spans="2:37" ht="12.75" x14ac:dyDescent="0.2">
      <c r="B22" s="86" t="str">
        <f>'CF (Equity, Debt)'!C16</f>
        <v>ONT plc</v>
      </c>
      <c r="C22" s="87">
        <f>'CF (Equity, Debt)'!D16</f>
        <v>44006</v>
      </c>
      <c r="D22" s="94">
        <f>'CF (Equity, Debt)'!E16</f>
        <v>-27.268350856443721</v>
      </c>
      <c r="E22" s="94"/>
      <c r="F22" s="94"/>
      <c r="G22" s="94">
        <f t="shared" si="0"/>
        <v>-27.268350856443721</v>
      </c>
      <c r="H22" s="306" t="str">
        <f>IF(D22='CF (Equity, Debt)'!E16," ", "xxx")</f>
        <v xml:space="preserve"> </v>
      </c>
      <c r="O22" s="94">
        <f>D22</f>
        <v>-27.268350856443721</v>
      </c>
      <c r="AB22" s="86" t="s">
        <v>54</v>
      </c>
      <c r="AC22" s="269">
        <f>'Summary | 01 '!J20</f>
        <v>5.0278211945578235</v>
      </c>
      <c r="AD22" s="269">
        <f t="shared" ca="1" si="2"/>
        <v>5.0237201984774336</v>
      </c>
      <c r="AE22" s="269">
        <f t="shared" ca="1" si="3"/>
        <v>4.1009960803899403E-3</v>
      </c>
      <c r="AF22" s="269">
        <f t="shared" ca="1" si="4"/>
        <v>0</v>
      </c>
      <c r="AG22" s="269">
        <f t="shared" ca="1" si="5"/>
        <v>5.0237201984774336</v>
      </c>
      <c r="AH22" s="292">
        <f t="shared" si="1"/>
        <v>2.9802322387695314E-9</v>
      </c>
      <c r="AI22" s="283">
        <f t="shared" ca="1" si="6"/>
        <v>1</v>
      </c>
      <c r="AJ22" s="283">
        <f t="shared" ca="1" si="7"/>
        <v>1</v>
      </c>
      <c r="AK22" s="283">
        <f t="shared" ca="1" si="8"/>
        <v>0</v>
      </c>
    </row>
    <row r="23" spans="2:37" ht="12.75" x14ac:dyDescent="0.2">
      <c r="B23" s="86" t="str">
        <f>'CF (Equity, Debt)'!C17</f>
        <v>ONT plc</v>
      </c>
      <c r="C23" s="87">
        <f>'CF (Equity, Debt)'!D17</f>
        <v>43837</v>
      </c>
      <c r="D23" s="94">
        <f>'CF (Equity, Debt)'!E17</f>
        <v>-18.109441299619355</v>
      </c>
      <c r="E23" s="94"/>
      <c r="F23" s="94"/>
      <c r="G23" s="94">
        <f t="shared" si="0"/>
        <v>-18.109441299619355</v>
      </c>
      <c r="H23" s="306" t="str">
        <f>IF(D23='CF (Equity, Debt)'!E17," ", "xxx")</f>
        <v xml:space="preserve"> </v>
      </c>
      <c r="O23" s="94">
        <f>D23</f>
        <v>-18.109441299619355</v>
      </c>
      <c r="AB23" s="84" t="s">
        <v>120</v>
      </c>
      <c r="AC23" s="269">
        <f>'Summary | 01 '!J21</f>
        <v>493.5</v>
      </c>
      <c r="AD23" s="269">
        <f t="shared" ca="1" si="2"/>
        <v>493.50095619999996</v>
      </c>
      <c r="AE23" s="269">
        <f t="shared" ca="1" si="3"/>
        <v>-9.5619999996188199E-4</v>
      </c>
      <c r="AF23" s="269">
        <f t="shared" ca="1" si="4"/>
        <v>0</v>
      </c>
      <c r="AG23" s="269">
        <f t="shared" ca="1" si="5"/>
        <v>493.50095619999996</v>
      </c>
      <c r="AH23" s="292">
        <f t="shared" si="1"/>
        <v>2.9802322387695314E-9</v>
      </c>
      <c r="AI23" s="283">
        <f t="shared" ca="1" si="6"/>
        <v>1</v>
      </c>
      <c r="AJ23" s="283">
        <f t="shared" ca="1" si="7"/>
        <v>1</v>
      </c>
      <c r="AK23" s="283">
        <f t="shared" ca="1" si="8"/>
        <v>0</v>
      </c>
    </row>
    <row r="24" spans="2:37" ht="12.75" x14ac:dyDescent="0.2">
      <c r="B24" s="86" t="str">
        <f>'CF (Equity, Debt)'!C18</f>
        <v>ONT plc</v>
      </c>
      <c r="C24" s="87">
        <f>'CF (Equity, Debt)'!D18</f>
        <v>43990</v>
      </c>
      <c r="D24" s="94">
        <f>'CF (Equity, Debt)'!E18</f>
        <v>-34.851687094159864</v>
      </c>
      <c r="E24" s="94"/>
      <c r="F24" s="94"/>
      <c r="G24" s="94">
        <f t="shared" si="0"/>
        <v>-34.851687094159864</v>
      </c>
      <c r="H24" s="306" t="str">
        <f>IF(D24='CF (Equity, Debt)'!E18," ", "xxx")</f>
        <v xml:space="preserve"> </v>
      </c>
      <c r="O24" s="94">
        <f>D24</f>
        <v>-34.851687094159864</v>
      </c>
      <c r="AB24" s="86" t="s">
        <v>25</v>
      </c>
      <c r="AC24" s="269">
        <f>'Summary | 01 '!J22</f>
        <v>300</v>
      </c>
      <c r="AD24" s="269">
        <f t="shared" ca="1" si="2"/>
        <v>300</v>
      </c>
      <c r="AE24" s="269">
        <f t="shared" ca="1" si="3"/>
        <v>0</v>
      </c>
      <c r="AF24" s="269">
        <f t="shared" ca="1" si="4"/>
        <v>0</v>
      </c>
      <c r="AG24" s="269">
        <f t="shared" ca="1" si="5"/>
        <v>300</v>
      </c>
      <c r="AH24" s="292">
        <f t="shared" si="1"/>
        <v>2.9802322387695314E-9</v>
      </c>
      <c r="AI24" s="283">
        <f t="shared" ca="1" si="6"/>
        <v>1</v>
      </c>
      <c r="AJ24" s="283">
        <f t="shared" ca="1" si="7"/>
        <v>1</v>
      </c>
      <c r="AK24" s="283">
        <f t="shared" ca="1" si="8"/>
        <v>0</v>
      </c>
    </row>
    <row r="25" spans="2:37" ht="12.75" x14ac:dyDescent="0.2">
      <c r="B25" s="86" t="str">
        <f>'CF (Equity, Debt)'!C19</f>
        <v>ONT plc</v>
      </c>
      <c r="C25" s="87">
        <f>'CF (Equity, Debt)'!D19</f>
        <v>44315</v>
      </c>
      <c r="D25" s="94">
        <f>'CF (Equity, Debt)'!E19</f>
        <v>-11.240780424143557</v>
      </c>
      <c r="E25" s="94"/>
      <c r="F25" s="94"/>
      <c r="G25" s="94">
        <f t="shared" si="0"/>
        <v>-11.240780424143557</v>
      </c>
      <c r="H25" s="306" t="str">
        <f>IF(D25='CF (Equity, Debt)'!E19," ", "xxx")</f>
        <v xml:space="preserve"> </v>
      </c>
      <c r="O25" s="94">
        <f>D25</f>
        <v>-11.240780424143557</v>
      </c>
      <c r="AB25" s="84" t="s">
        <v>143</v>
      </c>
      <c r="AC25" s="269">
        <f>'Summary | 01 '!J23</f>
        <v>25</v>
      </c>
      <c r="AD25" s="269">
        <f t="shared" ca="1" si="2"/>
        <v>12.5</v>
      </c>
      <c r="AE25" s="269">
        <f t="shared" ca="1" si="3"/>
        <v>12.5</v>
      </c>
      <c r="AF25" s="269">
        <f t="shared" ca="1" si="4"/>
        <v>0</v>
      </c>
      <c r="AG25" s="269">
        <f t="shared" ca="1" si="5"/>
        <v>-2.4253142200000006</v>
      </c>
      <c r="AH25" s="292" t="str">
        <f t="shared" si="1"/>
        <v>NM</v>
      </c>
      <c r="AI25" s="283">
        <f t="shared" ca="1" si="6"/>
        <v>-0.19402513760000006</v>
      </c>
      <c r="AJ25" s="283">
        <f t="shared" ca="1" si="7"/>
        <v>-0.19402513760000006</v>
      </c>
      <c r="AK25" s="283">
        <f t="shared" ca="1" si="8"/>
        <v>0</v>
      </c>
    </row>
    <row r="26" spans="2:37" ht="12.75" x14ac:dyDescent="0.2">
      <c r="B26" s="84" t="str">
        <f>'CF (Equity, Debt)'!C20</f>
        <v>Heygears</v>
      </c>
      <c r="C26" s="85">
        <f>'CF (Equity, Debt)'!D20</f>
        <v>44166</v>
      </c>
      <c r="D26" s="93">
        <f>'CF (Equity, Debt)'!E20</f>
        <v>-60</v>
      </c>
      <c r="E26" s="93"/>
      <c r="F26" s="93"/>
      <c r="G26" s="93">
        <f t="shared" si="0"/>
        <v>-60</v>
      </c>
      <c r="H26" s="306" t="str">
        <f>IF(D26='CF (Equity, Debt)'!E20," ", "xxx")</f>
        <v xml:space="preserve"> </v>
      </c>
      <c r="P26" s="93">
        <f>D26</f>
        <v>-60</v>
      </c>
      <c r="AB26" s="86" t="s">
        <v>46</v>
      </c>
      <c r="AC26" s="269">
        <f ca="1">'Summary | 01 '!J24</f>
        <v>800</v>
      </c>
      <c r="AD26" s="269">
        <f t="shared" ca="1" si="2"/>
        <v>800</v>
      </c>
      <c r="AE26" s="269">
        <f t="shared" ca="1" si="3"/>
        <v>0</v>
      </c>
      <c r="AF26" s="269">
        <f t="shared" ca="1" si="4"/>
        <v>0</v>
      </c>
      <c r="AG26" s="269">
        <f t="shared" ca="1" si="5"/>
        <v>860.46271279030282</v>
      </c>
      <c r="AH26" s="292" t="str">
        <f t="shared" si="1"/>
        <v>NM</v>
      </c>
      <c r="AI26" s="283">
        <f t="shared" ca="1" si="6"/>
        <v>1.0755783909878784</v>
      </c>
      <c r="AJ26" s="283">
        <f t="shared" ca="1" si="7"/>
        <v>1.0755783909878784</v>
      </c>
      <c r="AK26" s="283">
        <f t="shared" ca="1" si="8"/>
        <v>0</v>
      </c>
    </row>
    <row r="27" spans="2:37" x14ac:dyDescent="0.2">
      <c r="B27" s="86" t="str">
        <f>'CF (Equity, Debt)'!C21</f>
        <v>Jysan Technologies</v>
      </c>
      <c r="C27" s="87">
        <f>'CF (Equity, Debt)'!D21</f>
        <v>44363</v>
      </c>
      <c r="D27" s="94">
        <f>'CF (Equity, Debt)'!E21</f>
        <v>-20</v>
      </c>
      <c r="E27" s="94"/>
      <c r="F27" s="94"/>
      <c r="G27" s="94">
        <f t="shared" si="0"/>
        <v>-20</v>
      </c>
      <c r="H27" s="306" t="str">
        <f>IF(D27='CF (Equity, Debt)'!E21," ", "xxx")</f>
        <v xml:space="preserve"> </v>
      </c>
      <c r="Q27" s="94">
        <f>D27</f>
        <v>-20</v>
      </c>
    </row>
    <row r="28" spans="2:37" ht="12.75" x14ac:dyDescent="0.2">
      <c r="B28" s="84" t="str">
        <f>'CF (Equity, Debt)'!C22</f>
        <v>Cerebras Systems Inc</v>
      </c>
      <c r="C28" s="85">
        <f>'CF (Equity, Debt)'!D22</f>
        <v>44488</v>
      </c>
      <c r="D28" s="93">
        <f>'CF (Equity, Debt)'!E22</f>
        <v>-39.999983359999995</v>
      </c>
      <c r="E28" s="93"/>
      <c r="F28" s="93"/>
      <c r="G28" s="93">
        <f t="shared" si="0"/>
        <v>-39.999983359999995</v>
      </c>
      <c r="H28" s="306" t="str">
        <f>IF(D28='CF (Equity, Debt)'!E22," ", "xxx")</f>
        <v xml:space="preserve"> </v>
      </c>
      <c r="R28" s="93">
        <f>D28</f>
        <v>-39.999983359999995</v>
      </c>
      <c r="AB28" s="280"/>
      <c r="AC28" s="282">
        <f ca="1">SUM(AC12:AC27)</f>
        <v>2063.4980808689243</v>
      </c>
      <c r="AD28" s="282">
        <f t="shared" ref="AD28:AG28" ca="1" si="9">SUM(AD12:AD27)</f>
        <v>2050.9949194328437</v>
      </c>
      <c r="AE28" s="282">
        <f t="shared" ca="1" si="9"/>
        <v>12.503161436080433</v>
      </c>
      <c r="AF28" s="282">
        <f t="shared" ca="1" si="9"/>
        <v>5</v>
      </c>
      <c r="AG28" s="282">
        <f t="shared" ca="1" si="9"/>
        <v>2154.34861442078</v>
      </c>
      <c r="AH28" s="293">
        <f>AC35</f>
        <v>6.4125332236289967E-2</v>
      </c>
      <c r="AI28" s="284">
        <f ca="1">(AF28+AG28)/AD28</f>
        <v>1.0528298212547007</v>
      </c>
      <c r="AJ28" s="284">
        <f ca="1">AG28/AD28</f>
        <v>1.0503919800135422</v>
      </c>
      <c r="AK28" s="284">
        <f ca="1">AF28/AD28</f>
        <v>2.4378412411585285E-3</v>
      </c>
    </row>
    <row r="29" spans="2:37" x14ac:dyDescent="0.2">
      <c r="B29" s="86" t="str">
        <f>'CF (Equity, Debt)'!C23</f>
        <v>Endless Studios LLC</v>
      </c>
      <c r="C29" s="87">
        <f>'CF (Equity, Debt)'!D23</f>
        <v>44494</v>
      </c>
      <c r="D29" s="94">
        <f>'CF (Equity, Debt)'!E23</f>
        <v>-3</v>
      </c>
      <c r="E29" s="94"/>
      <c r="F29" s="94"/>
      <c r="G29" s="94">
        <f t="shared" si="0"/>
        <v>-3</v>
      </c>
      <c r="H29" s="306" t="str">
        <f>IF(D29='CF (Equity, Debt)'!E23," ", "xxx")</f>
        <v xml:space="preserve"> </v>
      </c>
      <c r="S29" s="94">
        <f>D29</f>
        <v>-3</v>
      </c>
    </row>
    <row r="30" spans="2:37" x14ac:dyDescent="0.2">
      <c r="B30" s="84" t="str">
        <f>'CF (Equity, Debt)'!C24</f>
        <v>Instadeep Limited</v>
      </c>
      <c r="C30" s="85">
        <f>'CF (Equity, Debt)'!D24</f>
        <v>44550</v>
      </c>
      <c r="D30" s="93">
        <f>'CF (Equity, Debt)'!E24</f>
        <v>-5.0237201984774336</v>
      </c>
      <c r="E30" s="93"/>
      <c r="F30" s="93"/>
      <c r="G30" s="93">
        <f t="shared" si="0"/>
        <v>-5.0237201984774336</v>
      </c>
      <c r="H30" s="306" t="str">
        <f>IF(D30='CF (Equity, Debt)'!E24," ", "xxx")</f>
        <v xml:space="preserve"> </v>
      </c>
      <c r="T30" s="93">
        <f>D30</f>
        <v>-5.0237201984774336</v>
      </c>
    </row>
    <row r="31" spans="2:37" x14ac:dyDescent="0.2">
      <c r="B31" s="86" t="str">
        <f>'CF (Equity, Debt)'!C25</f>
        <v>X-fusion</v>
      </c>
      <c r="C31" s="87">
        <f>'CF (Equity, Debt)'!D25</f>
        <v>44574</v>
      </c>
      <c r="D31" s="94">
        <f>'CF (Equity, Debt)'!E25</f>
        <v>-493.50095619999996</v>
      </c>
      <c r="E31" s="94"/>
      <c r="F31" s="94"/>
      <c r="G31" s="94">
        <f t="shared" si="0"/>
        <v>-493.50095619999996</v>
      </c>
      <c r="H31" s="306" t="str">
        <f>IF(D31='CF (Equity, Debt)'!E25," ", "xxx")</f>
        <v xml:space="preserve"> </v>
      </c>
      <c r="U31" s="94">
        <f>D31</f>
        <v>-493.50095619999996</v>
      </c>
    </row>
    <row r="32" spans="2:37" x14ac:dyDescent="0.2">
      <c r="B32" s="84" t="str">
        <f>'CF (Equity, Debt)'!C26</f>
        <v>DriveNets</v>
      </c>
      <c r="C32" s="85">
        <f>'CF (Equity, Debt)'!D26</f>
        <v>44643</v>
      </c>
      <c r="D32" s="93">
        <f>'CF (Equity, Debt)'!E26</f>
        <v>-200</v>
      </c>
      <c r="E32" s="93"/>
      <c r="F32" s="93"/>
      <c r="G32" s="93">
        <f t="shared" si="0"/>
        <v>-200</v>
      </c>
      <c r="H32" s="306" t="str">
        <f>IF(D32='CF (Equity, Debt)'!E26," ", "xxx")</f>
        <v xml:space="preserve"> </v>
      </c>
      <c r="V32" s="93">
        <f>D32</f>
        <v>-200</v>
      </c>
    </row>
    <row r="33" spans="2:30" x14ac:dyDescent="0.2">
      <c r="B33" s="84" t="str">
        <f>'CF (Equity, Debt)'!C27</f>
        <v>DriveNets</v>
      </c>
      <c r="C33" s="85">
        <f>'CF (Equity, Debt)'!D27</f>
        <v>44680</v>
      </c>
      <c r="D33" s="93">
        <f>'CF (Equity, Debt)'!E27</f>
        <v>-100</v>
      </c>
      <c r="E33" s="93"/>
      <c r="F33" s="93"/>
      <c r="G33" s="93">
        <f t="shared" si="0"/>
        <v>-100</v>
      </c>
      <c r="H33" s="306" t="str">
        <f>IF(D33='CF (Equity, Debt)'!E27," ", "xxx")</f>
        <v xml:space="preserve"> </v>
      </c>
      <c r="V33" s="93">
        <f>D33</f>
        <v>-100</v>
      </c>
    </row>
    <row r="34" spans="2:30" ht="12.75" x14ac:dyDescent="0.2">
      <c r="B34" s="86" t="str">
        <f>'CF (Equity, Debt)'!C28</f>
        <v xml:space="preserve">Esyasoft Holding </v>
      </c>
      <c r="C34" s="87">
        <f>'CF (Equity, Debt)'!D28</f>
        <v>44691</v>
      </c>
      <c r="D34" s="94">
        <f>'CF (Equity, Debt)'!E28</f>
        <v>0</v>
      </c>
      <c r="E34" s="94">
        <v>5</v>
      </c>
      <c r="F34" s="94"/>
      <c r="G34" s="94">
        <f t="shared" si="0"/>
        <v>5</v>
      </c>
      <c r="H34" s="306" t="str">
        <f>IF(D34='CF (Equity, Debt)'!E28," ", "xxx")</f>
        <v xml:space="preserve"> </v>
      </c>
      <c r="M34" s="99">
        <f>E34</f>
        <v>5</v>
      </c>
      <c r="AB34" s="138"/>
      <c r="AC34" s="138"/>
      <c r="AD34" s="138"/>
    </row>
    <row r="35" spans="2:30" ht="12.75" x14ac:dyDescent="0.2">
      <c r="B35" s="86" t="str">
        <f>'CF (Equity, Debt)'!C29</f>
        <v>vTv Therapeutics Inc.</v>
      </c>
      <c r="C35" s="87">
        <f>'CF (Equity, Debt)'!D29</f>
        <v>44712</v>
      </c>
      <c r="D35" s="94">
        <f>'CF (Equity, Debt)'!E29</f>
        <v>-12.5</v>
      </c>
      <c r="E35" s="94"/>
      <c r="F35" s="94"/>
      <c r="G35" s="94">
        <f t="shared" si="0"/>
        <v>-12.5</v>
      </c>
      <c r="H35" s="306" t="str">
        <f>IF(D35='CF (Equity, Debt)'!E29," ", "xxx")</f>
        <v xml:space="preserve"> </v>
      </c>
      <c r="W35" s="94">
        <f>D35</f>
        <v>-12.5</v>
      </c>
      <c r="AB35" s="273" t="s">
        <v>250</v>
      </c>
      <c r="AC35" s="288">
        <f>XIRR(G10:G52,C10:C52)</f>
        <v>6.4125332236289967E-2</v>
      </c>
      <c r="AD35" s="138"/>
    </row>
    <row r="36" spans="2:30" ht="12.75" x14ac:dyDescent="0.2">
      <c r="B36" s="84" t="str">
        <f>'CF (Equity, Debt)'!C30</f>
        <v>Honor Device Co Ltd</v>
      </c>
      <c r="C36" s="85">
        <f>'CF (Equity, Debt)'!D30</f>
        <v>44769</v>
      </c>
      <c r="D36" s="93">
        <f>'CF (Equity, Debt)'!E30</f>
        <v>-800</v>
      </c>
      <c r="E36" s="93"/>
      <c r="F36" s="93"/>
      <c r="G36" s="93">
        <f t="shared" si="0"/>
        <v>-800</v>
      </c>
      <c r="H36" s="306" t="str">
        <f>IF(D36='CF (Equity, Debt)'!E30," ", "xxx")</f>
        <v xml:space="preserve"> </v>
      </c>
      <c r="X36" s="93">
        <f>D36</f>
        <v>-800</v>
      </c>
      <c r="AB36" s="274" t="s">
        <v>45</v>
      </c>
      <c r="AC36" s="289">
        <f ca="1">SUM(AF12:AG26)/SUM(AD12:AD26)</f>
        <v>1.0528298212547007</v>
      </c>
      <c r="AD36" s="138"/>
    </row>
    <row r="37" spans="2:30" ht="12.75" x14ac:dyDescent="0.2">
      <c r="AB37" s="274" t="s">
        <v>252</v>
      </c>
      <c r="AC37" s="289">
        <f ca="1">SUM(AG12:AG26)/SUM(AD12:AD26)</f>
        <v>1.0503919800135422</v>
      </c>
      <c r="AD37" s="138"/>
    </row>
    <row r="38" spans="2:30" ht="12.75" x14ac:dyDescent="0.2">
      <c r="B38" s="86" t="s">
        <v>59</v>
      </c>
      <c r="C38" s="87">
        <f>$C$4</f>
        <v>44834</v>
      </c>
      <c r="D38" s="94"/>
      <c r="E38" s="94"/>
      <c r="F38" s="94">
        <f>NAV!D9</f>
        <v>0</v>
      </c>
      <c r="G38" s="94">
        <f t="shared" si="0"/>
        <v>0</v>
      </c>
      <c r="H38" s="304"/>
      <c r="J38" s="99">
        <f>F38</f>
        <v>0</v>
      </c>
      <c r="AB38" s="275" t="s">
        <v>152</v>
      </c>
      <c r="AC38" s="290">
        <f ca="1">SUM(AF12:AF26)/SUM(AD12:AD26)</f>
        <v>2.4378412411585285E-3</v>
      </c>
      <c r="AD38" s="138"/>
    </row>
    <row r="39" spans="2:30" ht="12.75" x14ac:dyDescent="0.2">
      <c r="B39" s="84" t="s">
        <v>0</v>
      </c>
      <c r="C39" s="85">
        <f t="shared" ref="C39:C52" si="10">$C$4</f>
        <v>44834</v>
      </c>
      <c r="D39" s="93"/>
      <c r="E39" s="93"/>
      <c r="F39" s="93">
        <f>NAV!D10</f>
        <v>3.1</v>
      </c>
      <c r="G39" s="93">
        <f t="shared" si="0"/>
        <v>3.1</v>
      </c>
      <c r="H39" s="304"/>
      <c r="K39" s="99">
        <f>F39</f>
        <v>3.1</v>
      </c>
      <c r="AB39" s="138"/>
      <c r="AC39" s="138"/>
      <c r="AD39" s="138"/>
    </row>
    <row r="40" spans="2:30" x14ac:dyDescent="0.2">
      <c r="B40" s="86" t="s">
        <v>50</v>
      </c>
      <c r="C40" s="87">
        <f t="shared" si="10"/>
        <v>44834</v>
      </c>
      <c r="D40" s="94"/>
      <c r="E40" s="94"/>
      <c r="F40" s="94">
        <f>NAV!D11</f>
        <v>78.082229999999996</v>
      </c>
      <c r="G40" s="94">
        <f t="shared" si="0"/>
        <v>78.082229999999996</v>
      </c>
      <c r="H40" s="304"/>
      <c r="L40" s="99">
        <f>F40</f>
        <v>78.082229999999996</v>
      </c>
    </row>
    <row r="41" spans="2:30" x14ac:dyDescent="0.2">
      <c r="B41" s="84" t="s">
        <v>51</v>
      </c>
      <c r="C41" s="85">
        <f t="shared" si="10"/>
        <v>44834</v>
      </c>
      <c r="D41" s="93"/>
      <c r="E41" s="93"/>
      <c r="F41" s="93">
        <f>NAV!D12</f>
        <v>0</v>
      </c>
      <c r="G41" s="93">
        <f t="shared" si="0"/>
        <v>0</v>
      </c>
      <c r="H41" s="304"/>
      <c r="M41" s="99"/>
    </row>
    <row r="42" spans="2:30" x14ac:dyDescent="0.2">
      <c r="B42" s="86" t="s">
        <v>49</v>
      </c>
      <c r="C42" s="87">
        <f t="shared" si="10"/>
        <v>44834</v>
      </c>
      <c r="D42" s="94"/>
      <c r="E42" s="94"/>
      <c r="F42" s="94">
        <f>NAV!D13</f>
        <v>91.001540300000002</v>
      </c>
      <c r="G42" s="94">
        <f t="shared" si="0"/>
        <v>91.001540300000002</v>
      </c>
      <c r="H42" s="304"/>
      <c r="N42" s="99">
        <f>F42</f>
        <v>91.001540300000002</v>
      </c>
    </row>
    <row r="43" spans="2:30" x14ac:dyDescent="0.2">
      <c r="B43" s="84" t="s">
        <v>142</v>
      </c>
      <c r="C43" s="85">
        <f t="shared" si="10"/>
        <v>44834</v>
      </c>
      <c r="D43" s="93"/>
      <c r="E43" s="93"/>
      <c r="F43" s="93">
        <f>NAV!D14</f>
        <v>125.96278579200001</v>
      </c>
      <c r="G43" s="93">
        <f t="shared" si="0"/>
        <v>125.96278579200001</v>
      </c>
      <c r="H43" s="304"/>
      <c r="O43" s="99">
        <f>F43</f>
        <v>125.96278579200001</v>
      </c>
    </row>
    <row r="44" spans="2:30" x14ac:dyDescent="0.2">
      <c r="B44" s="86" t="s">
        <v>11</v>
      </c>
      <c r="C44" s="87">
        <f t="shared" si="10"/>
        <v>44834</v>
      </c>
      <c r="D44" s="94"/>
      <c r="E44" s="94"/>
      <c r="F44" s="94">
        <f>NAV!D15</f>
        <v>136.63999999999999</v>
      </c>
      <c r="G44" s="94">
        <f t="shared" si="0"/>
        <v>136.63999999999999</v>
      </c>
      <c r="H44" s="304"/>
      <c r="P44" s="99">
        <f>F44</f>
        <v>136.63999999999999</v>
      </c>
    </row>
    <row r="45" spans="2:30" x14ac:dyDescent="0.2">
      <c r="B45" s="84" t="s">
        <v>24</v>
      </c>
      <c r="C45" s="85">
        <f t="shared" si="10"/>
        <v>44834</v>
      </c>
      <c r="D45" s="93"/>
      <c r="E45" s="93"/>
      <c r="F45" s="93">
        <f>NAV!D16</f>
        <v>20</v>
      </c>
      <c r="G45" s="93">
        <f t="shared" si="0"/>
        <v>20</v>
      </c>
      <c r="H45" s="304"/>
      <c r="Q45" s="99">
        <f>F45</f>
        <v>20</v>
      </c>
    </row>
    <row r="46" spans="2:30" x14ac:dyDescent="0.2">
      <c r="B46" s="86" t="s">
        <v>52</v>
      </c>
      <c r="C46" s="87">
        <f t="shared" si="10"/>
        <v>44834</v>
      </c>
      <c r="D46" s="94"/>
      <c r="E46" s="94"/>
      <c r="F46" s="94">
        <f>NAV!D17</f>
        <v>39.999983359999995</v>
      </c>
      <c r="G46" s="94">
        <f t="shared" si="0"/>
        <v>39.999983359999995</v>
      </c>
      <c r="H46" s="304"/>
      <c r="R46" s="99">
        <f>F46</f>
        <v>39.999983359999995</v>
      </c>
    </row>
    <row r="47" spans="2:30" x14ac:dyDescent="0.2">
      <c r="B47" s="84" t="s">
        <v>53</v>
      </c>
      <c r="C47" s="85">
        <f t="shared" si="10"/>
        <v>44834</v>
      </c>
      <c r="D47" s="93"/>
      <c r="E47" s="93"/>
      <c r="F47" s="93">
        <f>NAV!D18</f>
        <v>3</v>
      </c>
      <c r="G47" s="93">
        <f t="shared" si="0"/>
        <v>3</v>
      </c>
      <c r="H47" s="304"/>
      <c r="S47" s="99">
        <f>F47</f>
        <v>3</v>
      </c>
    </row>
    <row r="48" spans="2:30" x14ac:dyDescent="0.2">
      <c r="B48" s="86" t="s">
        <v>54</v>
      </c>
      <c r="C48" s="87">
        <f t="shared" si="10"/>
        <v>44834</v>
      </c>
      <c r="D48" s="94"/>
      <c r="E48" s="94"/>
      <c r="F48" s="94">
        <f>NAV!D19</f>
        <v>5.0237201984774336</v>
      </c>
      <c r="G48" s="94">
        <f t="shared" si="0"/>
        <v>5.0237201984774336</v>
      </c>
      <c r="H48" s="304"/>
      <c r="T48" s="99">
        <f>F48</f>
        <v>5.0237201984774336</v>
      </c>
    </row>
    <row r="49" spans="2:24" x14ac:dyDescent="0.2">
      <c r="B49" s="84" t="s">
        <v>120</v>
      </c>
      <c r="C49" s="85">
        <f t="shared" si="10"/>
        <v>44834</v>
      </c>
      <c r="D49" s="93"/>
      <c r="E49" s="93"/>
      <c r="F49" s="93">
        <f>NAV!D20</f>
        <v>493.50095619999996</v>
      </c>
      <c r="G49" s="93">
        <f t="shared" si="0"/>
        <v>493.50095619999996</v>
      </c>
      <c r="H49" s="304"/>
      <c r="U49" s="99">
        <f>F49</f>
        <v>493.50095619999996</v>
      </c>
    </row>
    <row r="50" spans="2:24" x14ac:dyDescent="0.2">
      <c r="B50" s="86" t="s">
        <v>25</v>
      </c>
      <c r="C50" s="87">
        <f t="shared" si="10"/>
        <v>44834</v>
      </c>
      <c r="D50" s="94"/>
      <c r="E50" s="94"/>
      <c r="F50" s="94">
        <f>NAV!D21</f>
        <v>300</v>
      </c>
      <c r="G50" s="94">
        <f t="shared" si="0"/>
        <v>300</v>
      </c>
      <c r="H50" s="304"/>
      <c r="V50" s="99">
        <f>F50</f>
        <v>300</v>
      </c>
    </row>
    <row r="51" spans="2:24" x14ac:dyDescent="0.2">
      <c r="B51" s="84" t="s">
        <v>143</v>
      </c>
      <c r="C51" s="85">
        <f t="shared" si="10"/>
        <v>44834</v>
      </c>
      <c r="D51" s="93"/>
      <c r="E51" s="93"/>
      <c r="F51" s="93">
        <f>NAV!D22</f>
        <v>-2.4253142200000006</v>
      </c>
      <c r="G51" s="93">
        <f t="shared" si="0"/>
        <v>-2.4253142200000006</v>
      </c>
      <c r="H51" s="304"/>
      <c r="W51" s="99">
        <f>F51</f>
        <v>-2.4253142200000006</v>
      </c>
    </row>
    <row r="52" spans="2:24" x14ac:dyDescent="0.2">
      <c r="B52" s="86" t="s">
        <v>46</v>
      </c>
      <c r="C52" s="87">
        <f t="shared" si="10"/>
        <v>44834</v>
      </c>
      <c r="D52" s="94"/>
      <c r="E52" s="94"/>
      <c r="F52" s="94">
        <f>NAV!D23</f>
        <v>860.46271279030282</v>
      </c>
      <c r="G52" s="94">
        <f t="shared" si="0"/>
        <v>860.46271279030282</v>
      </c>
      <c r="H52" s="304"/>
      <c r="X52" s="99">
        <f>F52</f>
        <v>860.46271279030282</v>
      </c>
    </row>
    <row r="54" spans="2:24" x14ac:dyDescent="0.2">
      <c r="I54" s="88" t="s">
        <v>34</v>
      </c>
      <c r="J54" s="181" t="str">
        <f>IF(ISERROR(XIRR(J10:J52,$C$10:$C$52)),"NM", XIRR(J10:J52,$C$10:$C$52))</f>
        <v>NM</v>
      </c>
      <c r="K54" s="181">
        <f t="shared" ref="K54" si="11">IF(ISERROR(XIRR(K13:K52,$C$13:$C$52)),"NM", XIRR(K13:K52,$C$13:$C$52))</f>
        <v>-0.23833895996212962</v>
      </c>
      <c r="L54" s="181">
        <f>IF(ISERROR(XIRR(L14:L52,$C$14:$C$52)),"NM", XIRR(L14:L52,$C$14:$C$52))</f>
        <v>0.95566302537918091</v>
      </c>
      <c r="M54" s="181">
        <f>IF(ISERROR(XIRR(M16:M52,$C$16:$C$52)),"NM", XIRR(M16:M52,$C$16:$C$52))</f>
        <v>0.36091765761375438</v>
      </c>
      <c r="N54" s="181">
        <f>IF(ISERROR(XIRR(N17:N52,$C$17:$C$52)),"NM", XIRR(N17:N52,$C$17:$C$52))</f>
        <v>4.6035081148147585E-3</v>
      </c>
      <c r="O54" s="181">
        <f>IF(ISERROR(XIRR(O21:O52,$C$21:$C$52)),"NM", XIRR(O21:O52,$C$21:$C$52))</f>
        <v>-4.9104276299476626E-2</v>
      </c>
      <c r="P54" s="181">
        <f>IF(ISERROR(XIRR(P26:P52,$C$26:$C$52)),"NM", XIRR(P26:P52,$C$26:$C$52))</f>
        <v>0.56783539652824411</v>
      </c>
      <c r="Q54" s="181">
        <f>IF(ISERROR(XIRR(Q27:Q52,$C$27:$C$52)),"NM", XIRR(Q27:Q52,$C$27:$C$52))</f>
        <v>2.9802322387695314E-9</v>
      </c>
      <c r="R54" s="181">
        <f>IF(ISERROR(XIRR(R28:R52,$C$28:$C$52)),"NM", XIRR(R28:R52,$C$28:$C$52))</f>
        <v>2.9802322387695314E-9</v>
      </c>
      <c r="S54" s="181">
        <f>IF(ISERROR(XIRR(S29:S52,$C$29:$C$52)),"NM", XIRR(S29:S52,$C$29:$C$52))</f>
        <v>2.9802322387695314E-9</v>
      </c>
      <c r="T54" s="181">
        <f>IF(ISERROR(XIRR(T30:T52,$C$30:$C$52)),"NM", XIRR(T30:T52,$C$30:$C$52))</f>
        <v>2.9802322387695314E-9</v>
      </c>
      <c r="U54" s="181">
        <f>IF(ISERROR(XIRR(U31:U52,$C$31:$C$52)),"NM", XIRR(U31:U52,$C$31:$C$52))</f>
        <v>2.9802322387695314E-9</v>
      </c>
      <c r="V54" s="181">
        <f>IF(ISERROR(XIRR(V32:V52,$C$32:$C$52)),"NM", XIRR(V32:V52,$C$32:$C$52))</f>
        <v>2.9802322387695314E-9</v>
      </c>
      <c r="W54" s="101" t="str">
        <f>IF(ISERROR(XIRR(W35:W52,$C$35:$C$52)),"NM", XIRR(W35:W52,$C$35:$C$52))</f>
        <v>NM</v>
      </c>
      <c r="X54" s="101" t="str">
        <f>IF(ISERROR(XIRR(X36:X52,$C$35:$C$52)),"NM", "NM")</f>
        <v>NM</v>
      </c>
    </row>
    <row r="55" spans="2:24" x14ac:dyDescent="0.2">
      <c r="I55" s="88" t="s">
        <v>45</v>
      </c>
      <c r="J55" s="100">
        <f t="shared" ref="J55:X55" ca="1" si="12">SUMIF(J$10:J$52,"&gt;0",J$10:J$52)/-SUMIF(J$10:J$52,"&lt;0",J$10:J$36)</f>
        <v>0</v>
      </c>
      <c r="K55" s="100">
        <f t="shared" ca="1" si="12"/>
        <v>0.38750000000000001</v>
      </c>
      <c r="L55" s="100">
        <f t="shared" ca="1" si="12"/>
        <v>7.8082229999999999</v>
      </c>
      <c r="M55" s="100">
        <f t="shared" ca="1" si="12"/>
        <v>2</v>
      </c>
      <c r="N55" s="100">
        <f t="shared" ca="1" si="12"/>
        <v>1.0111282255555556</v>
      </c>
      <c r="O55" s="100">
        <f t="shared" ca="1" si="12"/>
        <v>0.89038350591805449</v>
      </c>
      <c r="P55" s="100">
        <f t="shared" ca="1" si="12"/>
        <v>2.277333333333333</v>
      </c>
      <c r="Q55" s="100">
        <f t="shared" ca="1" si="12"/>
        <v>1</v>
      </c>
      <c r="R55" s="100">
        <f t="shared" ca="1" si="12"/>
        <v>1</v>
      </c>
      <c r="S55" s="100">
        <f t="shared" ca="1" si="12"/>
        <v>1</v>
      </c>
      <c r="T55" s="100">
        <f t="shared" ca="1" si="12"/>
        <v>1</v>
      </c>
      <c r="U55" s="100">
        <f t="shared" ca="1" si="12"/>
        <v>1</v>
      </c>
      <c r="V55" s="100">
        <f t="shared" ca="1" si="12"/>
        <v>1</v>
      </c>
      <c r="W55" s="100">
        <f t="shared" ca="1" si="12"/>
        <v>0</v>
      </c>
      <c r="X55" s="100">
        <f t="shared" ca="1" si="12"/>
        <v>1.0755783909878784</v>
      </c>
    </row>
    <row r="56" spans="2:24" x14ac:dyDescent="0.2">
      <c r="I56" s="88" t="s">
        <v>152</v>
      </c>
      <c r="J56" s="100">
        <f t="shared" ref="J56:X56" si="13">SUMIF(J$10:J$36,"&gt;0",J$10:J$36)/-SUMIF(J$10:J$36,"&lt;0",J$10:J$36)</f>
        <v>0</v>
      </c>
      <c r="K56" s="100">
        <f t="shared" si="13"/>
        <v>0</v>
      </c>
      <c r="L56" s="100">
        <f t="shared" si="13"/>
        <v>0</v>
      </c>
      <c r="M56" s="100">
        <f t="shared" si="13"/>
        <v>2</v>
      </c>
      <c r="N56" s="100">
        <f t="shared" si="13"/>
        <v>0</v>
      </c>
      <c r="O56" s="100">
        <f t="shared" si="13"/>
        <v>0</v>
      </c>
      <c r="P56" s="100">
        <f t="shared" si="13"/>
        <v>0</v>
      </c>
      <c r="Q56" s="100">
        <f t="shared" si="13"/>
        <v>0</v>
      </c>
      <c r="R56" s="100">
        <f t="shared" si="13"/>
        <v>0</v>
      </c>
      <c r="S56" s="100">
        <f t="shared" si="13"/>
        <v>0</v>
      </c>
      <c r="T56" s="100">
        <f t="shared" si="13"/>
        <v>0</v>
      </c>
      <c r="U56" s="100">
        <f t="shared" si="13"/>
        <v>0</v>
      </c>
      <c r="V56" s="100">
        <f t="shared" si="13"/>
        <v>0</v>
      </c>
      <c r="W56" s="100">
        <f t="shared" si="13"/>
        <v>0</v>
      </c>
      <c r="X56" s="100">
        <f t="shared" si="13"/>
        <v>0</v>
      </c>
    </row>
    <row r="57" spans="2:24" x14ac:dyDescent="0.2">
      <c r="I57" s="88" t="s">
        <v>153</v>
      </c>
      <c r="J57" s="100">
        <f t="shared" ref="J57:X57" si="14">SUMIF(J$36:J$52,"&gt;0",J$36:J$52)/-SUMIF(J$10:J$36,"&lt;0",J$10:J$36)</f>
        <v>0</v>
      </c>
      <c r="K57" s="100">
        <f t="shared" si="14"/>
        <v>0.38750000000000001</v>
      </c>
      <c r="L57" s="100">
        <f t="shared" si="14"/>
        <v>7.8082229999999999</v>
      </c>
      <c r="M57" s="100">
        <f t="shared" si="14"/>
        <v>0</v>
      </c>
      <c r="N57" s="100">
        <f t="shared" si="14"/>
        <v>1.0111282255555556</v>
      </c>
      <c r="O57" s="100">
        <f t="shared" si="14"/>
        <v>0.89038350591805449</v>
      </c>
      <c r="P57" s="100">
        <f t="shared" si="14"/>
        <v>2.277333333333333</v>
      </c>
      <c r="Q57" s="100">
        <f t="shared" si="14"/>
        <v>1</v>
      </c>
      <c r="R57" s="100">
        <f t="shared" si="14"/>
        <v>1</v>
      </c>
      <c r="S57" s="100">
        <f t="shared" si="14"/>
        <v>1</v>
      </c>
      <c r="T57" s="100">
        <f t="shared" si="14"/>
        <v>1</v>
      </c>
      <c r="U57" s="100">
        <f t="shared" si="14"/>
        <v>1</v>
      </c>
      <c r="V57" s="100">
        <f t="shared" si="14"/>
        <v>1</v>
      </c>
      <c r="W57" s="100">
        <f t="shared" si="14"/>
        <v>0</v>
      </c>
      <c r="X57" s="100">
        <f t="shared" si="14"/>
        <v>1.0755783909878784</v>
      </c>
    </row>
  </sheetData>
  <pageMargins left="0.7" right="0.7" top="0.75" bottom="0.75" header="0.3" footer="0.3"/>
  <pageSetup paperSize="9" orientation="portrait" verticalDpi="0" r:id="rId1"/>
  <ignoredErrors>
    <ignoredError sqref="G10:G52" formulaRange="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68924-F322-4BDB-B724-E39256CF374B}">
  <sheetPr>
    <tabColor theme="4" tint="-0.499984740745262"/>
  </sheetPr>
  <dimension ref="B2:X73"/>
  <sheetViews>
    <sheetView zoomScale="85" zoomScaleNormal="85" workbookViewId="0">
      <pane xSplit="3" ySplit="21" topLeftCell="D22" activePane="bottomRight" state="frozen"/>
      <selection activeCell="I9" sqref="I9:I17"/>
      <selection pane="topRight" activeCell="I9" sqref="I9:I17"/>
      <selection pane="bottomLeft" activeCell="I9" sqref="I9:I17"/>
      <selection pane="bottomRight" activeCell="J57" sqref="J57"/>
    </sheetView>
  </sheetViews>
  <sheetFormatPr defaultRowHeight="12" x14ac:dyDescent="0.2"/>
  <cols>
    <col min="1" max="1" width="5" style="83" customWidth="1"/>
    <col min="2" max="2" width="9.140625" style="83"/>
    <col min="3" max="3" width="25.5703125" style="83" bestFit="1" customWidth="1"/>
    <col min="4" max="4" width="16.5703125" style="83" customWidth="1"/>
    <col min="5" max="6" width="13.7109375" style="83" customWidth="1"/>
    <col min="7" max="7" width="17.28515625" style="83" bestFit="1" customWidth="1"/>
    <col min="8" max="9" width="28.5703125" style="88" customWidth="1"/>
    <col min="10" max="12" width="21.28515625" style="88" customWidth="1"/>
    <col min="13" max="13" width="9.140625" style="83"/>
    <col min="14" max="14" width="13.5703125" style="83" bestFit="1" customWidth="1"/>
    <col min="15" max="15" width="16" style="83" customWidth="1"/>
    <col min="16" max="16" width="20.42578125" style="83" customWidth="1"/>
    <col min="17" max="21" width="17" style="83" customWidth="1"/>
    <col min="22" max="26" width="14.28515625" style="83" customWidth="1"/>
    <col min="27" max="16384" width="9.140625" style="83"/>
  </cols>
  <sheetData>
    <row r="2" spans="2:12" s="166" customFormat="1" ht="43.5" customHeight="1" x14ac:dyDescent="0.45">
      <c r="B2" s="352" t="s">
        <v>316</v>
      </c>
      <c r="C2" s="353"/>
      <c r="D2" s="353"/>
      <c r="E2" s="353"/>
      <c r="F2" s="361"/>
      <c r="G2" s="361"/>
      <c r="H2" s="361"/>
      <c r="I2" s="361"/>
      <c r="J2" s="354"/>
      <c r="K2" s="355"/>
      <c r="L2" s="354"/>
    </row>
    <row r="3" spans="2:12" ht="15" x14ac:dyDescent="0.25">
      <c r="C3" s="92" t="s">
        <v>300</v>
      </c>
    </row>
    <row r="4" spans="2:12" ht="15" x14ac:dyDescent="0.25">
      <c r="C4" s="92"/>
    </row>
    <row r="5" spans="2:12" ht="15" x14ac:dyDescent="0.25">
      <c r="C5" s="92"/>
    </row>
    <row r="6" spans="2:12" ht="15" x14ac:dyDescent="0.25">
      <c r="C6" s="92"/>
    </row>
    <row r="8" spans="2:12" x14ac:dyDescent="0.2">
      <c r="C8" s="97" t="s">
        <v>150</v>
      </c>
      <c r="H8" s="335" t="s">
        <v>303</v>
      </c>
      <c r="I8" s="335" t="s">
        <v>302</v>
      </c>
      <c r="J8" s="335"/>
      <c r="K8" s="335"/>
      <c r="L8" s="335"/>
    </row>
    <row r="9" spans="2:12" s="98" customFormat="1" x14ac:dyDescent="0.2">
      <c r="C9" s="95" t="s">
        <v>6</v>
      </c>
      <c r="D9" s="96" t="s">
        <v>7</v>
      </c>
      <c r="E9" s="96" t="s">
        <v>151</v>
      </c>
      <c r="F9" s="96" t="s">
        <v>44</v>
      </c>
      <c r="G9" s="97" t="s">
        <v>149</v>
      </c>
      <c r="H9" s="96" t="s">
        <v>24</v>
      </c>
      <c r="I9" s="96" t="s">
        <v>59</v>
      </c>
      <c r="J9" s="96"/>
      <c r="K9" s="96"/>
      <c r="L9" s="96"/>
    </row>
    <row r="10" spans="2:12" s="98" customFormat="1" x14ac:dyDescent="0.2">
      <c r="C10" s="95"/>
      <c r="D10" s="96"/>
      <c r="E10" s="96"/>
      <c r="F10" s="96"/>
      <c r="G10" s="97"/>
      <c r="H10" s="96" t="s">
        <v>52</v>
      </c>
      <c r="I10" s="96" t="s">
        <v>0</v>
      </c>
      <c r="J10" s="96"/>
      <c r="K10" s="96"/>
      <c r="L10" s="96"/>
    </row>
    <row r="11" spans="2:12" s="98" customFormat="1" x14ac:dyDescent="0.2">
      <c r="C11" s="95"/>
      <c r="D11" s="96"/>
      <c r="E11" s="96"/>
      <c r="F11" s="96"/>
      <c r="G11" s="97"/>
      <c r="H11" s="96" t="s">
        <v>120</v>
      </c>
      <c r="I11" s="96" t="s">
        <v>50</v>
      </c>
      <c r="J11" s="96"/>
      <c r="K11" s="96"/>
      <c r="L11" s="96"/>
    </row>
    <row r="12" spans="2:12" s="98" customFormat="1" x14ac:dyDescent="0.2">
      <c r="C12" s="95"/>
      <c r="D12" s="96"/>
      <c r="E12" s="96"/>
      <c r="F12" s="96"/>
      <c r="G12" s="97"/>
      <c r="H12" s="96" t="s">
        <v>25</v>
      </c>
      <c r="I12" s="96" t="s">
        <v>51</v>
      </c>
      <c r="J12" s="96"/>
      <c r="K12" s="96"/>
      <c r="L12" s="96"/>
    </row>
    <row r="13" spans="2:12" s="98" customFormat="1" x14ac:dyDescent="0.2">
      <c r="C13" s="95"/>
      <c r="D13" s="96"/>
      <c r="E13" s="96"/>
      <c r="F13" s="96"/>
      <c r="G13" s="97"/>
      <c r="H13" s="96" t="s">
        <v>143</v>
      </c>
      <c r="I13" s="96" t="s">
        <v>49</v>
      </c>
      <c r="J13" s="96"/>
      <c r="K13" s="96"/>
      <c r="L13" s="96"/>
    </row>
    <row r="14" spans="2:12" s="98" customFormat="1" x14ac:dyDescent="0.2">
      <c r="C14" s="95"/>
      <c r="D14" s="96"/>
      <c r="E14" s="96"/>
      <c r="F14" s="96"/>
      <c r="G14" s="97"/>
      <c r="H14" s="96" t="s">
        <v>46</v>
      </c>
      <c r="I14" s="96" t="s">
        <v>142</v>
      </c>
      <c r="J14" s="96"/>
      <c r="K14" s="96"/>
      <c r="L14" s="96"/>
    </row>
    <row r="15" spans="2:12" s="98" customFormat="1" x14ac:dyDescent="0.2">
      <c r="C15" s="95"/>
      <c r="D15" s="96"/>
      <c r="E15" s="96"/>
      <c r="F15" s="96"/>
      <c r="G15" s="97"/>
      <c r="H15" s="96"/>
      <c r="I15" s="96" t="s">
        <v>11</v>
      </c>
      <c r="J15" s="96"/>
      <c r="K15" s="96"/>
      <c r="L15" s="96"/>
    </row>
    <row r="16" spans="2:12" s="98" customFormat="1" x14ac:dyDescent="0.2">
      <c r="C16" s="95"/>
      <c r="D16" s="96"/>
      <c r="E16" s="96"/>
      <c r="F16" s="96"/>
      <c r="G16" s="97"/>
      <c r="H16" s="96"/>
      <c r="I16" s="96" t="s">
        <v>53</v>
      </c>
      <c r="J16" s="96"/>
      <c r="K16" s="96"/>
      <c r="L16" s="96"/>
    </row>
    <row r="17" spans="3:24" s="98" customFormat="1" x14ac:dyDescent="0.2">
      <c r="C17" s="95"/>
      <c r="D17" s="96"/>
      <c r="E17" s="96"/>
      <c r="F17" s="96"/>
      <c r="G17" s="97"/>
      <c r="H17" s="96"/>
      <c r="I17" s="96" t="s">
        <v>54</v>
      </c>
      <c r="J17" s="96"/>
      <c r="K17" s="96"/>
      <c r="L17" s="96"/>
    </row>
    <row r="18" spans="3:24" s="98" customFormat="1" x14ac:dyDescent="0.2">
      <c r="C18" s="95"/>
      <c r="D18" s="96"/>
      <c r="E18" s="96"/>
      <c r="F18" s="96"/>
      <c r="G18" s="97"/>
      <c r="H18" s="96"/>
      <c r="I18" s="96"/>
      <c r="J18" s="96"/>
      <c r="K18" s="96"/>
      <c r="L18" s="96"/>
    </row>
    <row r="19" spans="3:24" s="98" customFormat="1" x14ac:dyDescent="0.2"/>
    <row r="21" spans="3:24" ht="25.5" x14ac:dyDescent="0.25">
      <c r="C21" s="95"/>
      <c r="D21" s="96"/>
      <c r="E21" s="96"/>
      <c r="F21" s="96"/>
      <c r="G21" s="97"/>
      <c r="H21" s="96"/>
      <c r="I21" s="96" t="s">
        <v>151</v>
      </c>
      <c r="J21" s="96" t="s">
        <v>304</v>
      </c>
      <c r="K21" s="96" t="s">
        <v>149</v>
      </c>
      <c r="L21" s="96" t="s">
        <v>251</v>
      </c>
      <c r="N21" s="324"/>
      <c r="O21" s="325" t="s">
        <v>273</v>
      </c>
      <c r="P21" s="325" t="s">
        <v>43</v>
      </c>
      <c r="Q21" s="326" t="s">
        <v>2</v>
      </c>
      <c r="R21" s="326" t="s">
        <v>62</v>
      </c>
      <c r="S21" s="326" t="s">
        <v>44</v>
      </c>
      <c r="T21" s="326" t="s">
        <v>249</v>
      </c>
      <c r="U21" s="326" t="s">
        <v>34</v>
      </c>
      <c r="V21" s="326" t="s">
        <v>45</v>
      </c>
      <c r="W21" s="326" t="s">
        <v>262</v>
      </c>
      <c r="X21" s="326" t="s">
        <v>152</v>
      </c>
    </row>
    <row r="22" spans="3:24" ht="15" x14ac:dyDescent="0.25">
      <c r="C22" s="84" t="str">
        <f>'CF (Equity, Debt)'!C4</f>
        <v>Jollychic Holding Limited</v>
      </c>
      <c r="D22" s="85">
        <f>'CF (Equity, Debt)'!D4</f>
        <v>43470</v>
      </c>
      <c r="E22" s="93">
        <f>'CF (Equity, Debt)'!E4</f>
        <v>-30</v>
      </c>
      <c r="F22" s="93"/>
      <c r="I22" s="93">
        <f>IF(ISERROR(VLOOKUP($C22,$I$9:$I$18,1,0)),0,1)*E22</f>
        <v>-30</v>
      </c>
      <c r="J22" s="93">
        <f>IF(ISERROR(VLOOKUP($C22,$I$9:$I$18,1,0)),0,1)*F22</f>
        <v>0</v>
      </c>
      <c r="K22" s="93">
        <f>IF(ISERROR(VLOOKUP($C22,$I$9:$I$18,1,0)),0,1)*G22</f>
        <v>0</v>
      </c>
      <c r="L22" s="93">
        <f>SUM(I22:K22)</f>
        <v>-30</v>
      </c>
      <c r="N22" s="324"/>
      <c r="O22" s="179"/>
      <c r="P22" s="179"/>
      <c r="Q22" s="179"/>
      <c r="R22" s="179"/>
      <c r="S22" s="179"/>
      <c r="T22" s="179"/>
      <c r="U22" s="179"/>
      <c r="V22" s="179"/>
      <c r="W22" s="179"/>
      <c r="X22" s="179"/>
    </row>
    <row r="23" spans="3:24" ht="15" x14ac:dyDescent="0.25">
      <c r="C23" s="84" t="str">
        <f>'CF (Equity, Debt)'!C5</f>
        <v>Jollychic Holding Limited</v>
      </c>
      <c r="D23" s="85">
        <f>'CF (Equity, Debt)'!D5</f>
        <v>43724</v>
      </c>
      <c r="E23" s="93">
        <f>'CF (Equity, Debt)'!E5</f>
        <v>-20</v>
      </c>
      <c r="F23" s="93"/>
      <c r="I23" s="93">
        <f t="shared" ref="I23:I64" si="0">IF(ISERROR(VLOOKUP($C23,$I$9:$I$18,1,0)),0,1)*E23</f>
        <v>-20</v>
      </c>
      <c r="J23" s="93">
        <f t="shared" ref="J23:J64" si="1">IF(ISERROR(VLOOKUP($C23,$I$9:$I$18,1,0)),0,1)*F23</f>
        <v>0</v>
      </c>
      <c r="K23" s="93">
        <f t="shared" ref="K23:K64" si="2">IF(ISERROR(VLOOKUP($C23,$I$9:$I$18,1,0)),0,1)*G23</f>
        <v>0</v>
      </c>
      <c r="L23" s="93">
        <f t="shared" ref="L23:L64" si="3">SUM(I23:K23)</f>
        <v>-20</v>
      </c>
      <c r="N23" s="331"/>
      <c r="O23" s="179">
        <f>COUNTIF(I9:I17,"*")</f>
        <v>9</v>
      </c>
      <c r="P23" s="336">
        <f>Q23</f>
        <v>379.99397987284391</v>
      </c>
      <c r="Q23" s="336">
        <f>-SUM(I22:I64)</f>
        <v>379.99397987284391</v>
      </c>
      <c r="R23" s="338">
        <f>P23-Q23</f>
        <v>0</v>
      </c>
      <c r="S23" s="336">
        <f>SUM(J22:J64)</f>
        <v>5</v>
      </c>
      <c r="T23" s="336">
        <f>SUM(K22:K64)</f>
        <v>442.81027629047736</v>
      </c>
      <c r="U23" s="339">
        <f>J70</f>
        <v>7.6285400986671456E-2</v>
      </c>
      <c r="V23" s="340">
        <f>J71</f>
        <v>1.178466765290141</v>
      </c>
      <c r="W23" s="340">
        <f>J72</f>
        <v>1.1653086620968403</v>
      </c>
      <c r="X23" s="340">
        <f>J73</f>
        <v>1.3158103193300939E-2</v>
      </c>
    </row>
    <row r="24" spans="3:24" x14ac:dyDescent="0.2">
      <c r="C24" s="84" t="str">
        <f>'CF (Equity, Debt)'!C6</f>
        <v>Jollychic Holding Limited</v>
      </c>
      <c r="D24" s="85">
        <f>'CF (Equity, Debt)'!D6</f>
        <v>43724</v>
      </c>
      <c r="E24" s="93">
        <f>'CF (Equity, Debt)'!E6</f>
        <v>-15</v>
      </c>
      <c r="F24" s="93"/>
      <c r="I24" s="93">
        <f t="shared" si="0"/>
        <v>-15</v>
      </c>
      <c r="J24" s="93">
        <f t="shared" si="1"/>
        <v>0</v>
      </c>
      <c r="K24" s="93">
        <f t="shared" si="2"/>
        <v>0</v>
      </c>
      <c r="L24" s="93">
        <f t="shared" si="3"/>
        <v>-15</v>
      </c>
    </row>
    <row r="25" spans="3:24" x14ac:dyDescent="0.2">
      <c r="C25" s="86" t="str">
        <f>'CF (Equity, Debt)'!C7</f>
        <v>Mena Mobile Inc</v>
      </c>
      <c r="D25" s="87">
        <f>'CF (Equity, Debt)'!D7</f>
        <v>43563</v>
      </c>
      <c r="E25" s="94">
        <f>'CF (Equity, Debt)'!E7</f>
        <v>-8</v>
      </c>
      <c r="F25" s="94"/>
      <c r="I25" s="93">
        <f t="shared" si="0"/>
        <v>-8</v>
      </c>
      <c r="J25" s="93">
        <f t="shared" si="1"/>
        <v>0</v>
      </c>
      <c r="K25" s="93">
        <f t="shared" si="2"/>
        <v>0</v>
      </c>
      <c r="L25" s="93">
        <f t="shared" si="3"/>
        <v>-8</v>
      </c>
    </row>
    <row r="26" spans="3:24" x14ac:dyDescent="0.2">
      <c r="C26" s="84" t="str">
        <f>'CF (Equity, Debt)'!C8</f>
        <v>Flyr Inc</v>
      </c>
      <c r="D26" s="85">
        <f>'CF (Equity, Debt)'!D8</f>
        <v>43570</v>
      </c>
      <c r="E26" s="93">
        <f>'CF (Equity, Debt)'!E8</f>
        <v>-4.9999980900000001</v>
      </c>
      <c r="F26" s="93"/>
      <c r="H26" s="83"/>
      <c r="I26" s="93">
        <f t="shared" si="0"/>
        <v>-4.9999980900000001</v>
      </c>
      <c r="J26" s="93">
        <f t="shared" si="1"/>
        <v>0</v>
      </c>
      <c r="K26" s="93">
        <f t="shared" si="2"/>
        <v>0</v>
      </c>
      <c r="L26" s="93">
        <f t="shared" si="3"/>
        <v>-4.9999980900000001</v>
      </c>
    </row>
    <row r="27" spans="3:24" x14ac:dyDescent="0.2">
      <c r="C27" s="84" t="str">
        <f>'CF (Equity, Debt)'!C9</f>
        <v>Flyr Inc</v>
      </c>
      <c r="D27" s="85">
        <f>'CF (Equity, Debt)'!D9</f>
        <v>43915</v>
      </c>
      <c r="E27" s="93">
        <f>'CF (Equity, Debt)'!E9</f>
        <v>-5.0000019099999999</v>
      </c>
      <c r="F27" s="93"/>
      <c r="H27" s="83"/>
      <c r="I27" s="93">
        <f t="shared" si="0"/>
        <v>-5.0000019099999999</v>
      </c>
      <c r="J27" s="93">
        <f t="shared" si="1"/>
        <v>0</v>
      </c>
      <c r="K27" s="93">
        <f t="shared" si="2"/>
        <v>0</v>
      </c>
      <c r="L27" s="93">
        <f t="shared" si="3"/>
        <v>-5.0000019099999999</v>
      </c>
    </row>
    <row r="28" spans="3:24" x14ac:dyDescent="0.2">
      <c r="C28" s="86" t="str">
        <f>'CF (Equity, Debt)'!C10</f>
        <v xml:space="preserve">Esyasoft Holding </v>
      </c>
      <c r="D28" s="87">
        <f>'CF (Equity, Debt)'!D10</f>
        <v>43870</v>
      </c>
      <c r="E28" s="94">
        <f>'CF (Equity, Debt)'!E10</f>
        <v>-2.5</v>
      </c>
      <c r="F28" s="94"/>
      <c r="I28" s="93">
        <f t="shared" si="0"/>
        <v>-2.5</v>
      </c>
      <c r="J28" s="93">
        <f t="shared" si="1"/>
        <v>0</v>
      </c>
      <c r="K28" s="93">
        <f t="shared" si="2"/>
        <v>0</v>
      </c>
      <c r="L28" s="93">
        <f t="shared" si="3"/>
        <v>-2.5</v>
      </c>
    </row>
    <row r="29" spans="3:24" x14ac:dyDescent="0.2">
      <c r="C29" s="84" t="str">
        <f>'CF (Equity, Debt)'!C11</f>
        <v>Beyond Limits</v>
      </c>
      <c r="D29" s="85">
        <f>'CF (Equity, Debt)'!D11</f>
        <v>43879</v>
      </c>
      <c r="E29" s="93">
        <f>'CF (Equity, Debt)'!E11</f>
        <v>-20</v>
      </c>
      <c r="F29" s="93"/>
      <c r="I29" s="93">
        <f t="shared" si="0"/>
        <v>-20</v>
      </c>
      <c r="J29" s="93">
        <f t="shared" si="1"/>
        <v>0</v>
      </c>
      <c r="K29" s="93">
        <f t="shared" si="2"/>
        <v>0</v>
      </c>
      <c r="L29" s="93">
        <f t="shared" si="3"/>
        <v>-20</v>
      </c>
    </row>
    <row r="30" spans="3:24" x14ac:dyDescent="0.2">
      <c r="C30" s="84" t="str">
        <f>'CF (Equity, Debt)'!C12</f>
        <v>Beyond Limits</v>
      </c>
      <c r="D30" s="85">
        <f>'CF (Equity, Debt)'!D12</f>
        <v>43921</v>
      </c>
      <c r="E30" s="93">
        <f>'CF (Equity, Debt)'!E12</f>
        <v>-30</v>
      </c>
      <c r="F30" s="93"/>
      <c r="I30" s="93">
        <f t="shared" si="0"/>
        <v>-30</v>
      </c>
      <c r="J30" s="93">
        <f t="shared" si="1"/>
        <v>0</v>
      </c>
      <c r="K30" s="93">
        <f t="shared" si="2"/>
        <v>0</v>
      </c>
      <c r="L30" s="93">
        <f t="shared" si="3"/>
        <v>-30</v>
      </c>
    </row>
    <row r="31" spans="3:24" x14ac:dyDescent="0.2">
      <c r="C31" s="84" t="str">
        <f>'CF (Equity, Debt)'!C13</f>
        <v>Beyond Limits</v>
      </c>
      <c r="D31" s="85">
        <f>'CF (Equity, Debt)'!D13</f>
        <v>43989</v>
      </c>
      <c r="E31" s="93">
        <f>'CF (Equity, Debt)'!E13</f>
        <v>-30</v>
      </c>
      <c r="F31" s="93"/>
      <c r="I31" s="93">
        <f t="shared" si="0"/>
        <v>-30</v>
      </c>
      <c r="J31" s="93">
        <f t="shared" si="1"/>
        <v>0</v>
      </c>
      <c r="K31" s="93">
        <f t="shared" si="2"/>
        <v>0</v>
      </c>
      <c r="L31" s="93">
        <f t="shared" si="3"/>
        <v>-30</v>
      </c>
    </row>
    <row r="32" spans="3:24" s="88" customFormat="1" x14ac:dyDescent="0.2">
      <c r="C32" s="84" t="str">
        <f>'CF (Equity, Debt)'!C14</f>
        <v>Beyond Limits</v>
      </c>
      <c r="D32" s="85">
        <f>'CF (Equity, Debt)'!D14</f>
        <v>44103</v>
      </c>
      <c r="E32" s="93">
        <f>'CF (Equity, Debt)'!E14</f>
        <v>-10</v>
      </c>
      <c r="F32" s="93"/>
      <c r="G32" s="83"/>
      <c r="I32" s="93">
        <f t="shared" si="0"/>
        <v>-10</v>
      </c>
      <c r="J32" s="93">
        <f t="shared" si="1"/>
        <v>0</v>
      </c>
      <c r="K32" s="93">
        <f t="shared" si="2"/>
        <v>0</v>
      </c>
      <c r="L32" s="93">
        <f t="shared" si="3"/>
        <v>-10</v>
      </c>
    </row>
    <row r="33" spans="3:12" s="88" customFormat="1" x14ac:dyDescent="0.2">
      <c r="C33" s="86" t="str">
        <f>'CF (Equity, Debt)'!C15</f>
        <v>ONT plc</v>
      </c>
      <c r="D33" s="87">
        <f>'CF (Equity, Debt)'!D15</f>
        <v>43968</v>
      </c>
      <c r="E33" s="94">
        <f>'CF (Equity, Debt)'!E15</f>
        <v>-50</v>
      </c>
      <c r="F33" s="94"/>
      <c r="G33" s="83"/>
      <c r="I33" s="93">
        <f t="shared" si="0"/>
        <v>-50</v>
      </c>
      <c r="J33" s="93">
        <f t="shared" si="1"/>
        <v>0</v>
      </c>
      <c r="K33" s="93">
        <f t="shared" si="2"/>
        <v>0</v>
      </c>
      <c r="L33" s="93">
        <f t="shared" si="3"/>
        <v>-50</v>
      </c>
    </row>
    <row r="34" spans="3:12" s="88" customFormat="1" x14ac:dyDescent="0.2">
      <c r="C34" s="86" t="str">
        <f>'CF (Equity, Debt)'!C16</f>
        <v>ONT plc</v>
      </c>
      <c r="D34" s="87">
        <f>'CF (Equity, Debt)'!D16</f>
        <v>44006</v>
      </c>
      <c r="E34" s="94">
        <f>'CF (Equity, Debt)'!E16</f>
        <v>-27.268350856443721</v>
      </c>
      <c r="F34" s="94"/>
      <c r="G34" s="83"/>
      <c r="I34" s="93">
        <f t="shared" si="0"/>
        <v>-27.268350856443721</v>
      </c>
      <c r="J34" s="93">
        <f t="shared" si="1"/>
        <v>0</v>
      </c>
      <c r="K34" s="93">
        <f t="shared" si="2"/>
        <v>0</v>
      </c>
      <c r="L34" s="93">
        <f t="shared" si="3"/>
        <v>-27.268350856443721</v>
      </c>
    </row>
    <row r="35" spans="3:12" s="88" customFormat="1" x14ac:dyDescent="0.2">
      <c r="C35" s="86" t="str">
        <f>'CF (Equity, Debt)'!C17</f>
        <v>ONT plc</v>
      </c>
      <c r="D35" s="87">
        <f>'CF (Equity, Debt)'!D17</f>
        <v>43837</v>
      </c>
      <c r="E35" s="94">
        <f>'CF (Equity, Debt)'!E17</f>
        <v>-18.109441299619355</v>
      </c>
      <c r="F35" s="94"/>
      <c r="G35" s="83"/>
      <c r="I35" s="93">
        <f t="shared" si="0"/>
        <v>-18.109441299619355</v>
      </c>
      <c r="J35" s="93">
        <f t="shared" si="1"/>
        <v>0</v>
      </c>
      <c r="K35" s="93">
        <f t="shared" si="2"/>
        <v>0</v>
      </c>
      <c r="L35" s="93">
        <f t="shared" si="3"/>
        <v>-18.109441299619355</v>
      </c>
    </row>
    <row r="36" spans="3:12" s="88" customFormat="1" x14ac:dyDescent="0.2">
      <c r="C36" s="86" t="str">
        <f>'CF (Equity, Debt)'!C18</f>
        <v>ONT plc</v>
      </c>
      <c r="D36" s="87">
        <f>'CF (Equity, Debt)'!D18</f>
        <v>43990</v>
      </c>
      <c r="E36" s="94">
        <f>'CF (Equity, Debt)'!E18</f>
        <v>-34.851687094159864</v>
      </c>
      <c r="F36" s="94"/>
      <c r="G36" s="83"/>
      <c r="I36" s="93">
        <f t="shared" si="0"/>
        <v>-34.851687094159864</v>
      </c>
      <c r="J36" s="93">
        <f t="shared" si="1"/>
        <v>0</v>
      </c>
      <c r="K36" s="93">
        <f t="shared" si="2"/>
        <v>0</v>
      </c>
      <c r="L36" s="93">
        <f t="shared" si="3"/>
        <v>-34.851687094159864</v>
      </c>
    </row>
    <row r="37" spans="3:12" s="88" customFormat="1" x14ac:dyDescent="0.2">
      <c r="C37" s="86" t="str">
        <f>'CF (Equity, Debt)'!C19</f>
        <v>ONT plc</v>
      </c>
      <c r="D37" s="87">
        <f>'CF (Equity, Debt)'!D19</f>
        <v>44315</v>
      </c>
      <c r="E37" s="94">
        <f>'CF (Equity, Debt)'!E19</f>
        <v>-11.240780424143557</v>
      </c>
      <c r="F37" s="94"/>
      <c r="G37" s="83"/>
      <c r="I37" s="93">
        <f t="shared" si="0"/>
        <v>-11.240780424143557</v>
      </c>
      <c r="J37" s="93">
        <f t="shared" si="1"/>
        <v>0</v>
      </c>
      <c r="K37" s="93">
        <f t="shared" si="2"/>
        <v>0</v>
      </c>
      <c r="L37" s="93">
        <f t="shared" si="3"/>
        <v>-11.240780424143557</v>
      </c>
    </row>
    <row r="38" spans="3:12" s="88" customFormat="1" x14ac:dyDescent="0.2">
      <c r="C38" s="84" t="str">
        <f>'CF (Equity, Debt)'!C20</f>
        <v>Heygears</v>
      </c>
      <c r="D38" s="85">
        <f>'CF (Equity, Debt)'!D20</f>
        <v>44166</v>
      </c>
      <c r="E38" s="93">
        <f>'CF (Equity, Debt)'!E20</f>
        <v>-60</v>
      </c>
      <c r="F38" s="93"/>
      <c r="G38" s="83"/>
      <c r="I38" s="93">
        <f t="shared" si="0"/>
        <v>-60</v>
      </c>
      <c r="J38" s="93">
        <f t="shared" si="1"/>
        <v>0</v>
      </c>
      <c r="K38" s="93">
        <f t="shared" si="2"/>
        <v>0</v>
      </c>
      <c r="L38" s="93">
        <f t="shared" si="3"/>
        <v>-60</v>
      </c>
    </row>
    <row r="39" spans="3:12" s="88" customFormat="1" x14ac:dyDescent="0.2">
      <c r="C39" s="86" t="str">
        <f>'CF (Equity, Debt)'!C21</f>
        <v>Jysan Technologies</v>
      </c>
      <c r="D39" s="87">
        <f>'CF (Equity, Debt)'!D21</f>
        <v>44363</v>
      </c>
      <c r="E39" s="94">
        <f>'CF (Equity, Debt)'!E21</f>
        <v>-20</v>
      </c>
      <c r="F39" s="94"/>
      <c r="G39" s="83"/>
      <c r="H39" s="94">
        <f>E39</f>
        <v>-20</v>
      </c>
      <c r="I39" s="93">
        <f t="shared" si="0"/>
        <v>0</v>
      </c>
      <c r="J39" s="93">
        <f t="shared" si="1"/>
        <v>0</v>
      </c>
      <c r="K39" s="93">
        <f t="shared" si="2"/>
        <v>0</v>
      </c>
      <c r="L39" s="93">
        <f t="shared" si="3"/>
        <v>0</v>
      </c>
    </row>
    <row r="40" spans="3:12" s="88" customFormat="1" x14ac:dyDescent="0.2">
      <c r="C40" s="84" t="str">
        <f>'CF (Equity, Debt)'!C22</f>
        <v>Cerebras Systems Inc</v>
      </c>
      <c r="D40" s="85">
        <f>'CF (Equity, Debt)'!D22</f>
        <v>44488</v>
      </c>
      <c r="E40" s="93">
        <f>'CF (Equity, Debt)'!E22</f>
        <v>-39.999983359999995</v>
      </c>
      <c r="F40" s="93"/>
      <c r="G40" s="83"/>
      <c r="H40" s="93">
        <f>E40</f>
        <v>-39.999983359999995</v>
      </c>
      <c r="I40" s="93">
        <f t="shared" si="0"/>
        <v>0</v>
      </c>
      <c r="J40" s="93">
        <f t="shared" si="1"/>
        <v>0</v>
      </c>
      <c r="K40" s="93">
        <f t="shared" si="2"/>
        <v>0</v>
      </c>
      <c r="L40" s="93">
        <f t="shared" si="3"/>
        <v>0</v>
      </c>
    </row>
    <row r="41" spans="3:12" s="88" customFormat="1" x14ac:dyDescent="0.2">
      <c r="C41" s="86" t="str">
        <f>'CF (Equity, Debt)'!C23</f>
        <v>Endless Studios LLC</v>
      </c>
      <c r="D41" s="87">
        <f>'CF (Equity, Debt)'!D23</f>
        <v>44494</v>
      </c>
      <c r="E41" s="94">
        <f>'CF (Equity, Debt)'!E23</f>
        <v>-3</v>
      </c>
      <c r="F41" s="94"/>
      <c r="G41" s="83"/>
      <c r="H41" s="93"/>
      <c r="I41" s="93">
        <f t="shared" si="0"/>
        <v>-3</v>
      </c>
      <c r="J41" s="93">
        <f t="shared" si="1"/>
        <v>0</v>
      </c>
      <c r="K41" s="93">
        <f t="shared" si="2"/>
        <v>0</v>
      </c>
      <c r="L41" s="93">
        <f>SUM(I41:K41)</f>
        <v>-3</v>
      </c>
    </row>
    <row r="42" spans="3:12" s="88" customFormat="1" x14ac:dyDescent="0.2">
      <c r="C42" s="84" t="str">
        <f>'CF (Equity, Debt)'!C24</f>
        <v>Instadeep Limited</v>
      </c>
      <c r="D42" s="85">
        <f>'CF (Equity, Debt)'!D24</f>
        <v>44550</v>
      </c>
      <c r="E42" s="93">
        <f>'CF (Equity, Debt)'!E24</f>
        <v>-5.0237201984774336</v>
      </c>
      <c r="F42" s="93"/>
      <c r="G42" s="83"/>
      <c r="H42" s="93"/>
      <c r="I42" s="93">
        <f t="shared" si="0"/>
        <v>-5.0237201984774336</v>
      </c>
      <c r="J42" s="93">
        <f t="shared" si="1"/>
        <v>0</v>
      </c>
      <c r="K42" s="93">
        <f t="shared" si="2"/>
        <v>0</v>
      </c>
      <c r="L42" s="93">
        <f>SUM(I42:K42)</f>
        <v>-5.0237201984774336</v>
      </c>
    </row>
    <row r="43" spans="3:12" s="88" customFormat="1" x14ac:dyDescent="0.2">
      <c r="C43" s="86" t="str">
        <f>'CF (Equity, Debt)'!C25</f>
        <v>X-fusion</v>
      </c>
      <c r="D43" s="87">
        <f>'CF (Equity, Debt)'!D25</f>
        <v>44574</v>
      </c>
      <c r="E43" s="94">
        <f>'CF (Equity, Debt)'!E25</f>
        <v>-493.50095619999996</v>
      </c>
      <c r="F43" s="94"/>
      <c r="G43" s="83"/>
      <c r="H43" s="94">
        <f>E43</f>
        <v>-493.50095619999996</v>
      </c>
      <c r="I43" s="93">
        <f t="shared" si="0"/>
        <v>0</v>
      </c>
      <c r="J43" s="93">
        <f t="shared" si="1"/>
        <v>0</v>
      </c>
      <c r="K43" s="93">
        <f t="shared" si="2"/>
        <v>0</v>
      </c>
      <c r="L43" s="93">
        <f t="shared" si="3"/>
        <v>0</v>
      </c>
    </row>
    <row r="44" spans="3:12" s="88" customFormat="1" x14ac:dyDescent="0.2">
      <c r="C44" s="84" t="str">
        <f>'CF (Equity, Debt)'!C26</f>
        <v>DriveNets</v>
      </c>
      <c r="D44" s="85">
        <f>'CF (Equity, Debt)'!D26</f>
        <v>44643</v>
      </c>
      <c r="E44" s="93">
        <f>'CF (Equity, Debt)'!E26</f>
        <v>-200</v>
      </c>
      <c r="F44" s="93"/>
      <c r="G44" s="83"/>
      <c r="H44" s="93">
        <f>E44</f>
        <v>-200</v>
      </c>
      <c r="I44" s="93">
        <f t="shared" si="0"/>
        <v>0</v>
      </c>
      <c r="J44" s="93">
        <f t="shared" si="1"/>
        <v>0</v>
      </c>
      <c r="K44" s="93">
        <f t="shared" si="2"/>
        <v>0</v>
      </c>
      <c r="L44" s="93">
        <f t="shared" si="3"/>
        <v>0</v>
      </c>
    </row>
    <row r="45" spans="3:12" s="88" customFormat="1" x14ac:dyDescent="0.2">
      <c r="C45" s="84" t="str">
        <f>'CF (Equity, Debt)'!C27</f>
        <v>DriveNets</v>
      </c>
      <c r="D45" s="85">
        <f>'CF (Equity, Debt)'!D27</f>
        <v>44680</v>
      </c>
      <c r="E45" s="93">
        <f>'CF (Equity, Debt)'!E27</f>
        <v>-100</v>
      </c>
      <c r="F45" s="93"/>
      <c r="G45" s="83"/>
      <c r="H45" s="93">
        <f>E45</f>
        <v>-100</v>
      </c>
      <c r="I45" s="93">
        <f t="shared" si="0"/>
        <v>0</v>
      </c>
      <c r="J45" s="93">
        <f t="shared" si="1"/>
        <v>0</v>
      </c>
      <c r="K45" s="93">
        <f t="shared" si="2"/>
        <v>0</v>
      </c>
      <c r="L45" s="93">
        <f t="shared" si="3"/>
        <v>0</v>
      </c>
    </row>
    <row r="46" spans="3:12" s="88" customFormat="1" x14ac:dyDescent="0.2">
      <c r="C46" s="86" t="str">
        <f>'CF (Equity, Debt)'!C28</f>
        <v xml:space="preserve">Esyasoft Holding </v>
      </c>
      <c r="D46" s="87">
        <f>'CF (Equity, Debt)'!D28</f>
        <v>44691</v>
      </c>
      <c r="E46" s="94">
        <f>'CF (Equity, Debt)'!E28</f>
        <v>0</v>
      </c>
      <c r="F46" s="94">
        <v>5</v>
      </c>
      <c r="G46" s="83"/>
      <c r="I46" s="93">
        <f>IF(ISERROR(VLOOKUP($C46,$I$9:$I$18,1,0)),0,1)*F46</f>
        <v>5</v>
      </c>
      <c r="J46" s="93">
        <f t="shared" si="1"/>
        <v>5</v>
      </c>
      <c r="K46" s="93">
        <f t="shared" si="2"/>
        <v>0</v>
      </c>
      <c r="L46" s="93">
        <f t="shared" si="3"/>
        <v>10</v>
      </c>
    </row>
    <row r="47" spans="3:12" s="88" customFormat="1" x14ac:dyDescent="0.2">
      <c r="C47" s="86" t="str">
        <f>'CF (Equity, Debt)'!C29</f>
        <v>vTv Therapeutics Inc.</v>
      </c>
      <c r="D47" s="87">
        <f>'CF (Equity, Debt)'!D29</f>
        <v>44712</v>
      </c>
      <c r="E47" s="94">
        <f>'CF (Equity, Debt)'!E29</f>
        <v>-12.5</v>
      </c>
      <c r="F47" s="94"/>
      <c r="G47" s="83"/>
      <c r="H47" s="94">
        <f>E47</f>
        <v>-12.5</v>
      </c>
      <c r="I47" s="93">
        <f t="shared" si="0"/>
        <v>0</v>
      </c>
      <c r="J47" s="93">
        <f t="shared" si="1"/>
        <v>0</v>
      </c>
      <c r="K47" s="93">
        <f t="shared" si="2"/>
        <v>0</v>
      </c>
      <c r="L47" s="93">
        <f t="shared" si="3"/>
        <v>0</v>
      </c>
    </row>
    <row r="48" spans="3:12" x14ac:dyDescent="0.2">
      <c r="C48" s="84" t="str">
        <f>'CF (Equity, Debt)'!C30</f>
        <v>Honor Device Co Ltd</v>
      </c>
      <c r="D48" s="85">
        <f>'CF (Equity, Debt)'!D30</f>
        <v>44769</v>
      </c>
      <c r="E48" s="93">
        <f>'CF (Equity, Debt)'!E30</f>
        <v>-800</v>
      </c>
      <c r="F48" s="93"/>
      <c r="H48" s="93">
        <f>E48</f>
        <v>-800</v>
      </c>
      <c r="I48" s="93">
        <f t="shared" si="0"/>
        <v>0</v>
      </c>
      <c r="J48" s="93">
        <f t="shared" si="1"/>
        <v>0</v>
      </c>
      <c r="K48" s="93">
        <f t="shared" si="2"/>
        <v>0</v>
      </c>
      <c r="L48" s="93">
        <f t="shared" si="3"/>
        <v>0</v>
      </c>
    </row>
    <row r="49" spans="2:12" x14ac:dyDescent="0.2">
      <c r="I49" s="93">
        <f t="shared" si="0"/>
        <v>0</v>
      </c>
      <c r="J49" s="93">
        <f t="shared" si="1"/>
        <v>0</v>
      </c>
      <c r="K49" s="93">
        <f t="shared" si="2"/>
        <v>0</v>
      </c>
      <c r="L49" s="93">
        <f t="shared" si="3"/>
        <v>0</v>
      </c>
    </row>
    <row r="50" spans="2:12" x14ac:dyDescent="0.2">
      <c r="B50" s="88">
        <v>1</v>
      </c>
      <c r="C50" s="86" t="s">
        <v>59</v>
      </c>
      <c r="D50" s="87">
        <v>44742</v>
      </c>
      <c r="G50" s="94">
        <f>VLOOKUP(C50,NAV!$B$9:$D$39,3,0)</f>
        <v>0</v>
      </c>
      <c r="I50" s="93">
        <f t="shared" si="0"/>
        <v>0</v>
      </c>
      <c r="J50" s="93">
        <f t="shared" si="1"/>
        <v>0</v>
      </c>
      <c r="K50" s="93">
        <f t="shared" si="2"/>
        <v>0</v>
      </c>
      <c r="L50" s="93">
        <f t="shared" si="3"/>
        <v>0</v>
      </c>
    </row>
    <row r="51" spans="2:12" x14ac:dyDescent="0.2">
      <c r="B51" s="88">
        <v>1</v>
      </c>
      <c r="C51" s="84" t="s">
        <v>0</v>
      </c>
      <c r="D51" s="85">
        <v>44742</v>
      </c>
      <c r="G51" s="93">
        <f>VLOOKUP(C51,NAV!$B$9:$D$39,3,0)</f>
        <v>3.1</v>
      </c>
      <c r="I51" s="93">
        <f t="shared" si="0"/>
        <v>0</v>
      </c>
      <c r="J51" s="93">
        <f t="shared" si="1"/>
        <v>0</v>
      </c>
      <c r="K51" s="93">
        <f t="shared" si="2"/>
        <v>3.1</v>
      </c>
      <c r="L51" s="93">
        <f t="shared" si="3"/>
        <v>3.1</v>
      </c>
    </row>
    <row r="52" spans="2:12" x14ac:dyDescent="0.2">
      <c r="B52" s="88">
        <v>1</v>
      </c>
      <c r="C52" s="86" t="s">
        <v>50</v>
      </c>
      <c r="D52" s="87">
        <v>44742</v>
      </c>
      <c r="G52" s="94">
        <f>VLOOKUP(C52,NAV!$B$9:$D$39,3,0)</f>
        <v>78.082229999999996</v>
      </c>
      <c r="H52" s="83"/>
      <c r="I52" s="93">
        <f t="shared" si="0"/>
        <v>0</v>
      </c>
      <c r="J52" s="93">
        <f t="shared" si="1"/>
        <v>0</v>
      </c>
      <c r="K52" s="93">
        <f t="shared" si="2"/>
        <v>78.082229999999996</v>
      </c>
      <c r="L52" s="93">
        <f t="shared" si="3"/>
        <v>78.082229999999996</v>
      </c>
    </row>
    <row r="53" spans="2:12" x14ac:dyDescent="0.2">
      <c r="B53" s="88">
        <v>1</v>
      </c>
      <c r="C53" s="84" t="s">
        <v>51</v>
      </c>
      <c r="D53" s="85">
        <v>44742</v>
      </c>
      <c r="G53" s="93">
        <f>VLOOKUP(C53,NAV!$B$9:$D$39,3,0)</f>
        <v>0</v>
      </c>
      <c r="I53" s="93">
        <f t="shared" si="0"/>
        <v>0</v>
      </c>
      <c r="J53" s="93">
        <f t="shared" si="1"/>
        <v>0</v>
      </c>
      <c r="K53" s="93">
        <f t="shared" si="2"/>
        <v>0</v>
      </c>
      <c r="L53" s="93">
        <f t="shared" si="3"/>
        <v>0</v>
      </c>
    </row>
    <row r="54" spans="2:12" x14ac:dyDescent="0.2">
      <c r="B54" s="88">
        <v>1</v>
      </c>
      <c r="C54" s="86" t="s">
        <v>49</v>
      </c>
      <c r="D54" s="87">
        <v>44742</v>
      </c>
      <c r="G54" s="94">
        <f>VLOOKUP(C54,NAV!$B$9:$D$39,3,0)</f>
        <v>91.001540300000002</v>
      </c>
      <c r="I54" s="93">
        <f t="shared" si="0"/>
        <v>0</v>
      </c>
      <c r="J54" s="93">
        <f t="shared" si="1"/>
        <v>0</v>
      </c>
      <c r="K54" s="93">
        <f t="shared" si="2"/>
        <v>91.001540300000002</v>
      </c>
      <c r="L54" s="93">
        <f t="shared" si="3"/>
        <v>91.001540300000002</v>
      </c>
    </row>
    <row r="55" spans="2:12" x14ac:dyDescent="0.2">
      <c r="B55" s="88">
        <v>1</v>
      </c>
      <c r="C55" s="84" t="s">
        <v>142</v>
      </c>
      <c r="D55" s="85">
        <v>44742</v>
      </c>
      <c r="G55" s="93">
        <f>VLOOKUP(C55,NAV!$B$9:$D$39,3,0)</f>
        <v>125.96278579200001</v>
      </c>
      <c r="I55" s="93">
        <f t="shared" si="0"/>
        <v>0</v>
      </c>
      <c r="J55" s="93">
        <f t="shared" si="1"/>
        <v>0</v>
      </c>
      <c r="K55" s="93">
        <f t="shared" si="2"/>
        <v>125.96278579200001</v>
      </c>
      <c r="L55" s="93">
        <f t="shared" si="3"/>
        <v>125.96278579200001</v>
      </c>
    </row>
    <row r="56" spans="2:12" x14ac:dyDescent="0.2">
      <c r="B56" s="88">
        <v>1</v>
      </c>
      <c r="C56" s="86" t="s">
        <v>11</v>
      </c>
      <c r="D56" s="87">
        <v>44742</v>
      </c>
      <c r="G56" s="94">
        <f>VLOOKUP(C56,NAV!$B$9:$D$39,3,0)</f>
        <v>136.63999999999999</v>
      </c>
      <c r="I56" s="93">
        <f t="shared" si="0"/>
        <v>0</v>
      </c>
      <c r="J56" s="93">
        <f t="shared" si="1"/>
        <v>0</v>
      </c>
      <c r="K56" s="93">
        <f t="shared" si="2"/>
        <v>136.63999999999999</v>
      </c>
      <c r="L56" s="93">
        <f t="shared" si="3"/>
        <v>136.63999999999999</v>
      </c>
    </row>
    <row r="57" spans="2:12" x14ac:dyDescent="0.2">
      <c r="B57" s="88"/>
      <c r="C57" s="84" t="s">
        <v>24</v>
      </c>
      <c r="D57" s="85">
        <v>44742</v>
      </c>
      <c r="G57" s="93">
        <f>VLOOKUP(C57,NAV!$B$9:$D$39,3,0)</f>
        <v>20</v>
      </c>
      <c r="H57" s="99">
        <f>G57</f>
        <v>20</v>
      </c>
      <c r="I57" s="93">
        <f t="shared" si="0"/>
        <v>0</v>
      </c>
      <c r="J57" s="93">
        <f t="shared" si="1"/>
        <v>0</v>
      </c>
      <c r="K57" s="93">
        <f t="shared" si="2"/>
        <v>0</v>
      </c>
      <c r="L57" s="93">
        <f t="shared" si="3"/>
        <v>0</v>
      </c>
    </row>
    <row r="58" spans="2:12" x14ac:dyDescent="0.2">
      <c r="B58" s="88"/>
      <c r="C58" s="86" t="s">
        <v>52</v>
      </c>
      <c r="D58" s="87">
        <v>44742</v>
      </c>
      <c r="G58" s="94">
        <f>VLOOKUP(C58,NAV!$B$9:$D$39,3,0)</f>
        <v>39.999983359999995</v>
      </c>
      <c r="H58" s="99">
        <f>G58</f>
        <v>39.999983359999995</v>
      </c>
      <c r="I58" s="93">
        <f t="shared" si="0"/>
        <v>0</v>
      </c>
      <c r="J58" s="93">
        <f t="shared" si="1"/>
        <v>0</v>
      </c>
      <c r="K58" s="93">
        <f t="shared" si="2"/>
        <v>0</v>
      </c>
      <c r="L58" s="93">
        <f t="shared" si="3"/>
        <v>0</v>
      </c>
    </row>
    <row r="59" spans="2:12" x14ac:dyDescent="0.2">
      <c r="B59" s="88">
        <v>1</v>
      </c>
      <c r="C59" s="84" t="s">
        <v>53</v>
      </c>
      <c r="D59" s="85">
        <v>44742</v>
      </c>
      <c r="G59" s="93">
        <f>VLOOKUP(C59,NAV!$B$9:$D$39,3,0)</f>
        <v>3</v>
      </c>
      <c r="I59" s="93">
        <f t="shared" si="0"/>
        <v>0</v>
      </c>
      <c r="J59" s="93">
        <f t="shared" si="1"/>
        <v>0</v>
      </c>
      <c r="K59" s="93">
        <f t="shared" si="2"/>
        <v>3</v>
      </c>
      <c r="L59" s="93">
        <f t="shared" si="3"/>
        <v>3</v>
      </c>
    </row>
    <row r="60" spans="2:12" x14ac:dyDescent="0.2">
      <c r="B60" s="88">
        <v>1</v>
      </c>
      <c r="C60" s="86" t="s">
        <v>54</v>
      </c>
      <c r="D60" s="87">
        <v>44742</v>
      </c>
      <c r="G60" s="94">
        <f>VLOOKUP(C60,NAV!$B$9:$D$39,3,0)</f>
        <v>5.0237201984774336</v>
      </c>
      <c r="H60" s="99">
        <f>G60</f>
        <v>5.0237201984774336</v>
      </c>
      <c r="I60" s="93">
        <f t="shared" si="0"/>
        <v>0</v>
      </c>
      <c r="J60" s="93">
        <f t="shared" si="1"/>
        <v>0</v>
      </c>
      <c r="K60" s="93">
        <f t="shared" si="2"/>
        <v>5.0237201984774336</v>
      </c>
      <c r="L60" s="93">
        <f t="shared" si="3"/>
        <v>5.0237201984774336</v>
      </c>
    </row>
    <row r="61" spans="2:12" x14ac:dyDescent="0.2">
      <c r="B61" s="88"/>
      <c r="C61" s="84" t="s">
        <v>120</v>
      </c>
      <c r="D61" s="85">
        <v>44742</v>
      </c>
      <c r="G61" s="93">
        <f>VLOOKUP(C61,NAV!$B$9:$D$39,3,0)</f>
        <v>493.50095619999996</v>
      </c>
      <c r="H61" s="99">
        <f>G61</f>
        <v>493.50095619999996</v>
      </c>
      <c r="I61" s="93">
        <f t="shared" si="0"/>
        <v>0</v>
      </c>
      <c r="J61" s="93">
        <f t="shared" si="1"/>
        <v>0</v>
      </c>
      <c r="K61" s="93">
        <f t="shared" si="2"/>
        <v>0</v>
      </c>
      <c r="L61" s="93">
        <f t="shared" si="3"/>
        <v>0</v>
      </c>
    </row>
    <row r="62" spans="2:12" x14ac:dyDescent="0.2">
      <c r="B62" s="88"/>
      <c r="C62" s="86" t="s">
        <v>25</v>
      </c>
      <c r="D62" s="87">
        <v>44742</v>
      </c>
      <c r="G62" s="94">
        <f>VLOOKUP(C62,NAV!$B$9:$D$39,3,0)</f>
        <v>300</v>
      </c>
      <c r="H62" s="99">
        <f>G62</f>
        <v>300</v>
      </c>
      <c r="I62" s="93">
        <f t="shared" si="0"/>
        <v>0</v>
      </c>
      <c r="J62" s="93">
        <f t="shared" si="1"/>
        <v>0</v>
      </c>
      <c r="K62" s="93">
        <f t="shared" si="2"/>
        <v>0</v>
      </c>
      <c r="L62" s="93">
        <f t="shared" si="3"/>
        <v>0</v>
      </c>
    </row>
    <row r="63" spans="2:12" x14ac:dyDescent="0.2">
      <c r="B63" s="88"/>
      <c r="C63" s="84" t="s">
        <v>143</v>
      </c>
      <c r="D63" s="85">
        <v>44742</v>
      </c>
      <c r="G63" s="93">
        <f>VLOOKUP(C63,NAV!$B$9:$D$39,3,0)</f>
        <v>-2.4253142200000006</v>
      </c>
      <c r="H63" s="99">
        <f>G63</f>
        <v>-2.4253142200000006</v>
      </c>
      <c r="I63" s="93">
        <f t="shared" si="0"/>
        <v>0</v>
      </c>
      <c r="J63" s="93">
        <f t="shared" si="1"/>
        <v>0</v>
      </c>
      <c r="K63" s="93">
        <f t="shared" si="2"/>
        <v>0</v>
      </c>
      <c r="L63" s="93">
        <f t="shared" si="3"/>
        <v>0</v>
      </c>
    </row>
    <row r="64" spans="2:12" x14ac:dyDescent="0.2">
      <c r="B64" s="88"/>
      <c r="C64" s="86" t="s">
        <v>46</v>
      </c>
      <c r="D64" s="87">
        <v>44742</v>
      </c>
      <c r="G64" s="94">
        <f>VLOOKUP(C64,NAV!$B$9:$D$39,3,0)</f>
        <v>860.46271279030282</v>
      </c>
      <c r="H64" s="99">
        <f>G64</f>
        <v>860.46271279030282</v>
      </c>
      <c r="I64" s="93">
        <f t="shared" si="0"/>
        <v>0</v>
      </c>
      <c r="J64" s="93">
        <f t="shared" si="1"/>
        <v>0</v>
      </c>
      <c r="K64" s="93">
        <f t="shared" si="2"/>
        <v>0</v>
      </c>
      <c r="L64" s="93">
        <f t="shared" si="3"/>
        <v>0</v>
      </c>
    </row>
    <row r="66" spans="9:12" x14ac:dyDescent="0.2">
      <c r="J66" s="101"/>
      <c r="K66" s="101"/>
      <c r="L66" s="101"/>
    </row>
    <row r="67" spans="9:12" x14ac:dyDescent="0.2">
      <c r="J67" s="100"/>
      <c r="K67" s="100"/>
      <c r="L67" s="100"/>
    </row>
    <row r="68" spans="9:12" x14ac:dyDescent="0.2">
      <c r="J68" s="100"/>
      <c r="K68" s="100"/>
      <c r="L68" s="100"/>
    </row>
    <row r="69" spans="9:12" x14ac:dyDescent="0.2">
      <c r="J69" s="100"/>
      <c r="K69" s="100"/>
      <c r="L69" s="100"/>
    </row>
    <row r="70" spans="9:12" x14ac:dyDescent="0.2">
      <c r="I70" s="83" t="s">
        <v>34</v>
      </c>
      <c r="J70" s="337">
        <f>XIRR(L22:L64,$D$22:$D$64)</f>
        <v>7.6285400986671456E-2</v>
      </c>
      <c r="K70" s="101">
        <f>XIRR(I26:I64,$D$26:$D$64)</f>
        <v>2.9802322387695314E-9</v>
      </c>
    </row>
    <row r="71" spans="9:12" x14ac:dyDescent="0.2">
      <c r="I71" s="83" t="s">
        <v>45</v>
      </c>
      <c r="J71" s="100">
        <f>SUM(J22:K64)/-SUM(I22:I64)</f>
        <v>1.178466765290141</v>
      </c>
      <c r="K71" s="100">
        <f ca="1">SUMIF(I$22:I$64,"&gt;0",I$22:I$64)/-SUMIF(I$22:I$64,"&lt;0",I$22:I$48)</f>
        <v>1.2987216064135349E-2</v>
      </c>
    </row>
    <row r="72" spans="9:12" x14ac:dyDescent="0.2">
      <c r="I72" s="83" t="s">
        <v>153</v>
      </c>
      <c r="J72" s="100">
        <f>SUM(K22:K64)/-SUM(I22:I64)</f>
        <v>1.1653086620968403</v>
      </c>
      <c r="K72" s="100">
        <f>SUMIF(I$48:I$64,"&gt;0",I$48:I$64)/-SUMIF(I$22:I$48,"&lt;0",I$22:I$48)</f>
        <v>0</v>
      </c>
    </row>
    <row r="73" spans="9:12" x14ac:dyDescent="0.2">
      <c r="I73" s="83" t="s">
        <v>152</v>
      </c>
      <c r="J73" s="100">
        <f>SUM(J22:J64)/-SUM(I22:I64)</f>
        <v>1.3158103193300939E-2</v>
      </c>
      <c r="K73" s="100">
        <f>SUMIF(I$22:I$48,"&gt;0",I$22:I$48)/-SUMIF(I$22:I$48,"&lt;0",I$22:I$48)</f>
        <v>1.2987216064135349E-2</v>
      </c>
    </row>
  </sheetData>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63B2E-A46F-4CF4-B197-AA53D41F9E76}">
  <sheetPr>
    <tabColor theme="4" tint="-0.499984740745262"/>
  </sheetPr>
  <dimension ref="B1:Y34"/>
  <sheetViews>
    <sheetView zoomScaleNormal="100" workbookViewId="0">
      <selection activeCell="Q46" sqref="Q46"/>
    </sheetView>
  </sheetViews>
  <sheetFormatPr defaultRowHeight="12.75" x14ac:dyDescent="0.2"/>
  <cols>
    <col min="1" max="1" width="9.140625" style="138"/>
    <col min="2" max="2" width="21.5703125" style="138" bestFit="1" customWidth="1"/>
    <col min="3" max="3" width="12.7109375" style="138" bestFit="1" customWidth="1"/>
    <col min="4" max="4" width="12.85546875" style="138" bestFit="1" customWidth="1"/>
    <col min="5" max="5" width="12.42578125" style="138" bestFit="1" customWidth="1"/>
    <col min="6" max="6" width="14" style="138" bestFit="1" customWidth="1"/>
    <col min="7" max="7" width="9.85546875" style="138" bestFit="1" customWidth="1"/>
    <col min="8" max="8" width="6.42578125" style="138" customWidth="1"/>
    <col min="9" max="9" width="25.42578125" style="138" bestFit="1" customWidth="1"/>
    <col min="10" max="10" width="10.5703125" style="138" bestFit="1" customWidth="1"/>
    <col min="11" max="11" width="12" style="138" bestFit="1" customWidth="1"/>
    <col min="12" max="13" width="14" style="138" bestFit="1" customWidth="1"/>
    <col min="14" max="14" width="9.85546875" style="138" bestFit="1" customWidth="1"/>
    <col min="15" max="15" width="9.140625" style="138"/>
    <col min="16" max="16" width="24.7109375" style="138" bestFit="1" customWidth="1"/>
    <col min="17" max="17" width="10.42578125" style="138" bestFit="1" customWidth="1"/>
    <col min="18" max="18" width="8.42578125" style="138" bestFit="1" customWidth="1"/>
    <col min="19" max="19" width="12" style="138" bestFit="1" customWidth="1"/>
    <col min="20" max="20" width="12.42578125" style="138" bestFit="1" customWidth="1"/>
    <col min="21" max="21" width="14" style="138" bestFit="1" customWidth="1"/>
    <col min="22" max="25" width="7.28515625" style="138" customWidth="1"/>
    <col min="26" max="16384" width="9.140625" style="138"/>
  </cols>
  <sheetData>
    <row r="1" spans="2:25" x14ac:dyDescent="0.2">
      <c r="J1" s="151"/>
      <c r="K1" s="151"/>
      <c r="L1" s="151"/>
      <c r="M1" s="151"/>
      <c r="N1" s="151"/>
    </row>
    <row r="2" spans="2:25" s="166" customFormat="1" ht="43.5" customHeight="1" x14ac:dyDescent="0.45">
      <c r="B2" s="352" t="s">
        <v>313</v>
      </c>
      <c r="C2" s="353"/>
      <c r="D2" s="353"/>
      <c r="E2" s="353"/>
      <c r="F2" s="361"/>
      <c r="G2" s="361"/>
      <c r="H2" s="361"/>
      <c r="I2" s="361"/>
      <c r="J2" s="354"/>
      <c r="K2" s="355"/>
      <c r="L2" s="354"/>
    </row>
    <row r="3" spans="2:25" ht="13.5" thickBot="1" x14ac:dyDescent="0.25">
      <c r="J3" s="151"/>
      <c r="K3" s="151"/>
      <c r="L3" s="151"/>
      <c r="M3" s="151"/>
      <c r="N3" s="151"/>
    </row>
    <row r="4" spans="2:25" ht="13.5" thickBot="1" x14ac:dyDescent="0.25">
      <c r="B4" s="277" t="s">
        <v>261</v>
      </c>
      <c r="C4" s="291">
        <f>D!D2</f>
        <v>44834</v>
      </c>
      <c r="I4" s="295" t="s">
        <v>270</v>
      </c>
      <c r="J4" s="296"/>
      <c r="K4" s="296"/>
      <c r="L4" s="296"/>
      <c r="M4" s="296"/>
      <c r="N4" s="296"/>
      <c r="O4" s="129"/>
      <c r="P4" s="295" t="s">
        <v>265</v>
      </c>
      <c r="Q4" s="296"/>
      <c r="R4" s="296"/>
      <c r="S4" s="296"/>
      <c r="T4" s="296"/>
      <c r="U4" s="296"/>
    </row>
    <row r="5" spans="2:25" x14ac:dyDescent="0.2">
      <c r="I5" s="295"/>
      <c r="J5" s="296"/>
      <c r="K5" s="296"/>
      <c r="L5" s="296"/>
      <c r="M5" s="296"/>
      <c r="N5" s="296"/>
      <c r="P5" s="295"/>
      <c r="Q5" s="296"/>
      <c r="R5" s="296"/>
      <c r="S5" s="296"/>
      <c r="T5" s="296"/>
      <c r="U5" s="296"/>
    </row>
    <row r="6" spans="2:25" x14ac:dyDescent="0.2">
      <c r="B6" s="298" t="s">
        <v>48</v>
      </c>
    </row>
    <row r="7" spans="2:25" ht="25.5" x14ac:dyDescent="0.2">
      <c r="B7" s="114" t="s">
        <v>6</v>
      </c>
      <c r="C7" s="127" t="s">
        <v>7</v>
      </c>
      <c r="D7" s="128" t="s">
        <v>271</v>
      </c>
      <c r="E7" s="128" t="s">
        <v>272</v>
      </c>
      <c r="F7" s="128" t="s">
        <v>249</v>
      </c>
      <c r="G7" s="128" t="s">
        <v>251</v>
      </c>
      <c r="I7" s="127"/>
      <c r="J7" s="127"/>
      <c r="K7" s="128" t="s">
        <v>151</v>
      </c>
      <c r="L7" s="128" t="s">
        <v>260</v>
      </c>
      <c r="M7" s="128" t="s">
        <v>249</v>
      </c>
      <c r="N7" s="128" t="s">
        <v>251</v>
      </c>
      <c r="P7" s="127"/>
      <c r="Q7" s="127" t="s">
        <v>43</v>
      </c>
      <c r="R7" s="128" t="s">
        <v>2</v>
      </c>
      <c r="S7" s="128" t="s">
        <v>62</v>
      </c>
      <c r="T7" s="128" t="s">
        <v>44</v>
      </c>
      <c r="U7" s="128" t="s">
        <v>249</v>
      </c>
      <c r="V7" s="128" t="s">
        <v>34</v>
      </c>
      <c r="W7" s="128" t="s">
        <v>45</v>
      </c>
      <c r="X7" s="128" t="s">
        <v>262</v>
      </c>
      <c r="Y7" s="128" t="s">
        <v>152</v>
      </c>
    </row>
    <row r="8" spans="2:25" x14ac:dyDescent="0.2">
      <c r="B8" s="138" t="s">
        <v>40</v>
      </c>
      <c r="J8" s="151"/>
      <c r="K8" s="151"/>
      <c r="L8" s="151"/>
      <c r="M8" s="151"/>
      <c r="N8" s="151"/>
      <c r="P8" s="268"/>
      <c r="V8" s="272"/>
    </row>
    <row r="9" spans="2:25" x14ac:dyDescent="0.2">
      <c r="B9" s="117" t="s">
        <v>60</v>
      </c>
      <c r="C9" s="120">
        <v>43635</v>
      </c>
      <c r="D9" s="118">
        <v>-8</v>
      </c>
      <c r="E9" s="118"/>
      <c r="F9" s="118"/>
      <c r="G9" s="118">
        <f t="shared" ref="G9:G11" si="0">SUM(D9:F9)</f>
        <v>-8</v>
      </c>
      <c r="I9" s="117" t="s">
        <v>60</v>
      </c>
      <c r="J9" s="120">
        <v>43635</v>
      </c>
      <c r="K9" s="118">
        <v>-8</v>
      </c>
      <c r="L9" s="118"/>
      <c r="M9" s="118"/>
      <c r="N9" s="118">
        <f>SUM(K9:M9)</f>
        <v>-8</v>
      </c>
      <c r="P9" s="270" t="s">
        <v>60</v>
      </c>
      <c r="Q9" s="269">
        <f>R9</f>
        <v>8</v>
      </c>
      <c r="R9" s="269">
        <f>-D9</f>
        <v>8</v>
      </c>
      <c r="S9" s="269">
        <v>0</v>
      </c>
      <c r="T9" s="269">
        <f>E9</f>
        <v>0</v>
      </c>
      <c r="U9" s="269">
        <f>F13</f>
        <v>0</v>
      </c>
      <c r="V9" s="294" t="str">
        <f>J12</f>
        <v>NM</v>
      </c>
      <c r="W9" s="283">
        <f>(T9+U9)/R9</f>
        <v>0</v>
      </c>
      <c r="X9" s="283">
        <f>U9/R9</f>
        <v>0</v>
      </c>
      <c r="Y9" s="283">
        <f>T9/R9</f>
        <v>0</v>
      </c>
    </row>
    <row r="10" spans="2:25" x14ac:dyDescent="0.2">
      <c r="B10" s="117" t="s">
        <v>0</v>
      </c>
      <c r="C10" s="120">
        <v>44293</v>
      </c>
      <c r="D10" s="118">
        <v>-2.3539819999999998</v>
      </c>
      <c r="E10" s="118"/>
      <c r="F10" s="118"/>
      <c r="G10" s="118">
        <f t="shared" si="0"/>
        <v>-2.3539819999999998</v>
      </c>
      <c r="I10" s="122" t="s">
        <v>60</v>
      </c>
      <c r="J10" s="123">
        <f>$C$4</f>
        <v>44834</v>
      </c>
      <c r="K10" s="125"/>
      <c r="L10" s="125"/>
      <c r="M10" s="125">
        <v>0</v>
      </c>
      <c r="N10" s="125">
        <f>SUM(K10:M10)</f>
        <v>0</v>
      </c>
      <c r="P10" s="270" t="s">
        <v>0</v>
      </c>
      <c r="Q10" s="269">
        <f>R10</f>
        <v>2.3539819999999998</v>
      </c>
      <c r="R10" s="269">
        <f>-D10</f>
        <v>2.3539819999999998</v>
      </c>
      <c r="S10" s="269">
        <v>0</v>
      </c>
      <c r="T10" s="269">
        <f>E10</f>
        <v>0</v>
      </c>
      <c r="U10" s="269">
        <f>F14</f>
        <v>2.3539819999999998</v>
      </c>
      <c r="V10" s="294">
        <f>J22:J22</f>
        <v>2.9802322387695314E-9</v>
      </c>
      <c r="W10" s="283">
        <f t="shared" ref="W10:W12" si="1">(T10+U10)/R10</f>
        <v>1</v>
      </c>
      <c r="X10" s="283">
        <f>U10/R10</f>
        <v>1</v>
      </c>
      <c r="Y10" s="283">
        <f>T10/R10</f>
        <v>0</v>
      </c>
    </row>
    <row r="11" spans="2:25" x14ac:dyDescent="0.2">
      <c r="B11" s="117" t="s">
        <v>51</v>
      </c>
      <c r="C11" s="120">
        <v>44384</v>
      </c>
      <c r="D11" s="118">
        <v>-0.41176499999999999</v>
      </c>
      <c r="E11" s="118"/>
      <c r="F11" s="118"/>
      <c r="G11" s="118">
        <f t="shared" si="0"/>
        <v>-0.41176499999999999</v>
      </c>
      <c r="J11" s="151"/>
      <c r="K11" s="151"/>
      <c r="L11" s="151"/>
      <c r="M11" s="151"/>
      <c r="N11" s="151"/>
      <c r="P11" s="270" t="s">
        <v>51</v>
      </c>
      <c r="Q11" s="269">
        <f>R11</f>
        <v>0.41176499999999999</v>
      </c>
      <c r="R11" s="269">
        <f>-D11</f>
        <v>0.41176499999999999</v>
      </c>
      <c r="S11" s="269">
        <v>0</v>
      </c>
      <c r="T11" s="269">
        <f>E11</f>
        <v>0</v>
      </c>
      <c r="U11" s="269">
        <f>F15</f>
        <v>0.45643868219178102</v>
      </c>
      <c r="V11" s="294">
        <f>J31</f>
        <v>8.7134918570518527E-2</v>
      </c>
      <c r="W11" s="283">
        <f t="shared" si="1"/>
        <v>1.108493150684932</v>
      </c>
      <c r="X11" s="283">
        <f>U11/R11</f>
        <v>1.108493150684932</v>
      </c>
      <c r="Y11" s="283">
        <f>T11/R11</f>
        <v>0</v>
      </c>
    </row>
    <row r="12" spans="2:25" x14ac:dyDescent="0.2">
      <c r="B12" s="264"/>
      <c r="C12" s="265"/>
      <c r="D12" s="266"/>
      <c r="E12" s="266"/>
      <c r="F12" s="266"/>
      <c r="G12" s="266"/>
      <c r="I12" s="273" t="s">
        <v>250</v>
      </c>
      <c r="J12" s="302" t="str">
        <f>IF(ISERROR(XIRR(N9:N10,J9:J10)),"NM",XIRR(N9:N10,J9:J10))</f>
        <v>NM</v>
      </c>
      <c r="K12" s="151"/>
      <c r="L12" s="129" t="s">
        <v>253</v>
      </c>
      <c r="N12" s="151"/>
      <c r="P12" s="280"/>
      <c r="Q12" s="282">
        <f>SUM(Q9:Q11)</f>
        <v>10.765747000000001</v>
      </c>
      <c r="R12" s="282">
        <f>SUM(R9:R11)</f>
        <v>10.765747000000001</v>
      </c>
      <c r="S12" s="282">
        <f>SUM(S9:S11)</f>
        <v>0</v>
      </c>
      <c r="T12" s="282">
        <f>SUM(T9:T11)</f>
        <v>0</v>
      </c>
      <c r="U12" s="282">
        <f>SUM(U9:U11)</f>
        <v>2.810420682191781</v>
      </c>
      <c r="V12" s="428">
        <f>XIRR(G9:G15,C9:C15)</f>
        <v>-0.40060764662921433</v>
      </c>
      <c r="W12" s="284">
        <f t="shared" si="1"/>
        <v>0.26105208325922769</v>
      </c>
      <c r="X12" s="284">
        <f>U12/R12</f>
        <v>0.26105208325922769</v>
      </c>
      <c r="Y12" s="284">
        <f t="shared" ref="Y12" si="2">T12/R12</f>
        <v>0</v>
      </c>
    </row>
    <row r="13" spans="2:25" x14ac:dyDescent="0.2">
      <c r="B13" s="122" t="s">
        <v>60</v>
      </c>
      <c r="C13" s="123">
        <f>$C$4</f>
        <v>44834</v>
      </c>
      <c r="D13" s="125"/>
      <c r="E13" s="125"/>
      <c r="F13" s="125">
        <v>0</v>
      </c>
      <c r="G13" s="125">
        <f t="shared" ref="G13:G15" si="3">SUM(D13:F13)</f>
        <v>0</v>
      </c>
      <c r="I13" s="274" t="s">
        <v>45</v>
      </c>
      <c r="J13" s="289">
        <f>SUM(L9:M10)/-SUM(K9:K10)</f>
        <v>0</v>
      </c>
      <c r="K13" s="151"/>
      <c r="L13" s="129" t="s">
        <v>44</v>
      </c>
      <c r="M13" s="267"/>
      <c r="N13" s="151"/>
      <c r="P13" s="129"/>
    </row>
    <row r="14" spans="2:25" x14ac:dyDescent="0.2">
      <c r="B14" s="122" t="s">
        <v>0</v>
      </c>
      <c r="C14" s="123">
        <f t="shared" ref="C14:C15" si="4">$C$4</f>
        <v>44834</v>
      </c>
      <c r="D14" s="125"/>
      <c r="E14" s="125"/>
      <c r="F14" s="125">
        <v>2.3539819999999998</v>
      </c>
      <c r="G14" s="125">
        <f t="shared" si="3"/>
        <v>2.3539819999999998</v>
      </c>
      <c r="I14" s="274" t="s">
        <v>252</v>
      </c>
      <c r="J14" s="289">
        <f>SUM(M9:M10)/-SUM(K9:K10)</f>
        <v>0</v>
      </c>
      <c r="K14" s="151"/>
      <c r="L14" s="129" t="s">
        <v>249</v>
      </c>
      <c r="N14" s="151"/>
      <c r="S14" s="267"/>
      <c r="T14" s="267"/>
    </row>
    <row r="15" spans="2:25" x14ac:dyDescent="0.2">
      <c r="B15" s="122" t="s">
        <v>51</v>
      </c>
      <c r="C15" s="123">
        <f t="shared" si="4"/>
        <v>44834</v>
      </c>
      <c r="D15" s="125"/>
      <c r="E15" s="125"/>
      <c r="F15" s="125">
        <v>0.45643868219178102</v>
      </c>
      <c r="G15" s="125">
        <f t="shared" si="3"/>
        <v>0.45643868219178102</v>
      </c>
      <c r="I15" s="275" t="s">
        <v>152</v>
      </c>
      <c r="J15" s="290">
        <f>SUM(L9:L10)/-SUM(K9:K10)</f>
        <v>0</v>
      </c>
      <c r="K15" s="151"/>
      <c r="L15" s="151"/>
      <c r="M15" s="151"/>
      <c r="N15" s="151"/>
      <c r="P15" s="273" t="s">
        <v>250</v>
      </c>
      <c r="Q15" s="288">
        <f>XIRR(G9:G18,C9:C18)</f>
        <v>-0.40060764662921433</v>
      </c>
      <c r="S15" s="267"/>
      <c r="T15" s="267"/>
    </row>
    <row r="16" spans="2:25" x14ac:dyDescent="0.2">
      <c r="J16" s="151"/>
      <c r="K16" s="151"/>
      <c r="L16" s="151"/>
      <c r="M16" s="151"/>
      <c r="N16" s="151"/>
      <c r="P16" s="274" t="s">
        <v>45</v>
      </c>
      <c r="Q16" s="289">
        <f>SUM(T9:U11)/SUM(R9:R11)</f>
        <v>0.26105208325922769</v>
      </c>
      <c r="S16" s="271"/>
      <c r="T16" s="271"/>
    </row>
    <row r="17" spans="9:17" x14ac:dyDescent="0.2">
      <c r="J17" s="151"/>
      <c r="K17" s="151"/>
      <c r="L17" s="151"/>
      <c r="M17" s="151"/>
      <c r="N17" s="151"/>
      <c r="P17" s="274" t="s">
        <v>252</v>
      </c>
      <c r="Q17" s="289">
        <f>SUM(U9:U11)/SUM(R9:R11)</f>
        <v>0.26105208325922769</v>
      </c>
    </row>
    <row r="18" spans="9:17" x14ac:dyDescent="0.2">
      <c r="J18" s="151"/>
      <c r="K18" s="151"/>
      <c r="L18" s="151"/>
      <c r="M18" s="151"/>
      <c r="N18" s="151"/>
      <c r="P18" s="275" t="s">
        <v>152</v>
      </c>
      <c r="Q18" s="290">
        <f>SUM(T9:T11)/SUM(R9:R11)</f>
        <v>0</v>
      </c>
    </row>
    <row r="19" spans="9:17" x14ac:dyDescent="0.2">
      <c r="I19" s="117" t="s">
        <v>0</v>
      </c>
      <c r="J19" s="120">
        <v>44293</v>
      </c>
      <c r="K19" s="118">
        <v>-2.3539819999999998</v>
      </c>
      <c r="L19" s="118"/>
      <c r="M19" s="118"/>
      <c r="N19" s="118">
        <f>SUM(K19:M19)</f>
        <v>-2.3539819999999998</v>
      </c>
    </row>
    <row r="20" spans="9:17" x14ac:dyDescent="0.2">
      <c r="I20" s="122" t="s">
        <v>0</v>
      </c>
      <c r="J20" s="123">
        <f>$C$4</f>
        <v>44834</v>
      </c>
      <c r="K20" s="125"/>
      <c r="L20" s="125"/>
      <c r="M20" s="125">
        <v>2.3539819999999998</v>
      </c>
      <c r="N20" s="125">
        <f>SUM(K20:M20)</f>
        <v>2.3539819999999998</v>
      </c>
    </row>
    <row r="21" spans="9:17" x14ac:dyDescent="0.2">
      <c r="J21" s="151"/>
      <c r="K21" s="151"/>
      <c r="L21" s="151"/>
      <c r="M21" s="151"/>
      <c r="N21" s="151"/>
    </row>
    <row r="22" spans="9:17" x14ac:dyDescent="0.2">
      <c r="I22" s="273" t="s">
        <v>250</v>
      </c>
      <c r="J22" s="302">
        <f>IF(ISERROR(XIRR(N19:N20,J19:J20)),"NM",XIRR(N19:N20,J19:J20))</f>
        <v>2.9802322387695314E-9</v>
      </c>
      <c r="K22" s="151"/>
      <c r="L22" s="129" t="s">
        <v>253</v>
      </c>
      <c r="N22" s="151"/>
    </row>
    <row r="23" spans="9:17" x14ac:dyDescent="0.2">
      <c r="I23" s="274" t="s">
        <v>45</v>
      </c>
      <c r="J23" s="289">
        <f>SUM(L19:M20)/-SUM(K19:K20)</f>
        <v>1</v>
      </c>
      <c r="K23" s="151"/>
      <c r="L23" s="129" t="s">
        <v>44</v>
      </c>
      <c r="M23" s="267"/>
      <c r="N23" s="151"/>
    </row>
    <row r="24" spans="9:17" x14ac:dyDescent="0.2">
      <c r="I24" s="274" t="s">
        <v>252</v>
      </c>
      <c r="J24" s="289">
        <f>SUM(M19:M20)/-SUM(K19:K20)</f>
        <v>1</v>
      </c>
      <c r="K24" s="151"/>
      <c r="L24" s="129" t="s">
        <v>249</v>
      </c>
      <c r="N24" s="151"/>
    </row>
    <row r="25" spans="9:17" x14ac:dyDescent="0.2">
      <c r="I25" s="275" t="s">
        <v>152</v>
      </c>
      <c r="J25" s="290">
        <f>SUM(L19:L20)/-SUM(K19:K20)</f>
        <v>0</v>
      </c>
      <c r="K25" s="151"/>
      <c r="L25" s="151"/>
      <c r="M25" s="151"/>
      <c r="N25" s="151"/>
    </row>
    <row r="28" spans="9:17" x14ac:dyDescent="0.2">
      <c r="I28" s="117" t="s">
        <v>51</v>
      </c>
      <c r="J28" s="120">
        <v>44384</v>
      </c>
      <c r="K28" s="118">
        <v>-0.41176499999999999</v>
      </c>
      <c r="L28" s="118"/>
      <c r="M28" s="118"/>
      <c r="N28" s="118">
        <f>SUM(K28:M28)</f>
        <v>-0.41176499999999999</v>
      </c>
    </row>
    <row r="29" spans="9:17" x14ac:dyDescent="0.2">
      <c r="I29" s="122" t="s">
        <v>51</v>
      </c>
      <c r="J29" s="123">
        <f>$C$4</f>
        <v>44834</v>
      </c>
      <c r="K29" s="125"/>
      <c r="L29" s="125"/>
      <c r="M29" s="125">
        <v>0.45643868219178102</v>
      </c>
      <c r="N29" s="125">
        <f>SUM(K29:M29)</f>
        <v>0.45643868219178102</v>
      </c>
    </row>
    <row r="30" spans="9:17" x14ac:dyDescent="0.2">
      <c r="J30" s="151"/>
      <c r="K30" s="151"/>
      <c r="L30" s="151"/>
      <c r="M30" s="151"/>
      <c r="N30" s="151"/>
    </row>
    <row r="31" spans="9:17" x14ac:dyDescent="0.2">
      <c r="I31" s="273" t="s">
        <v>250</v>
      </c>
      <c r="J31" s="302">
        <f>IF(ISERROR(XIRR(N28:N29,J28:J29)),"NM",XIRR(N28:N29,J28:J29))</f>
        <v>8.7134918570518527E-2</v>
      </c>
      <c r="K31" s="151"/>
      <c r="L31" s="129" t="s">
        <v>253</v>
      </c>
      <c r="N31" s="151"/>
    </row>
    <row r="32" spans="9:17" x14ac:dyDescent="0.2">
      <c r="I32" s="274" t="s">
        <v>45</v>
      </c>
      <c r="J32" s="289">
        <f>SUM(L28:M29)/-SUM(K28:K29)</f>
        <v>1.108493150684932</v>
      </c>
      <c r="K32" s="151"/>
      <c r="L32" s="129" t="s">
        <v>44</v>
      </c>
      <c r="M32" s="267"/>
      <c r="N32" s="151"/>
    </row>
    <row r="33" spans="9:14" x14ac:dyDescent="0.2">
      <c r="I33" s="274" t="s">
        <v>252</v>
      </c>
      <c r="J33" s="289">
        <f>SUM(M28:M29)/-SUM(K28:K29)</f>
        <v>1.108493150684932</v>
      </c>
      <c r="K33" s="151"/>
      <c r="L33" s="129" t="s">
        <v>249</v>
      </c>
      <c r="N33" s="151"/>
    </row>
    <row r="34" spans="9:14" x14ac:dyDescent="0.2">
      <c r="I34" s="275" t="s">
        <v>152</v>
      </c>
      <c r="J34" s="290">
        <f>SUM(L28:L29)/-SUM(K28:K29)</f>
        <v>0</v>
      </c>
      <c r="K34" s="151"/>
      <c r="L34" s="151"/>
      <c r="M34" s="151"/>
      <c r="N34" s="151"/>
    </row>
  </sheetData>
  <pageMargins left="0.7" right="0.7" top="0.75" bottom="0.75" header="0.3" footer="0.3"/>
  <ignoredErrors>
    <ignoredError sqref="N9:N19 N28:N29 G9:G15" formulaRange="1"/>
  </ignoredError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4C787-9DEF-4C4B-99A2-5D58B438F6F3}">
  <sheetPr>
    <tabColor theme="4" tint="-0.499984740745262"/>
  </sheetPr>
  <dimension ref="B2:Y83"/>
  <sheetViews>
    <sheetView zoomScaleNormal="100" workbookViewId="0">
      <selection activeCell="F38" sqref="F38"/>
    </sheetView>
  </sheetViews>
  <sheetFormatPr defaultRowHeight="12.75" x14ac:dyDescent="0.2"/>
  <cols>
    <col min="1" max="1" width="2.85546875" style="138" customWidth="1"/>
    <col min="2" max="2" width="24" style="138" bestFit="1" customWidth="1"/>
    <col min="3" max="3" width="18.85546875" style="138" customWidth="1"/>
    <col min="4" max="4" width="13.140625" style="138" customWidth="1"/>
    <col min="5" max="5" width="13.42578125" style="138" customWidth="1"/>
    <col min="6" max="6" width="12.85546875" style="138" bestFit="1" customWidth="1"/>
    <col min="7" max="7" width="11.140625" style="138" customWidth="1"/>
    <col min="8" max="8" width="3.7109375" style="138" customWidth="1"/>
    <col min="9" max="9" width="24" style="138" bestFit="1" customWidth="1"/>
    <col min="10" max="10" width="13.42578125" style="151" customWidth="1"/>
    <col min="11" max="11" width="12.7109375" style="151" customWidth="1"/>
    <col min="12" max="13" width="12.85546875" style="151" bestFit="1" customWidth="1"/>
    <col min="14" max="14" width="10.85546875" style="151" customWidth="1"/>
    <col min="15" max="15" width="4.140625" style="138" customWidth="1"/>
    <col min="16" max="16" width="34" style="138" bestFit="1" customWidth="1"/>
    <col min="17" max="21" width="15.42578125" style="138" customWidth="1"/>
    <col min="22" max="25" width="11.42578125" style="138" customWidth="1"/>
    <col min="26" max="16384" width="9.140625" style="138"/>
  </cols>
  <sheetData>
    <row r="2" spans="2:25" s="166" customFormat="1" ht="43.5" customHeight="1" x14ac:dyDescent="0.45">
      <c r="B2" s="352" t="s">
        <v>314</v>
      </c>
      <c r="C2" s="353"/>
      <c r="D2" s="353"/>
      <c r="E2" s="353"/>
      <c r="F2" s="361"/>
      <c r="G2" s="361"/>
      <c r="H2" s="361"/>
      <c r="I2" s="361"/>
      <c r="J2" s="354"/>
      <c r="K2" s="355"/>
      <c r="L2" s="354"/>
    </row>
    <row r="3" spans="2:25" ht="13.5" thickBot="1" x14ac:dyDescent="0.25"/>
    <row r="4" spans="2:25" ht="13.5" thickBot="1" x14ac:dyDescent="0.25">
      <c r="B4" s="277" t="s">
        <v>261</v>
      </c>
      <c r="C4" s="291">
        <f>D!D2</f>
        <v>44834</v>
      </c>
      <c r="I4" s="295" t="s">
        <v>264</v>
      </c>
      <c r="J4" s="296"/>
      <c r="K4" s="296"/>
      <c r="L4" s="296"/>
      <c r="M4" s="296"/>
      <c r="N4" s="296"/>
      <c r="O4" s="129"/>
      <c r="P4" s="295" t="s">
        <v>265</v>
      </c>
      <c r="Q4" s="297"/>
      <c r="R4" s="297"/>
      <c r="S4" s="297"/>
      <c r="T4" s="297"/>
      <c r="U4" s="297"/>
      <c r="V4" s="297"/>
      <c r="W4" s="297"/>
      <c r="X4" s="297"/>
      <c r="Y4" s="297"/>
    </row>
    <row r="5" spans="2:25" x14ac:dyDescent="0.2">
      <c r="B5" s="299"/>
      <c r="C5" s="300"/>
      <c r="D5" s="301"/>
      <c r="I5" s="295"/>
      <c r="J5" s="296"/>
      <c r="K5" s="296"/>
      <c r="L5" s="296"/>
      <c r="M5" s="296"/>
      <c r="N5" s="296"/>
      <c r="O5" s="129"/>
      <c r="P5" s="295"/>
      <c r="Q5" s="297"/>
      <c r="R5" s="297"/>
      <c r="S5" s="297"/>
      <c r="T5" s="297"/>
      <c r="U5" s="297"/>
      <c r="V5" s="297"/>
      <c r="W5" s="297"/>
      <c r="X5" s="297"/>
      <c r="Y5" s="297"/>
    </row>
    <row r="6" spans="2:25" x14ac:dyDescent="0.2">
      <c r="B6" s="298" t="s">
        <v>48</v>
      </c>
      <c r="I6" s="276"/>
    </row>
    <row r="7" spans="2:25" ht="33.75" customHeight="1" x14ac:dyDescent="0.2">
      <c r="B7" s="114" t="s">
        <v>6</v>
      </c>
      <c r="C7" s="127" t="s">
        <v>7</v>
      </c>
      <c r="D7" s="128" t="s">
        <v>271</v>
      </c>
      <c r="E7" s="128" t="s">
        <v>272</v>
      </c>
      <c r="F7" s="128" t="s">
        <v>249</v>
      </c>
      <c r="G7" s="128" t="s">
        <v>251</v>
      </c>
      <c r="I7" s="127"/>
      <c r="J7" s="127"/>
      <c r="K7" s="128" t="s">
        <v>151</v>
      </c>
      <c r="L7" s="128" t="s">
        <v>260</v>
      </c>
      <c r="M7" s="128" t="s">
        <v>249</v>
      </c>
      <c r="N7" s="128" t="s">
        <v>251</v>
      </c>
      <c r="P7" s="127"/>
      <c r="Q7" s="127" t="s">
        <v>43</v>
      </c>
      <c r="R7" s="128" t="s">
        <v>2</v>
      </c>
      <c r="S7" s="128" t="s">
        <v>62</v>
      </c>
      <c r="T7" s="128" t="s">
        <v>44</v>
      </c>
      <c r="U7" s="128" t="s">
        <v>249</v>
      </c>
      <c r="V7" s="128" t="s">
        <v>34</v>
      </c>
      <c r="W7" s="128" t="s">
        <v>45</v>
      </c>
      <c r="X7" s="128" t="s">
        <v>262</v>
      </c>
      <c r="Y7" s="128" t="s">
        <v>152</v>
      </c>
    </row>
    <row r="8" spans="2:25" x14ac:dyDescent="0.2">
      <c r="B8" s="117" t="s">
        <v>15</v>
      </c>
      <c r="C8" s="116" t="s">
        <v>16</v>
      </c>
      <c r="D8" s="118">
        <v>-10.5</v>
      </c>
      <c r="E8" s="118"/>
      <c r="F8" s="118"/>
      <c r="G8" s="118">
        <f>SUM(D8:F8)</f>
        <v>-10.5</v>
      </c>
      <c r="P8" s="268" t="s">
        <v>41</v>
      </c>
      <c r="V8" s="272"/>
    </row>
    <row r="9" spans="2:25" x14ac:dyDescent="0.2">
      <c r="B9" s="117" t="s">
        <v>15</v>
      </c>
      <c r="C9" s="120">
        <v>44238</v>
      </c>
      <c r="D9" s="118">
        <v>4.2140269999999997</v>
      </c>
      <c r="E9" s="118"/>
      <c r="F9" s="118"/>
      <c r="G9" s="118">
        <f t="shared" ref="G9:G43" si="0">SUM(D9:F9)</f>
        <v>4.2140269999999997</v>
      </c>
      <c r="I9" s="117" t="s">
        <v>186</v>
      </c>
      <c r="J9" s="120">
        <v>44087</v>
      </c>
      <c r="K9" s="118">
        <v>-20.917552997000001</v>
      </c>
      <c r="L9" s="186"/>
      <c r="M9" s="186"/>
      <c r="N9" s="186">
        <f t="shared" ref="N9:N14" si="1">SUM(K9:M9)</f>
        <v>-20.917552997000001</v>
      </c>
      <c r="P9" s="270" t="s">
        <v>186</v>
      </c>
      <c r="Q9" s="269">
        <v>25.557908058353444</v>
      </c>
      <c r="R9" s="269">
        <f ca="1">-SUMIF($B$7:$F$103,$P9,$D$7:$D$103)</f>
        <v>21.611950741200001</v>
      </c>
      <c r="S9" s="269">
        <f ca="1">Q9-R9</f>
        <v>3.945957317153443</v>
      </c>
      <c r="T9" s="269">
        <f ca="1">SUMIF($B$7:$F$103,$P9,$E$7:$E$103)</f>
        <v>0</v>
      </c>
      <c r="U9" s="269">
        <f ca="1">SUMIF($B$7:$F$103,$P9,$F$7:$F$103)</f>
        <v>31.952799285000001</v>
      </c>
      <c r="V9" s="292">
        <f>J16</f>
        <v>0.21387833952903745</v>
      </c>
      <c r="W9" s="283">
        <f ca="1">(T9+U9)/R9</f>
        <v>1.4784782580540818</v>
      </c>
      <c r="X9" s="283">
        <f ca="1">U9/R9</f>
        <v>1.4784782580540818</v>
      </c>
      <c r="Y9" s="283">
        <f ca="1">T9/R9</f>
        <v>0</v>
      </c>
    </row>
    <row r="10" spans="2:25" x14ac:dyDescent="0.2">
      <c r="B10" s="117" t="s">
        <v>15</v>
      </c>
      <c r="C10" s="120">
        <v>44238</v>
      </c>
      <c r="D10" s="118"/>
      <c r="E10" s="118">
        <v>5.0448349999999996E-2</v>
      </c>
      <c r="F10" s="118"/>
      <c r="G10" s="118">
        <f t="shared" si="0"/>
        <v>5.0448349999999996E-2</v>
      </c>
      <c r="I10" s="117" t="s">
        <v>186</v>
      </c>
      <c r="J10" s="120">
        <v>44287</v>
      </c>
      <c r="K10" s="118">
        <v>-0.21103182000000001</v>
      </c>
      <c r="L10" s="186"/>
      <c r="M10" s="186"/>
      <c r="N10" s="186">
        <f t="shared" si="1"/>
        <v>-0.21103182000000001</v>
      </c>
      <c r="P10" s="270" t="s">
        <v>168</v>
      </c>
      <c r="Q10" s="269">
        <v>2.7058823529411762</v>
      </c>
      <c r="R10" s="269">
        <f ca="1">-SUMIF($B$7:$F$103,$P10,$D$7:$D$103)</f>
        <v>2.7058823529411762</v>
      </c>
      <c r="S10" s="269">
        <f t="shared" ref="S10:S13" ca="1" si="2">Q10-R10</f>
        <v>0</v>
      </c>
      <c r="T10" s="269">
        <f ca="1">SUMIF($B$7:$F$103,$P10,$E$7:$E$103)</f>
        <v>0</v>
      </c>
      <c r="U10" s="269">
        <f ca="1">SUMIF($B$7:$F$103,$P10,$F$7:$F$103)</f>
        <v>2.7058823529411762</v>
      </c>
      <c r="V10" s="294">
        <v>0</v>
      </c>
      <c r="W10" s="283">
        <f t="shared" ref="W10:W13" ca="1" si="3">(T10+U10)/R10</f>
        <v>1</v>
      </c>
      <c r="X10" s="283">
        <f t="shared" ref="X10:X13" ca="1" si="4">U10/R10</f>
        <v>1</v>
      </c>
      <c r="Y10" s="283">
        <f t="shared" ref="Y10:Y13" ca="1" si="5">T10/R10</f>
        <v>0</v>
      </c>
    </row>
    <row r="11" spans="2:25" x14ac:dyDescent="0.2">
      <c r="B11" s="117" t="s">
        <v>15</v>
      </c>
      <c r="C11" s="120">
        <v>44285</v>
      </c>
      <c r="D11" s="118">
        <v>-6.4337459999999993</v>
      </c>
      <c r="E11" s="118"/>
      <c r="F11" s="118"/>
      <c r="G11" s="118">
        <f t="shared" si="0"/>
        <v>-6.4337459999999993</v>
      </c>
      <c r="I11" s="117" t="s">
        <v>186</v>
      </c>
      <c r="J11" s="120">
        <v>44442</v>
      </c>
      <c r="K11" s="118">
        <v>-0.23965473139999999</v>
      </c>
      <c r="L11" s="186"/>
      <c r="M11" s="186"/>
      <c r="N11" s="186">
        <f t="shared" si="1"/>
        <v>-0.23965473139999999</v>
      </c>
      <c r="P11" s="270" t="s">
        <v>1</v>
      </c>
      <c r="Q11" s="269">
        <v>300</v>
      </c>
      <c r="R11" s="269">
        <f ca="1">-SUMIF($B$7:$F$103,$P11,$D$7:$D$103)</f>
        <v>83.214652999999984</v>
      </c>
      <c r="S11" s="269">
        <f ca="1">Q11-R11+T11</f>
        <v>217.81330800000001</v>
      </c>
      <c r="T11" s="269">
        <f ca="1">SUMIF($B$7:$F$103,$P11,$E$7:$E$103)</f>
        <v>1.0279609999999999</v>
      </c>
      <c r="U11" s="269">
        <f ca="1">SUMIF($B$7:$F$103,$P11,$F$7:$F$103)</f>
        <v>79.319999999999993</v>
      </c>
      <c r="V11" s="292">
        <f>J48</f>
        <v>-1.8174635618925093E-2</v>
      </c>
      <c r="W11" s="283">
        <f t="shared" ca="1" si="3"/>
        <v>0.96555063445376632</v>
      </c>
      <c r="X11" s="283">
        <f t="shared" ca="1" si="4"/>
        <v>0.95319750957803073</v>
      </c>
      <c r="Y11" s="283">
        <f t="shared" ca="1" si="5"/>
        <v>1.2353124875735528E-2</v>
      </c>
    </row>
    <row r="12" spans="2:25" x14ac:dyDescent="0.2">
      <c r="B12" s="117" t="s">
        <v>15</v>
      </c>
      <c r="C12" s="120">
        <v>44269</v>
      </c>
      <c r="D12" s="118">
        <v>1.1352073899999999</v>
      </c>
      <c r="E12" s="118"/>
      <c r="F12" s="118"/>
      <c r="G12" s="118">
        <f t="shared" si="0"/>
        <v>1.1352073899999999</v>
      </c>
      <c r="I12" s="117" t="s">
        <v>186</v>
      </c>
      <c r="J12" s="120">
        <v>44623</v>
      </c>
      <c r="K12" s="118">
        <v>-0.25893584940000003</v>
      </c>
      <c r="L12" s="186"/>
      <c r="M12" s="186"/>
      <c r="N12" s="186">
        <f t="shared" si="1"/>
        <v>-0.25893584940000003</v>
      </c>
      <c r="P12" s="270" t="s">
        <v>15</v>
      </c>
      <c r="Q12" s="269">
        <v>50</v>
      </c>
      <c r="R12" s="269">
        <f ca="1">-SUMIF($B$7:$F$103,$P12,$D$7:$D$103)</f>
        <v>16.790246</v>
      </c>
      <c r="S12" s="269">
        <f t="shared" ca="1" si="2"/>
        <v>33.209754000000004</v>
      </c>
      <c r="T12" s="269">
        <f ca="1">SUMIF($B$7:$F$103,$P12,$E$7:$E$103)</f>
        <v>0.44382834999999998</v>
      </c>
      <c r="U12" s="269">
        <f ca="1">SUMIF($B$7:$F$103,$P12,$F$7:$F$103)</f>
        <v>15.875237</v>
      </c>
      <c r="V12" s="292">
        <f>J68</f>
        <v>-1.6854354739189153E-2</v>
      </c>
      <c r="W12" s="283">
        <f t="shared" ca="1" si="3"/>
        <v>0.97193723963305834</v>
      </c>
      <c r="X12" s="283">
        <f t="shared" ca="1" si="4"/>
        <v>0.94550353818520594</v>
      </c>
      <c r="Y12" s="283">
        <f t="shared" ca="1" si="5"/>
        <v>2.6433701447852519E-2</v>
      </c>
    </row>
    <row r="13" spans="2:25" x14ac:dyDescent="0.2">
      <c r="B13" s="117" t="s">
        <v>15</v>
      </c>
      <c r="C13" s="120">
        <v>44269</v>
      </c>
      <c r="D13" s="118"/>
      <c r="E13" s="118">
        <v>2.5899999999999999E-2</v>
      </c>
      <c r="F13" s="118"/>
      <c r="G13" s="118">
        <f t="shared" si="0"/>
        <v>2.5899999999999999E-2</v>
      </c>
      <c r="I13" s="117" t="s">
        <v>186</v>
      </c>
      <c r="J13" s="120">
        <v>44784</v>
      </c>
      <c r="K13" s="118">
        <v>1.5224656599999999E-2</v>
      </c>
      <c r="L13" s="186"/>
      <c r="M13" s="186"/>
      <c r="N13" s="186">
        <f t="shared" si="1"/>
        <v>1.5224656599999999E-2</v>
      </c>
      <c r="P13" s="270" t="s">
        <v>263</v>
      </c>
      <c r="Q13" s="269">
        <v>17.112500000000001</v>
      </c>
      <c r="R13" s="269">
        <f ca="1">-SUMIF($B$7:$F$103,$P13,$D$7:$D$103)</f>
        <v>10.6268625</v>
      </c>
      <c r="S13" s="269">
        <f t="shared" ca="1" si="2"/>
        <v>6.4856375000000011</v>
      </c>
      <c r="T13" s="269">
        <f ca="1">SUMIF($B$7:$F$103,$P13,$E$7:$E$103)</f>
        <v>0</v>
      </c>
      <c r="U13" s="269">
        <f ca="1">SUMIF($B$7:$F$103,$P13,$F$7:$F$103)</f>
        <v>10.343446999999999</v>
      </c>
      <c r="V13" s="292">
        <f>J80</f>
        <v>-4.6596518158912664E-2</v>
      </c>
      <c r="W13" s="283">
        <f t="shared" ca="1" si="3"/>
        <v>0.97333027504590375</v>
      </c>
      <c r="X13" s="283">
        <f t="shared" ca="1" si="4"/>
        <v>0.97333027504590375</v>
      </c>
      <c r="Y13" s="283">
        <f t="shared" ca="1" si="5"/>
        <v>0</v>
      </c>
    </row>
    <row r="14" spans="2:25" x14ac:dyDescent="0.2">
      <c r="B14" s="117" t="s">
        <v>15</v>
      </c>
      <c r="C14" s="120">
        <v>44483</v>
      </c>
      <c r="D14" s="118">
        <v>-7.5671379999999999</v>
      </c>
      <c r="E14" s="118"/>
      <c r="F14" s="118"/>
      <c r="G14" s="118">
        <f t="shared" si="0"/>
        <v>-7.5671379999999999</v>
      </c>
      <c r="I14" s="122" t="s">
        <v>186</v>
      </c>
      <c r="J14" s="123">
        <f>$C$4</f>
        <v>44834</v>
      </c>
      <c r="K14" s="125"/>
      <c r="L14" s="125"/>
      <c r="M14" s="125">
        <v>31.952799285000001</v>
      </c>
      <c r="N14" s="125">
        <f t="shared" si="1"/>
        <v>31.952799285000001</v>
      </c>
      <c r="Q14" s="281"/>
      <c r="R14" s="278"/>
      <c r="S14" s="279"/>
      <c r="T14" s="279"/>
      <c r="U14" s="279"/>
      <c r="V14" s="272"/>
      <c r="W14" s="279"/>
      <c r="X14" s="279"/>
    </row>
    <row r="15" spans="2:25" x14ac:dyDescent="0.2">
      <c r="B15" s="117" t="s">
        <v>15</v>
      </c>
      <c r="C15" s="120">
        <v>44554</v>
      </c>
      <c r="D15" s="118">
        <v>-7.3850159999999994</v>
      </c>
      <c r="E15" s="118"/>
      <c r="F15" s="118"/>
      <c r="G15" s="118">
        <f t="shared" si="0"/>
        <v>-7.3850159999999994</v>
      </c>
      <c r="P15" s="280" t="s">
        <v>79</v>
      </c>
      <c r="Q15" s="282">
        <f>SUM(Q9:Q14)</f>
        <v>395.37629041129463</v>
      </c>
      <c r="R15" s="282">
        <f ca="1">SUM(R9:R14)</f>
        <v>134.94959459414116</v>
      </c>
      <c r="S15" s="282">
        <f ca="1">SUM(S9:S14)</f>
        <v>261.45465681715348</v>
      </c>
      <c r="T15" s="282">
        <f ca="1">SUM(T9:T14)</f>
        <v>1.4717893499999999</v>
      </c>
      <c r="U15" s="282">
        <f ca="1">SUM(U9:U14)</f>
        <v>140.19736563794118</v>
      </c>
      <c r="V15" s="293">
        <f>XIRR(G8:G59,C8:C59)</f>
        <v>2.7224668860435487E-2</v>
      </c>
      <c r="W15" s="284">
        <f t="shared" ref="W15" ca="1" si="6">(T15+U15)/R15</f>
        <v>1.0497931128582416</v>
      </c>
      <c r="X15" s="284">
        <f t="shared" ref="X15" ca="1" si="7">U15/R15</f>
        <v>1.0388868974344281</v>
      </c>
      <c r="Y15" s="284">
        <f t="shared" ref="Y15" ca="1" si="8">T15/R15</f>
        <v>1.090621542381349E-2</v>
      </c>
    </row>
    <row r="16" spans="2:25" x14ac:dyDescent="0.2">
      <c r="B16" s="117" t="s">
        <v>15</v>
      </c>
      <c r="C16" s="120">
        <v>44554</v>
      </c>
      <c r="D16" s="118">
        <v>4.0733456099999996</v>
      </c>
      <c r="E16" s="118"/>
      <c r="F16" s="118"/>
      <c r="G16" s="118">
        <f t="shared" si="0"/>
        <v>4.0733456099999996</v>
      </c>
      <c r="I16" s="273" t="s">
        <v>250</v>
      </c>
      <c r="J16" s="288">
        <f>XIRR(N9:N14,J9:J14)</f>
        <v>0.21387833952903745</v>
      </c>
      <c r="L16" s="129" t="s">
        <v>253</v>
      </c>
      <c r="M16" s="138" t="b">
        <f>-SUM(K9:K14)='Summary | 01 '!K34</f>
        <v>1</v>
      </c>
      <c r="P16" s="129"/>
    </row>
    <row r="17" spans="2:20" x14ac:dyDescent="0.2">
      <c r="B17" s="117" t="s">
        <v>15</v>
      </c>
      <c r="C17" s="120">
        <v>44554</v>
      </c>
      <c r="D17" s="118"/>
      <c r="E17" s="118">
        <v>0.13969399999999998</v>
      </c>
      <c r="F17" s="118"/>
      <c r="G17" s="118">
        <f t="shared" si="0"/>
        <v>0.13969399999999998</v>
      </c>
      <c r="I17" s="274" t="s">
        <v>45</v>
      </c>
      <c r="J17" s="289">
        <f>SUM(L9:M14)/-SUM(K9:K14)</f>
        <v>1.4784782580540818</v>
      </c>
      <c r="L17" s="129" t="s">
        <v>44</v>
      </c>
      <c r="M17" s="267" t="b">
        <f>-SUM(L9:L15)=-'Summary | 01 '!M34</f>
        <v>1</v>
      </c>
      <c r="S17" s="267"/>
      <c r="T17" s="267"/>
    </row>
    <row r="18" spans="2:20" x14ac:dyDescent="0.2">
      <c r="B18" s="117" t="s">
        <v>15</v>
      </c>
      <c r="C18" s="120">
        <v>44703</v>
      </c>
      <c r="D18" s="118">
        <v>5.6730739999999997</v>
      </c>
      <c r="E18" s="118"/>
      <c r="F18" s="118"/>
      <c r="G18" s="118">
        <f t="shared" si="0"/>
        <v>5.6730739999999997</v>
      </c>
      <c r="I18" s="274" t="s">
        <v>252</v>
      </c>
      <c r="J18" s="289">
        <f>SUM(M9:M14)/-SUM(K9:K14)</f>
        <v>1.4784782580540818</v>
      </c>
      <c r="L18" s="129" t="s">
        <v>249</v>
      </c>
      <c r="M18" s="138" t="b">
        <f>M14='Summary | 01 '!N34</f>
        <v>1</v>
      </c>
      <c r="P18" s="273" t="s">
        <v>250</v>
      </c>
      <c r="Q18" s="288">
        <f>XIRR(G8:G59,C8:C59)</f>
        <v>2.7224668860435487E-2</v>
      </c>
      <c r="S18" s="267"/>
      <c r="T18" s="267"/>
    </row>
    <row r="19" spans="2:20" x14ac:dyDescent="0.2">
      <c r="B19" s="117" t="s">
        <v>15</v>
      </c>
      <c r="C19" s="120">
        <v>44703</v>
      </c>
      <c r="D19" s="118"/>
      <c r="E19" s="118">
        <v>0.22778599999999999</v>
      </c>
      <c r="F19" s="118"/>
      <c r="G19" s="118">
        <f t="shared" si="0"/>
        <v>0.22778599999999999</v>
      </c>
      <c r="I19" s="275" t="s">
        <v>152</v>
      </c>
      <c r="J19" s="290">
        <f>SUM(L9:L14)/-SUM(K9:K14)</f>
        <v>0</v>
      </c>
      <c r="P19" s="274" t="s">
        <v>45</v>
      </c>
      <c r="Q19" s="289">
        <f ca="1">SUM(T9:U13)/SUM(R9:R13)</f>
        <v>1.0497931128582416</v>
      </c>
      <c r="S19" s="271"/>
      <c r="T19" s="271"/>
    </row>
    <row r="20" spans="2:20" x14ac:dyDescent="0.2">
      <c r="B20" s="122" t="s">
        <v>1</v>
      </c>
      <c r="C20" s="123" t="s">
        <v>22</v>
      </c>
      <c r="D20" s="125">
        <v>-3</v>
      </c>
      <c r="E20" s="125"/>
      <c r="F20" s="125"/>
      <c r="G20" s="125">
        <f t="shared" si="0"/>
        <v>-3</v>
      </c>
      <c r="P20" s="274" t="s">
        <v>252</v>
      </c>
      <c r="Q20" s="289">
        <f ca="1">SUM(U9:U13)/SUM(R9:R13)</f>
        <v>1.0388868974344281</v>
      </c>
    </row>
    <row r="21" spans="2:20" x14ac:dyDescent="0.2">
      <c r="B21" s="122" t="s">
        <v>1</v>
      </c>
      <c r="C21" s="123">
        <v>43983</v>
      </c>
      <c r="D21" s="125">
        <v>-4.4849999999999994</v>
      </c>
      <c r="E21" s="125"/>
      <c r="F21" s="125"/>
      <c r="G21" s="125">
        <f t="shared" si="0"/>
        <v>-4.4849999999999994</v>
      </c>
      <c r="P21" s="275" t="s">
        <v>152</v>
      </c>
      <c r="Q21" s="290">
        <f ca="1">SUM(T9:T13)/SUM(R9:R13)</f>
        <v>1.090621542381349E-2</v>
      </c>
    </row>
    <row r="22" spans="2:20" x14ac:dyDescent="0.2">
      <c r="B22" s="122" t="s">
        <v>1</v>
      </c>
      <c r="C22" s="123" t="s">
        <v>10</v>
      </c>
      <c r="D22" s="125">
        <v>-9.5097500000000004</v>
      </c>
      <c r="E22" s="125"/>
      <c r="F22" s="125"/>
      <c r="G22" s="125">
        <f t="shared" si="0"/>
        <v>-9.5097500000000004</v>
      </c>
    </row>
    <row r="23" spans="2:20" x14ac:dyDescent="0.2">
      <c r="B23" s="122" t="s">
        <v>1</v>
      </c>
      <c r="C23" s="123" t="s">
        <v>23</v>
      </c>
      <c r="D23" s="125">
        <v>-41.3</v>
      </c>
      <c r="E23" s="125"/>
      <c r="F23" s="125"/>
      <c r="G23" s="125">
        <f t="shared" si="0"/>
        <v>-41.3</v>
      </c>
      <c r="I23" s="117" t="s">
        <v>168</v>
      </c>
      <c r="J23" s="120">
        <v>44087</v>
      </c>
      <c r="K23" s="118">
        <v>-2.7058823529411762</v>
      </c>
      <c r="L23" s="186"/>
      <c r="M23" s="186"/>
      <c r="N23" s="186">
        <f>SUM(K23:M23)</f>
        <v>-2.7058823529411762</v>
      </c>
    </row>
    <row r="24" spans="2:20" x14ac:dyDescent="0.2">
      <c r="B24" s="122" t="s">
        <v>1</v>
      </c>
      <c r="C24" s="123" t="s">
        <v>172</v>
      </c>
      <c r="D24" s="125">
        <v>9.9499999999999993</v>
      </c>
      <c r="E24" s="125"/>
      <c r="F24" s="125"/>
      <c r="G24" s="125">
        <f t="shared" si="0"/>
        <v>9.9499999999999993</v>
      </c>
      <c r="I24" s="122" t="s">
        <v>168</v>
      </c>
      <c r="J24" s="123">
        <v>44819</v>
      </c>
      <c r="K24" s="125"/>
      <c r="L24" s="125"/>
      <c r="M24" s="125">
        <v>2.7058823529411762</v>
      </c>
      <c r="N24" s="125">
        <f>SUM(K24:M24)</f>
        <v>2.7058823529411762</v>
      </c>
    </row>
    <row r="25" spans="2:20" x14ac:dyDescent="0.2">
      <c r="B25" s="122" t="s">
        <v>1</v>
      </c>
      <c r="C25" s="123" t="s">
        <v>172</v>
      </c>
      <c r="D25" s="125">
        <v>-10.455</v>
      </c>
      <c r="E25" s="125"/>
      <c r="F25" s="125"/>
      <c r="G25" s="125">
        <f t="shared" si="0"/>
        <v>-10.455</v>
      </c>
    </row>
    <row r="26" spans="2:20" x14ac:dyDescent="0.2">
      <c r="B26" s="122" t="s">
        <v>1</v>
      </c>
      <c r="C26" s="123" t="s">
        <v>28</v>
      </c>
      <c r="D26" s="125">
        <v>4.9749999999999996</v>
      </c>
      <c r="E26" s="125"/>
      <c r="F26" s="125"/>
      <c r="G26" s="125">
        <f t="shared" si="0"/>
        <v>4.9749999999999996</v>
      </c>
      <c r="I26" s="273" t="s">
        <v>250</v>
      </c>
      <c r="J26" s="288">
        <f>XIRR(N23:N24,J23:J24)</f>
        <v>2.9802322387695314E-9</v>
      </c>
      <c r="L26" s="129" t="s">
        <v>253</v>
      </c>
      <c r="M26" s="138" t="b">
        <f>-SUM(K23:K24)='Summary | 01 '!K35</f>
        <v>1</v>
      </c>
    </row>
    <row r="27" spans="2:20" x14ac:dyDescent="0.2">
      <c r="B27" s="122" t="s">
        <v>1</v>
      </c>
      <c r="C27" s="123" t="s">
        <v>28</v>
      </c>
      <c r="D27" s="125">
        <v>-3.4522930000000001</v>
      </c>
      <c r="E27" s="125"/>
      <c r="F27" s="125"/>
      <c r="G27" s="125">
        <f t="shared" si="0"/>
        <v>-3.4522930000000001</v>
      </c>
      <c r="I27" s="274" t="s">
        <v>45</v>
      </c>
      <c r="J27" s="289">
        <f>SUM(L23:M24)/-SUM(K23:K24)</f>
        <v>1</v>
      </c>
      <c r="L27" s="129" t="s">
        <v>44</v>
      </c>
      <c r="M27" s="267" t="b">
        <f>-SUM(L19:L25)=-'Summary | 01 '!L35</f>
        <v>1</v>
      </c>
    </row>
    <row r="28" spans="2:20" x14ac:dyDescent="0.2">
      <c r="B28" s="122" t="s">
        <v>1</v>
      </c>
      <c r="C28" s="123" t="s">
        <v>28</v>
      </c>
      <c r="D28" s="125"/>
      <c r="E28" s="125">
        <v>0.58290199999999992</v>
      </c>
      <c r="F28" s="125"/>
      <c r="G28" s="125">
        <f t="shared" si="0"/>
        <v>0.58290199999999992</v>
      </c>
      <c r="I28" s="274" t="s">
        <v>252</v>
      </c>
      <c r="J28" s="289">
        <f>SUM(M23:M24)/-SUM(K23:K24)</f>
        <v>1</v>
      </c>
      <c r="L28" s="129" t="s">
        <v>249</v>
      </c>
      <c r="M28" s="138" t="b">
        <f>M24='Summary | 01 '!N35</f>
        <v>1</v>
      </c>
    </row>
    <row r="29" spans="2:20" x14ac:dyDescent="0.2">
      <c r="B29" s="122" t="s">
        <v>1</v>
      </c>
      <c r="C29" s="123">
        <v>44370</v>
      </c>
      <c r="D29" s="125">
        <v>-5.97</v>
      </c>
      <c r="E29" s="125"/>
      <c r="F29" s="125"/>
      <c r="G29" s="125">
        <f t="shared" si="0"/>
        <v>-5.97</v>
      </c>
      <c r="I29" s="275" t="s">
        <v>152</v>
      </c>
      <c r="J29" s="290">
        <f>SUM(L23:L24)/-SUM(K23:K24)</f>
        <v>0</v>
      </c>
    </row>
    <row r="30" spans="2:20" x14ac:dyDescent="0.2">
      <c r="B30" s="122" t="s">
        <v>1</v>
      </c>
      <c r="C30" s="123">
        <v>44400</v>
      </c>
      <c r="D30" s="125">
        <v>-0.75</v>
      </c>
      <c r="E30" s="125"/>
      <c r="F30" s="125"/>
      <c r="G30" s="125">
        <f t="shared" si="0"/>
        <v>-0.75</v>
      </c>
    </row>
    <row r="31" spans="2:20" x14ac:dyDescent="0.2">
      <c r="B31" s="122" t="s">
        <v>1</v>
      </c>
      <c r="C31" s="123">
        <v>44400</v>
      </c>
      <c r="D31" s="125"/>
      <c r="E31" s="125">
        <v>0.44505899999999998</v>
      </c>
      <c r="F31" s="125"/>
      <c r="G31" s="125">
        <f t="shared" si="0"/>
        <v>0.44505899999999998</v>
      </c>
    </row>
    <row r="32" spans="2:20" x14ac:dyDescent="0.2">
      <c r="B32" s="122" t="s">
        <v>1</v>
      </c>
      <c r="C32" s="123">
        <v>44554</v>
      </c>
      <c r="D32" s="125">
        <v>1.7823899999999999</v>
      </c>
      <c r="E32" s="125"/>
      <c r="F32" s="125"/>
      <c r="G32" s="125">
        <f t="shared" si="0"/>
        <v>1.7823899999999999</v>
      </c>
      <c r="I32" s="117" t="s">
        <v>1</v>
      </c>
      <c r="J32" s="120" t="s">
        <v>22</v>
      </c>
      <c r="K32" s="118">
        <v>-3</v>
      </c>
      <c r="L32" s="118"/>
      <c r="M32" s="118"/>
      <c r="N32" s="118">
        <f t="shared" ref="N32:N46" si="9">SUM(K32:M32)</f>
        <v>-3</v>
      </c>
    </row>
    <row r="33" spans="2:14" x14ac:dyDescent="0.2">
      <c r="B33" s="122" t="s">
        <v>1</v>
      </c>
      <c r="C33" s="123">
        <v>44676</v>
      </c>
      <c r="D33" s="125">
        <v>-21</v>
      </c>
      <c r="E33" s="125"/>
      <c r="F33" s="125"/>
      <c r="G33" s="125">
        <f t="shared" si="0"/>
        <v>-21</v>
      </c>
      <c r="I33" s="117" t="s">
        <v>1</v>
      </c>
      <c r="J33" s="120">
        <v>43983</v>
      </c>
      <c r="K33" s="118">
        <v>-4.4849999999999994</v>
      </c>
      <c r="L33" s="118"/>
      <c r="M33" s="118"/>
      <c r="N33" s="118">
        <f t="shared" si="9"/>
        <v>-4.4849999999999994</v>
      </c>
    </row>
    <row r="34" spans="2:14" x14ac:dyDescent="0.2">
      <c r="B34" s="117" t="s">
        <v>186</v>
      </c>
      <c r="C34" s="120">
        <v>44087</v>
      </c>
      <c r="D34" s="118">
        <v>-20.917552997000001</v>
      </c>
      <c r="E34" s="186"/>
      <c r="F34" s="186"/>
      <c r="G34" s="187">
        <f t="shared" si="0"/>
        <v>-20.917552997000001</v>
      </c>
      <c r="I34" s="117" t="s">
        <v>1</v>
      </c>
      <c r="J34" s="120" t="s">
        <v>10</v>
      </c>
      <c r="K34" s="118">
        <v>-9.5097500000000004</v>
      </c>
      <c r="L34" s="118"/>
      <c r="M34" s="118"/>
      <c r="N34" s="118">
        <f t="shared" si="9"/>
        <v>-9.5097500000000004</v>
      </c>
    </row>
    <row r="35" spans="2:14" x14ac:dyDescent="0.2">
      <c r="B35" s="117" t="s">
        <v>186</v>
      </c>
      <c r="C35" s="120">
        <v>44287</v>
      </c>
      <c r="D35" s="118">
        <v>-0.21103182000000001</v>
      </c>
      <c r="E35" s="186"/>
      <c r="F35" s="186"/>
      <c r="G35" s="187">
        <f t="shared" si="0"/>
        <v>-0.21103182000000001</v>
      </c>
      <c r="I35" s="117" t="s">
        <v>1</v>
      </c>
      <c r="J35" s="120" t="s">
        <v>23</v>
      </c>
      <c r="K35" s="118">
        <v>-41.3</v>
      </c>
      <c r="L35" s="118"/>
      <c r="M35" s="118"/>
      <c r="N35" s="118">
        <f t="shared" si="9"/>
        <v>-41.3</v>
      </c>
    </row>
    <row r="36" spans="2:14" x14ac:dyDescent="0.2">
      <c r="B36" s="117" t="s">
        <v>186</v>
      </c>
      <c r="C36" s="120">
        <v>44442</v>
      </c>
      <c r="D36" s="118">
        <v>-0.23965473139999999</v>
      </c>
      <c r="E36" s="186"/>
      <c r="F36" s="186"/>
      <c r="G36" s="187">
        <f t="shared" si="0"/>
        <v>-0.23965473139999999</v>
      </c>
      <c r="I36" s="117" t="s">
        <v>1</v>
      </c>
      <c r="J36" s="120" t="s">
        <v>172</v>
      </c>
      <c r="K36" s="118">
        <v>9.9499999999999993</v>
      </c>
      <c r="L36" s="118"/>
      <c r="M36" s="118"/>
      <c r="N36" s="118">
        <f t="shared" si="9"/>
        <v>9.9499999999999993</v>
      </c>
    </row>
    <row r="37" spans="2:14" x14ac:dyDescent="0.2">
      <c r="B37" s="117" t="s">
        <v>186</v>
      </c>
      <c r="C37" s="120">
        <v>44623</v>
      </c>
      <c r="D37" s="118">
        <v>-0.25893584940000003</v>
      </c>
      <c r="E37" s="186"/>
      <c r="F37" s="186"/>
      <c r="G37" s="187">
        <f t="shared" si="0"/>
        <v>-0.25893584940000003</v>
      </c>
      <c r="I37" s="117" t="s">
        <v>1</v>
      </c>
      <c r="J37" s="120" t="s">
        <v>172</v>
      </c>
      <c r="K37" s="118">
        <v>-10.455</v>
      </c>
      <c r="L37" s="118"/>
      <c r="M37" s="118"/>
      <c r="N37" s="118">
        <f t="shared" si="9"/>
        <v>-10.455</v>
      </c>
    </row>
    <row r="38" spans="2:14" x14ac:dyDescent="0.2">
      <c r="B38" s="117" t="s">
        <v>186</v>
      </c>
      <c r="C38" s="120">
        <v>44784</v>
      </c>
      <c r="D38" s="118">
        <v>1.5224656599999999E-2</v>
      </c>
      <c r="E38" s="186"/>
      <c r="F38" s="186"/>
      <c r="G38" s="187">
        <f t="shared" si="0"/>
        <v>1.5224656599999999E-2</v>
      </c>
      <c r="I38" s="117" t="s">
        <v>1</v>
      </c>
      <c r="J38" s="120" t="s">
        <v>28</v>
      </c>
      <c r="K38" s="118">
        <v>4.9749999999999996</v>
      </c>
      <c r="L38" s="118"/>
      <c r="M38" s="118"/>
      <c r="N38" s="118">
        <f t="shared" si="9"/>
        <v>4.9749999999999996</v>
      </c>
    </row>
    <row r="39" spans="2:14" x14ac:dyDescent="0.2">
      <c r="B39" s="117" t="s">
        <v>168</v>
      </c>
      <c r="C39" s="120">
        <v>44087</v>
      </c>
      <c r="D39" s="118">
        <v>-2.7058823529411762</v>
      </c>
      <c r="E39" s="186"/>
      <c r="F39" s="186"/>
      <c r="G39" s="186">
        <f t="shared" si="0"/>
        <v>-2.7058823529411762</v>
      </c>
      <c r="I39" s="117" t="s">
        <v>1</v>
      </c>
      <c r="J39" s="120" t="s">
        <v>28</v>
      </c>
      <c r="K39" s="118">
        <v>-3.4522930000000001</v>
      </c>
      <c r="L39" s="118"/>
      <c r="M39" s="118"/>
      <c r="N39" s="118">
        <f t="shared" si="9"/>
        <v>-3.4522930000000001</v>
      </c>
    </row>
    <row r="40" spans="2:14" x14ac:dyDescent="0.2">
      <c r="B40" s="122" t="s">
        <v>263</v>
      </c>
      <c r="C40" s="123">
        <v>44540</v>
      </c>
      <c r="D40" s="125">
        <v>-2.8053124999999999</v>
      </c>
      <c r="E40" s="125"/>
      <c r="F40" s="125"/>
      <c r="G40" s="125">
        <f t="shared" si="0"/>
        <v>-2.8053124999999999</v>
      </c>
      <c r="I40" s="117" t="s">
        <v>1</v>
      </c>
      <c r="J40" s="120" t="s">
        <v>28</v>
      </c>
      <c r="K40" s="118"/>
      <c r="L40" s="118">
        <v>0.58290199999999992</v>
      </c>
      <c r="M40" s="118"/>
      <c r="N40" s="118">
        <f t="shared" si="9"/>
        <v>0.58290199999999992</v>
      </c>
    </row>
    <row r="41" spans="2:14" x14ac:dyDescent="0.2">
      <c r="B41" s="122" t="s">
        <v>263</v>
      </c>
      <c r="C41" s="123">
        <v>44602</v>
      </c>
      <c r="D41" s="125">
        <v>-3.4074999999999998</v>
      </c>
      <c r="E41" s="125"/>
      <c r="F41" s="125"/>
      <c r="G41" s="125">
        <f t="shared" si="0"/>
        <v>-3.4074999999999998</v>
      </c>
      <c r="I41" s="117" t="s">
        <v>1</v>
      </c>
      <c r="J41" s="120">
        <v>44370</v>
      </c>
      <c r="K41" s="118">
        <v>-5.97</v>
      </c>
      <c r="L41" s="118"/>
      <c r="M41" s="118"/>
      <c r="N41" s="118">
        <f t="shared" si="9"/>
        <v>-5.97</v>
      </c>
    </row>
    <row r="42" spans="2:14" x14ac:dyDescent="0.2">
      <c r="B42" s="122" t="s">
        <v>263</v>
      </c>
      <c r="C42" s="123">
        <v>44683</v>
      </c>
      <c r="D42" s="125">
        <v>-1.0257749999999999</v>
      </c>
      <c r="E42" s="125"/>
      <c r="F42" s="125"/>
      <c r="G42" s="125">
        <f t="shared" si="0"/>
        <v>-1.0257749999999999</v>
      </c>
      <c r="I42" s="117" t="s">
        <v>1</v>
      </c>
      <c r="J42" s="120">
        <v>44400</v>
      </c>
      <c r="K42" s="118">
        <v>-0.75</v>
      </c>
      <c r="L42" s="118"/>
      <c r="M42" s="118"/>
      <c r="N42" s="118">
        <f t="shared" si="9"/>
        <v>-0.75</v>
      </c>
    </row>
    <row r="43" spans="2:14" x14ac:dyDescent="0.2">
      <c r="B43" s="122" t="s">
        <v>263</v>
      </c>
      <c r="C43" s="123">
        <v>44707</v>
      </c>
      <c r="D43" s="125">
        <v>-3.3882749999999997</v>
      </c>
      <c r="E43" s="125"/>
      <c r="F43" s="125"/>
      <c r="G43" s="125">
        <f t="shared" si="0"/>
        <v>-3.3882749999999997</v>
      </c>
      <c r="I43" s="117" t="s">
        <v>1</v>
      </c>
      <c r="J43" s="120">
        <v>44400</v>
      </c>
      <c r="K43" s="118"/>
      <c r="L43" s="118">
        <v>0.44505899999999998</v>
      </c>
      <c r="M43" s="118"/>
      <c r="N43" s="118">
        <f t="shared" si="9"/>
        <v>0.44505899999999998</v>
      </c>
    </row>
    <row r="44" spans="2:14" x14ac:dyDescent="0.2">
      <c r="I44" s="117" t="s">
        <v>1</v>
      </c>
      <c r="J44" s="120">
        <v>44554</v>
      </c>
      <c r="K44" s="118">
        <v>1.7823899999999999</v>
      </c>
      <c r="L44" s="118"/>
      <c r="M44" s="118"/>
      <c r="N44" s="118">
        <f t="shared" si="9"/>
        <v>1.7823899999999999</v>
      </c>
    </row>
    <row r="45" spans="2:14" x14ac:dyDescent="0.2">
      <c r="I45" s="117" t="s">
        <v>1</v>
      </c>
      <c r="J45" s="120">
        <v>44676</v>
      </c>
      <c r="K45" s="118">
        <v>-21</v>
      </c>
      <c r="L45" s="118"/>
      <c r="M45" s="118"/>
      <c r="N45" s="118">
        <f t="shared" si="9"/>
        <v>-21</v>
      </c>
    </row>
    <row r="46" spans="2:14" x14ac:dyDescent="0.2">
      <c r="B46" s="117" t="s">
        <v>15</v>
      </c>
      <c r="C46" s="120">
        <f t="shared" ref="C46:C50" si="10">$C$4</f>
        <v>44834</v>
      </c>
      <c r="D46" s="118"/>
      <c r="E46" s="186"/>
      <c r="F46" s="186">
        <v>15.875237</v>
      </c>
      <c r="G46" s="186">
        <f>SUM(D46:F46)</f>
        <v>15.875237</v>
      </c>
      <c r="I46" s="122" t="s">
        <v>1</v>
      </c>
      <c r="J46" s="123">
        <f>$C$4</f>
        <v>44834</v>
      </c>
      <c r="K46" s="125"/>
      <c r="L46" s="125"/>
      <c r="M46" s="125">
        <v>79.319999999999993</v>
      </c>
      <c r="N46" s="125">
        <f t="shared" si="9"/>
        <v>79.319999999999993</v>
      </c>
    </row>
    <row r="47" spans="2:14" x14ac:dyDescent="0.2">
      <c r="B47" s="122" t="s">
        <v>1</v>
      </c>
      <c r="C47" s="123">
        <f t="shared" si="10"/>
        <v>44834</v>
      </c>
      <c r="D47" s="125"/>
      <c r="E47" s="125"/>
      <c r="F47" s="125">
        <v>79.319999999999993</v>
      </c>
      <c r="G47" s="125">
        <f>SUM(D47:F47)</f>
        <v>79.319999999999993</v>
      </c>
    </row>
    <row r="48" spans="2:14" x14ac:dyDescent="0.2">
      <c r="B48" s="117" t="s">
        <v>186</v>
      </c>
      <c r="C48" s="120">
        <f>$C$4</f>
        <v>44834</v>
      </c>
      <c r="D48" s="118"/>
      <c r="E48" s="186"/>
      <c r="F48" s="186">
        <v>31.952799285000001</v>
      </c>
      <c r="G48" s="186">
        <f>SUM(D48:F48)</f>
        <v>31.952799285000001</v>
      </c>
      <c r="I48" s="273" t="s">
        <v>250</v>
      </c>
      <c r="J48" s="288">
        <f>XIRR(N32:N46,J32:J46)</f>
        <v>-1.8174635618925093E-2</v>
      </c>
      <c r="L48" s="129" t="s">
        <v>253</v>
      </c>
      <c r="M48" s="138" t="b">
        <f>-SUM(K32:K45)='Summary | 01 '!K36</f>
        <v>1</v>
      </c>
    </row>
    <row r="49" spans="2:14" x14ac:dyDescent="0.2">
      <c r="B49" s="122" t="s">
        <v>168</v>
      </c>
      <c r="C49" s="123">
        <f t="shared" si="10"/>
        <v>44834</v>
      </c>
      <c r="D49" s="125"/>
      <c r="E49" s="125"/>
      <c r="F49" s="125">
        <v>2.7058823529411762</v>
      </c>
      <c r="G49" s="125">
        <f>SUM(D49:F49)</f>
        <v>2.7058823529411762</v>
      </c>
      <c r="I49" s="274" t="s">
        <v>45</v>
      </c>
      <c r="J49" s="289">
        <f>SUM(L32:M46)/-SUM(K32:K46)</f>
        <v>0.96555063445376632</v>
      </c>
      <c r="L49" s="129" t="s">
        <v>44</v>
      </c>
      <c r="M49" s="267" t="b">
        <f>-SUM(L32:L45)=-'Summary | 01 '!M36</f>
        <v>1</v>
      </c>
    </row>
    <row r="50" spans="2:14" x14ac:dyDescent="0.2">
      <c r="B50" s="117" t="s">
        <v>263</v>
      </c>
      <c r="C50" s="120">
        <f t="shared" si="10"/>
        <v>44834</v>
      </c>
      <c r="D50" s="118"/>
      <c r="E50" s="186"/>
      <c r="F50" s="186">
        <v>10.343446999999999</v>
      </c>
      <c r="G50" s="186">
        <f>SUM(D50:F50)</f>
        <v>10.343446999999999</v>
      </c>
      <c r="I50" s="274" t="s">
        <v>252</v>
      </c>
      <c r="J50" s="289">
        <f>SUM(M32:M46)/-SUM(K32:K46)</f>
        <v>0.95319750957803073</v>
      </c>
      <c r="L50" s="129" t="s">
        <v>249</v>
      </c>
      <c r="M50" s="138" t="b">
        <f>M46='Summary | 01 '!N36</f>
        <v>1</v>
      </c>
    </row>
    <row r="51" spans="2:14" x14ac:dyDescent="0.2">
      <c r="B51" s="122"/>
      <c r="C51" s="123"/>
      <c r="D51" s="125"/>
      <c r="E51" s="125"/>
      <c r="F51" s="125"/>
      <c r="G51" s="125"/>
      <c r="I51" s="275" t="s">
        <v>152</v>
      </c>
      <c r="J51" s="290">
        <f>SUM(L32:L46)/-SUM(K32:K46)</f>
        <v>1.2353124875735528E-2</v>
      </c>
    </row>
    <row r="54" spans="2:14" x14ac:dyDescent="0.2">
      <c r="I54" s="117" t="s">
        <v>15</v>
      </c>
      <c r="J54" s="116" t="s">
        <v>16</v>
      </c>
      <c r="K54" s="118">
        <v>-10.5</v>
      </c>
      <c r="L54" s="118"/>
      <c r="M54" s="118"/>
      <c r="N54" s="118">
        <f t="shared" ref="N54:N66" si="11">SUM(K54:M54)</f>
        <v>-10.5</v>
      </c>
    </row>
    <row r="55" spans="2:14" x14ac:dyDescent="0.2">
      <c r="I55" s="117" t="s">
        <v>15</v>
      </c>
      <c r="J55" s="120">
        <v>44238</v>
      </c>
      <c r="K55" s="118">
        <v>4.2140269999999997</v>
      </c>
      <c r="L55" s="118"/>
      <c r="M55" s="118"/>
      <c r="N55" s="118">
        <f t="shared" si="11"/>
        <v>4.2140269999999997</v>
      </c>
    </row>
    <row r="56" spans="2:14" x14ac:dyDescent="0.2">
      <c r="I56" s="117" t="s">
        <v>15</v>
      </c>
      <c r="J56" s="120">
        <v>44238</v>
      </c>
      <c r="K56" s="118"/>
      <c r="L56" s="118">
        <v>5.0448349999999996E-2</v>
      </c>
      <c r="M56" s="118"/>
      <c r="N56" s="118">
        <f t="shared" si="11"/>
        <v>5.0448349999999996E-2</v>
      </c>
    </row>
    <row r="57" spans="2:14" x14ac:dyDescent="0.2">
      <c r="I57" s="117" t="s">
        <v>15</v>
      </c>
      <c r="J57" s="120">
        <v>44285</v>
      </c>
      <c r="K57" s="118">
        <v>-6.4337459999999993</v>
      </c>
      <c r="L57" s="118"/>
      <c r="M57" s="118"/>
      <c r="N57" s="118">
        <f t="shared" si="11"/>
        <v>-6.4337459999999993</v>
      </c>
    </row>
    <row r="58" spans="2:14" x14ac:dyDescent="0.2">
      <c r="I58" s="117" t="s">
        <v>15</v>
      </c>
      <c r="J58" s="120">
        <v>44269</v>
      </c>
      <c r="K58" s="118">
        <v>1.1352073899999999</v>
      </c>
      <c r="L58" s="118"/>
      <c r="M58" s="118"/>
      <c r="N58" s="118">
        <f t="shared" si="11"/>
        <v>1.1352073899999999</v>
      </c>
    </row>
    <row r="59" spans="2:14" x14ac:dyDescent="0.2">
      <c r="I59" s="117" t="s">
        <v>15</v>
      </c>
      <c r="J59" s="120">
        <v>44269</v>
      </c>
      <c r="K59" s="118"/>
      <c r="L59" s="118">
        <v>2.5899999999999999E-2</v>
      </c>
      <c r="M59" s="118"/>
      <c r="N59" s="118">
        <f t="shared" si="11"/>
        <v>2.5899999999999999E-2</v>
      </c>
    </row>
    <row r="60" spans="2:14" x14ac:dyDescent="0.2">
      <c r="I60" s="117" t="s">
        <v>15</v>
      </c>
      <c r="J60" s="120">
        <v>44483</v>
      </c>
      <c r="K60" s="118">
        <v>-7.5671379999999999</v>
      </c>
      <c r="L60" s="118"/>
      <c r="M60" s="118"/>
      <c r="N60" s="118">
        <f t="shared" si="11"/>
        <v>-7.5671379999999999</v>
      </c>
    </row>
    <row r="61" spans="2:14" x14ac:dyDescent="0.2">
      <c r="I61" s="117" t="s">
        <v>15</v>
      </c>
      <c r="J61" s="120">
        <v>44554</v>
      </c>
      <c r="K61" s="118">
        <v>-7.3850159999999994</v>
      </c>
      <c r="L61" s="118"/>
      <c r="M61" s="118"/>
      <c r="N61" s="118">
        <f t="shared" si="11"/>
        <v>-7.3850159999999994</v>
      </c>
    </row>
    <row r="62" spans="2:14" x14ac:dyDescent="0.2">
      <c r="I62" s="117" t="s">
        <v>15</v>
      </c>
      <c r="J62" s="120">
        <v>44554</v>
      </c>
      <c r="K62" s="118">
        <v>4.0733456099999996</v>
      </c>
      <c r="L62" s="118"/>
      <c r="M62" s="118"/>
      <c r="N62" s="118">
        <f t="shared" si="11"/>
        <v>4.0733456099999996</v>
      </c>
    </row>
    <row r="63" spans="2:14" x14ac:dyDescent="0.2">
      <c r="I63" s="117" t="s">
        <v>15</v>
      </c>
      <c r="J63" s="120">
        <v>44554</v>
      </c>
      <c r="K63" s="118"/>
      <c r="L63" s="118">
        <v>0.13969399999999998</v>
      </c>
      <c r="M63" s="118"/>
      <c r="N63" s="118">
        <f t="shared" si="11"/>
        <v>0.13969399999999998</v>
      </c>
    </row>
    <row r="64" spans="2:14" x14ac:dyDescent="0.2">
      <c r="I64" s="117" t="s">
        <v>15</v>
      </c>
      <c r="J64" s="120">
        <v>44703</v>
      </c>
      <c r="K64" s="118">
        <v>5.6730739999999997</v>
      </c>
      <c r="L64" s="118"/>
      <c r="M64" s="118"/>
      <c r="N64" s="118">
        <f t="shared" si="11"/>
        <v>5.6730739999999997</v>
      </c>
    </row>
    <row r="65" spans="9:14" x14ac:dyDescent="0.2">
      <c r="I65" s="117" t="s">
        <v>15</v>
      </c>
      <c r="J65" s="120">
        <v>44703</v>
      </c>
      <c r="K65" s="118"/>
      <c r="L65" s="118">
        <v>0.22778599999999999</v>
      </c>
      <c r="M65" s="118"/>
      <c r="N65" s="118">
        <f t="shared" si="11"/>
        <v>0.22778599999999999</v>
      </c>
    </row>
    <row r="66" spans="9:14" x14ac:dyDescent="0.2">
      <c r="I66" s="122" t="s">
        <v>15</v>
      </c>
      <c r="J66" s="123">
        <f>$C$4</f>
        <v>44834</v>
      </c>
      <c r="K66" s="125"/>
      <c r="L66" s="125"/>
      <c r="M66" s="125">
        <v>15.875237</v>
      </c>
      <c r="N66" s="125">
        <f t="shared" si="11"/>
        <v>15.875237</v>
      </c>
    </row>
    <row r="68" spans="9:14" x14ac:dyDescent="0.2">
      <c r="I68" s="273" t="s">
        <v>250</v>
      </c>
      <c r="J68" s="288">
        <f>XIRR(N54:N66,J54:J66)</f>
        <v>-1.6854354739189153E-2</v>
      </c>
      <c r="L68" s="129" t="s">
        <v>253</v>
      </c>
      <c r="M68" s="138" t="b">
        <f>-SUM(K54:K65)='Summary | 01 '!K37</f>
        <v>1</v>
      </c>
    </row>
    <row r="69" spans="9:14" x14ac:dyDescent="0.2">
      <c r="I69" s="274" t="s">
        <v>45</v>
      </c>
      <c r="J69" s="289">
        <f>SUM(L54:M66)/-SUM(K54:K66)</f>
        <v>0.97193723963305834</v>
      </c>
      <c r="L69" s="129" t="s">
        <v>44</v>
      </c>
      <c r="M69" s="267" t="b">
        <f>-SUM(L54:L65)=-'Summary | 01 '!M37</f>
        <v>1</v>
      </c>
    </row>
    <row r="70" spans="9:14" x14ac:dyDescent="0.2">
      <c r="I70" s="274" t="s">
        <v>252</v>
      </c>
      <c r="J70" s="289">
        <f>SUM(M54:M66)/-SUM(K54:K66)</f>
        <v>0.94550353818520594</v>
      </c>
      <c r="L70" s="129" t="s">
        <v>249</v>
      </c>
      <c r="M70" s="138" t="b">
        <f>M66='Summary | 01 '!N37</f>
        <v>1</v>
      </c>
    </row>
    <row r="71" spans="9:14" x14ac:dyDescent="0.2">
      <c r="I71" s="275" t="s">
        <v>152</v>
      </c>
      <c r="J71" s="290">
        <f>SUM(L54:L66)/-SUM(K54:K66)</f>
        <v>2.6433701447852519E-2</v>
      </c>
    </row>
    <row r="74" spans="9:14" x14ac:dyDescent="0.2">
      <c r="I74" s="117" t="s">
        <v>263</v>
      </c>
      <c r="J74" s="116">
        <v>44540</v>
      </c>
      <c r="K74" s="118">
        <v>-2.8053124999999999</v>
      </c>
      <c r="L74" s="118"/>
      <c r="M74" s="118"/>
      <c r="N74" s="118">
        <f>SUM(K74:M74)</f>
        <v>-2.8053124999999999</v>
      </c>
    </row>
    <row r="75" spans="9:14" x14ac:dyDescent="0.2">
      <c r="I75" s="117" t="s">
        <v>263</v>
      </c>
      <c r="J75" s="120">
        <v>44602</v>
      </c>
      <c r="K75" s="118">
        <v>-3.4074999999999998</v>
      </c>
      <c r="L75" s="118"/>
      <c r="M75" s="118"/>
      <c r="N75" s="118">
        <f>SUM(K75:M75)</f>
        <v>-3.4074999999999998</v>
      </c>
    </row>
    <row r="76" spans="9:14" x14ac:dyDescent="0.2">
      <c r="I76" s="117" t="s">
        <v>263</v>
      </c>
      <c r="J76" s="120">
        <v>44683</v>
      </c>
      <c r="K76" s="118">
        <v>-1.0257749999999999</v>
      </c>
      <c r="L76" s="118"/>
      <c r="M76" s="118"/>
      <c r="N76" s="118">
        <f>SUM(K76:M76)</f>
        <v>-1.0257749999999999</v>
      </c>
    </row>
    <row r="77" spans="9:14" x14ac:dyDescent="0.2">
      <c r="I77" s="117" t="s">
        <v>263</v>
      </c>
      <c r="J77" s="120">
        <v>44707</v>
      </c>
      <c r="K77" s="118">
        <v>-3.3882749999999997</v>
      </c>
      <c r="L77" s="118"/>
      <c r="M77" s="118"/>
      <c r="N77" s="118">
        <f>SUM(K77:M77)</f>
        <v>-3.3882749999999997</v>
      </c>
    </row>
    <row r="78" spans="9:14" x14ac:dyDescent="0.2">
      <c r="I78" s="122" t="s">
        <v>263</v>
      </c>
      <c r="J78" s="123">
        <f>$C$4</f>
        <v>44834</v>
      </c>
      <c r="K78" s="125"/>
      <c r="L78" s="125"/>
      <c r="M78" s="125">
        <v>10.343446999999999</v>
      </c>
      <c r="N78" s="125">
        <f>SUM(K78:M78)</f>
        <v>10.343446999999999</v>
      </c>
    </row>
    <row r="80" spans="9:14" x14ac:dyDescent="0.2">
      <c r="I80" s="273" t="s">
        <v>250</v>
      </c>
      <c r="J80" s="285">
        <f>XIRR(N74:N78,J74:J78)</f>
        <v>-4.6596518158912664E-2</v>
      </c>
      <c r="L80" s="129" t="s">
        <v>253</v>
      </c>
      <c r="M80" s="138" t="b">
        <f>-SUM(K74:K78)='Summary | 01 '!K38</f>
        <v>1</v>
      </c>
    </row>
    <row r="81" spans="9:14" x14ac:dyDescent="0.2">
      <c r="I81" s="274" t="s">
        <v>45</v>
      </c>
      <c r="J81" s="286">
        <f>SUM(L74:M78)/-SUM(K74:K78)</f>
        <v>0.97333027504590375</v>
      </c>
      <c r="L81" s="129" t="s">
        <v>44</v>
      </c>
      <c r="M81" s="267" t="b">
        <f>-SUM(L74:L83)=-'Summary | 01 '!M38</f>
        <v>1</v>
      </c>
    </row>
    <row r="82" spans="9:14" x14ac:dyDescent="0.2">
      <c r="I82" s="274" t="s">
        <v>252</v>
      </c>
      <c r="J82" s="286">
        <f>SUM(M74:M78)/-SUM(K74:K78)</f>
        <v>0.97333027504590375</v>
      </c>
      <c r="L82" s="129" t="s">
        <v>249</v>
      </c>
      <c r="M82" s="138" t="b">
        <f>M78='Summary | 01 '!N38</f>
        <v>1</v>
      </c>
    </row>
    <row r="83" spans="9:14" x14ac:dyDescent="0.2">
      <c r="I83" s="275" t="s">
        <v>152</v>
      </c>
      <c r="J83" s="287">
        <f>SUM(L74:L78)/-SUM(K74:K78)</f>
        <v>0</v>
      </c>
      <c r="K83" s="266"/>
      <c r="L83" s="266"/>
      <c r="M83" s="266"/>
      <c r="N83" s="266"/>
    </row>
  </sheetData>
  <pageMargins left="0.7" right="0.7" top="0.75" bottom="0.75" header="0.3" footer="0.3"/>
  <ignoredErrors>
    <ignoredError sqref="G9:G43 N9:N79" formulaRange="1"/>
    <ignoredError sqref="S11" formula="1"/>
  </ignoredErrors>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5F633-CD55-4837-B5F3-3509D77E11C2}">
  <sheetPr>
    <tabColor theme="4" tint="-0.499984740745262"/>
  </sheetPr>
  <dimension ref="B2:Q96"/>
  <sheetViews>
    <sheetView zoomScaleNormal="100" workbookViewId="0">
      <selection activeCell="E48" sqref="E48"/>
    </sheetView>
  </sheetViews>
  <sheetFormatPr defaultRowHeight="12" x14ac:dyDescent="0.2"/>
  <cols>
    <col min="1" max="1" width="9.140625" style="83"/>
    <col min="2" max="2" width="22.7109375" style="83" bestFit="1" customWidth="1"/>
    <col min="3" max="3" width="11.42578125" style="83" bestFit="1" customWidth="1"/>
    <col min="4" max="4" width="10.85546875" style="83" bestFit="1" customWidth="1"/>
    <col min="5" max="5" width="14.85546875" style="83" customWidth="1"/>
    <col min="6" max="7" width="16.5703125" style="83" customWidth="1"/>
    <col min="8" max="8" width="14.42578125" style="88" customWidth="1"/>
    <col min="9" max="9" width="20" style="83" bestFit="1" customWidth="1"/>
    <col min="10" max="13" width="24.85546875" style="83" customWidth="1"/>
    <col min="14" max="17" width="8.7109375" style="83" customWidth="1"/>
    <col min="18" max="16384" width="9.140625" style="83"/>
  </cols>
  <sheetData>
    <row r="2" spans="2:17" s="166" customFormat="1" ht="43.5" customHeight="1" x14ac:dyDescent="0.45">
      <c r="B2" s="352" t="s">
        <v>335</v>
      </c>
      <c r="C2" s="353"/>
      <c r="D2" s="353"/>
      <c r="E2" s="361"/>
      <c r="F2" s="361"/>
      <c r="G2" s="361"/>
      <c r="H2" s="353"/>
      <c r="I2" s="361"/>
      <c r="J2" s="354"/>
      <c r="K2" s="355"/>
      <c r="L2" s="354"/>
    </row>
    <row r="3" spans="2:17" ht="12.75" thickBot="1" x14ac:dyDescent="0.25"/>
    <row r="4" spans="2:17" s="138" customFormat="1" ht="13.5" thickBot="1" x14ac:dyDescent="0.25">
      <c r="B4" s="277" t="s">
        <v>261</v>
      </c>
      <c r="C4" s="291">
        <f>D!D2</f>
        <v>44834</v>
      </c>
    </row>
    <row r="6" spans="2:17" x14ac:dyDescent="0.2">
      <c r="B6" s="97" t="s">
        <v>150</v>
      </c>
      <c r="H6" s="83"/>
    </row>
    <row r="7" spans="2:17" ht="30.75" customHeight="1" x14ac:dyDescent="0.2">
      <c r="B7" s="95" t="s">
        <v>6</v>
      </c>
      <c r="C7" s="96" t="s">
        <v>7</v>
      </c>
      <c r="D7" s="96" t="s">
        <v>151</v>
      </c>
      <c r="E7" s="96" t="s">
        <v>44</v>
      </c>
      <c r="F7" s="97" t="s">
        <v>149</v>
      </c>
      <c r="G7" s="97" t="s">
        <v>251</v>
      </c>
      <c r="H7" s="96" t="s">
        <v>247</v>
      </c>
      <c r="I7" s="342"/>
      <c r="J7" s="128" t="s">
        <v>2</v>
      </c>
      <c r="K7" s="128" t="s">
        <v>62</v>
      </c>
      <c r="L7" s="128" t="s">
        <v>44</v>
      </c>
      <c r="M7" s="128" t="s">
        <v>249</v>
      </c>
      <c r="N7" s="128" t="s">
        <v>34</v>
      </c>
      <c r="O7" s="128" t="s">
        <v>45</v>
      </c>
      <c r="P7" s="128" t="s">
        <v>262</v>
      </c>
      <c r="Q7" s="128" t="s">
        <v>152</v>
      </c>
    </row>
    <row r="8" spans="2:17" ht="12.75" x14ac:dyDescent="0.2">
      <c r="B8" s="84" t="str">
        <f>'CF (Equity, Debt)'!C4</f>
        <v>Jollychic Holding Limited</v>
      </c>
      <c r="C8" s="85">
        <f>'CF (Equity, Debt)'!D4</f>
        <v>43470</v>
      </c>
      <c r="D8" s="93">
        <f>'CF (Equity, Debt)'!E4</f>
        <v>-30</v>
      </c>
      <c r="E8" s="93"/>
      <c r="F8" s="93"/>
      <c r="G8" s="93">
        <f>SUM(D8:F8)</f>
        <v>-30</v>
      </c>
      <c r="H8" s="89" t="s">
        <v>246</v>
      </c>
      <c r="I8" s="268"/>
      <c r="J8" s="138"/>
      <c r="K8" s="138"/>
      <c r="L8" s="138"/>
      <c r="M8" s="138"/>
      <c r="N8" s="272"/>
      <c r="O8" s="138"/>
      <c r="P8" s="138"/>
      <c r="Q8" s="138"/>
    </row>
    <row r="9" spans="2:17" ht="15" x14ac:dyDescent="0.25">
      <c r="B9" s="84" t="str">
        <f>'CF (Equity, Debt)'!C5</f>
        <v>Jollychic Holding Limited</v>
      </c>
      <c r="C9" s="85">
        <f>'CF (Equity, Debt)'!D5</f>
        <v>43724</v>
      </c>
      <c r="D9" s="93">
        <f>'CF (Equity, Debt)'!E5</f>
        <v>-20</v>
      </c>
      <c r="E9" s="93"/>
      <c r="F9" s="93"/>
      <c r="G9" s="93">
        <f t="shared" ref="G9:G72" si="0">SUM(D9:F9)</f>
        <v>-20</v>
      </c>
      <c r="H9" s="89" t="s">
        <v>246</v>
      </c>
      <c r="J9" s="99">
        <f>-SUM(D8:D99)</f>
        <v>2196.7102610269853</v>
      </c>
      <c r="K9" s="88"/>
      <c r="L9" s="99">
        <f>SUM(E8:E99)</f>
        <v>6.4717893499999999</v>
      </c>
      <c r="M9" s="99">
        <f>SUM(F8:F99)</f>
        <v>2297.6459800587213</v>
      </c>
      <c r="N9" s="339">
        <f>XIRR(G8:G96,C8:C96)</f>
        <v>5.4621204733848558E-2</v>
      </c>
      <c r="O9" s="340">
        <f>(L9+M9)/J9</f>
        <v>1.0488947087321028</v>
      </c>
      <c r="P9" s="340">
        <f>M9/J9</f>
        <v>1.045948580849505</v>
      </c>
      <c r="Q9" s="340">
        <f>L9/J9</f>
        <v>2.9461278825976666E-3</v>
      </c>
    </row>
    <row r="10" spans="2:17" x14ac:dyDescent="0.2">
      <c r="B10" s="84" t="str">
        <f>'CF (Equity, Debt)'!C6</f>
        <v>Jollychic Holding Limited</v>
      </c>
      <c r="C10" s="85">
        <f>'CF (Equity, Debt)'!D6</f>
        <v>43724</v>
      </c>
      <c r="D10" s="93">
        <f>'CF (Equity, Debt)'!E6</f>
        <v>-15</v>
      </c>
      <c r="E10" s="93"/>
      <c r="F10" s="93"/>
      <c r="G10" s="93">
        <f t="shared" si="0"/>
        <v>-15</v>
      </c>
      <c r="H10" s="89" t="s">
        <v>246</v>
      </c>
    </row>
    <row r="11" spans="2:17" x14ac:dyDescent="0.2">
      <c r="B11" s="86" t="str">
        <f>'CF (Equity, Debt)'!C7</f>
        <v>Mena Mobile Inc</v>
      </c>
      <c r="C11" s="87">
        <f>'CF (Equity, Debt)'!D7</f>
        <v>43563</v>
      </c>
      <c r="D11" s="94">
        <f>'CF (Equity, Debt)'!E7</f>
        <v>-8</v>
      </c>
      <c r="E11" s="94"/>
      <c r="F11" s="94"/>
      <c r="G11" s="94">
        <f t="shared" si="0"/>
        <v>-8</v>
      </c>
      <c r="H11" s="90" t="s">
        <v>246</v>
      </c>
    </row>
    <row r="12" spans="2:17" ht="12.75" x14ac:dyDescent="0.2">
      <c r="B12" s="84" t="str">
        <f>'CF (Equity, Debt)'!C8</f>
        <v>Flyr Inc</v>
      </c>
      <c r="C12" s="85">
        <f>'CF (Equity, Debt)'!D8</f>
        <v>43570</v>
      </c>
      <c r="D12" s="93">
        <f>'CF (Equity, Debt)'!E8</f>
        <v>-4.9999980900000001</v>
      </c>
      <c r="E12" s="93"/>
      <c r="F12" s="93"/>
      <c r="G12" s="93">
        <f t="shared" si="0"/>
        <v>-4.9999980900000001</v>
      </c>
      <c r="H12" s="89" t="s">
        <v>246</v>
      </c>
      <c r="K12" s="269"/>
      <c r="L12" s="269"/>
      <c r="M12" s="269"/>
      <c r="N12" s="292"/>
      <c r="O12" s="283"/>
      <c r="P12" s="283"/>
      <c r="Q12" s="283"/>
    </row>
    <row r="13" spans="2:17" x14ac:dyDescent="0.2">
      <c r="B13" s="84" t="str">
        <f>'CF (Equity, Debt)'!C9</f>
        <v>Flyr Inc</v>
      </c>
      <c r="C13" s="85">
        <f>'CF (Equity, Debt)'!D9</f>
        <v>43915</v>
      </c>
      <c r="D13" s="93">
        <f>'CF (Equity, Debt)'!E9</f>
        <v>-5.0000019099999999</v>
      </c>
      <c r="E13" s="93"/>
      <c r="F13" s="93"/>
      <c r="G13" s="93">
        <f t="shared" si="0"/>
        <v>-5.0000019099999999</v>
      </c>
      <c r="H13" s="89" t="s">
        <v>246</v>
      </c>
    </row>
    <row r="14" spans="2:17" x14ac:dyDescent="0.2">
      <c r="B14" s="86" t="str">
        <f>'CF (Equity, Debt)'!C10</f>
        <v xml:space="preserve">Esyasoft Holding </v>
      </c>
      <c r="C14" s="87">
        <f>'CF (Equity, Debt)'!D10</f>
        <v>43870</v>
      </c>
      <c r="D14" s="94">
        <f>'CF (Equity, Debt)'!E10</f>
        <v>-2.5</v>
      </c>
      <c r="E14" s="94"/>
      <c r="F14" s="94"/>
      <c r="G14" s="94">
        <f t="shared" si="0"/>
        <v>-2.5</v>
      </c>
      <c r="H14" s="90" t="s">
        <v>246</v>
      </c>
    </row>
    <row r="15" spans="2:17" x14ac:dyDescent="0.2">
      <c r="B15" s="84" t="str">
        <f>'CF (Equity, Debt)'!C11</f>
        <v>Beyond Limits</v>
      </c>
      <c r="C15" s="85">
        <f>'CF (Equity, Debt)'!D11</f>
        <v>43879</v>
      </c>
      <c r="D15" s="93">
        <f>'CF (Equity, Debt)'!E11</f>
        <v>-20</v>
      </c>
      <c r="E15" s="93"/>
      <c r="F15" s="93"/>
      <c r="G15" s="93">
        <f t="shared" si="0"/>
        <v>-20</v>
      </c>
      <c r="H15" s="89" t="s">
        <v>246</v>
      </c>
    </row>
    <row r="16" spans="2:17" x14ac:dyDescent="0.2">
      <c r="B16" s="84" t="str">
        <f>'CF (Equity, Debt)'!C12</f>
        <v>Beyond Limits</v>
      </c>
      <c r="C16" s="85">
        <f>'CF (Equity, Debt)'!D12</f>
        <v>43921</v>
      </c>
      <c r="D16" s="93">
        <f>'CF (Equity, Debt)'!E12</f>
        <v>-30</v>
      </c>
      <c r="E16" s="93"/>
      <c r="F16" s="93"/>
      <c r="G16" s="93">
        <f t="shared" si="0"/>
        <v>-30</v>
      </c>
      <c r="H16" s="89" t="s">
        <v>246</v>
      </c>
    </row>
    <row r="17" spans="2:8" x14ac:dyDescent="0.2">
      <c r="B17" s="84" t="str">
        <f>'CF (Equity, Debt)'!C13</f>
        <v>Beyond Limits</v>
      </c>
      <c r="C17" s="85">
        <f>'CF (Equity, Debt)'!D13</f>
        <v>43989</v>
      </c>
      <c r="D17" s="93">
        <f>'CF (Equity, Debt)'!E13</f>
        <v>-30</v>
      </c>
      <c r="E17" s="93"/>
      <c r="F17" s="93"/>
      <c r="G17" s="93">
        <f t="shared" si="0"/>
        <v>-30</v>
      </c>
      <c r="H17" s="89" t="s">
        <v>246</v>
      </c>
    </row>
    <row r="18" spans="2:8" x14ac:dyDescent="0.2">
      <c r="B18" s="84" t="str">
        <f>'CF (Equity, Debt)'!C14</f>
        <v>Beyond Limits</v>
      </c>
      <c r="C18" s="85">
        <f>'CF (Equity, Debt)'!D14</f>
        <v>44103</v>
      </c>
      <c r="D18" s="93">
        <f>'CF (Equity, Debt)'!E14</f>
        <v>-10</v>
      </c>
      <c r="E18" s="93"/>
      <c r="F18" s="93"/>
      <c r="G18" s="93">
        <f t="shared" si="0"/>
        <v>-10</v>
      </c>
      <c r="H18" s="89" t="s">
        <v>246</v>
      </c>
    </row>
    <row r="19" spans="2:8" x14ac:dyDescent="0.2">
      <c r="B19" s="86" t="str">
        <f>'CF (Equity, Debt)'!C15</f>
        <v>ONT plc</v>
      </c>
      <c r="C19" s="87">
        <f>'CF (Equity, Debt)'!D15</f>
        <v>43968</v>
      </c>
      <c r="D19" s="94">
        <f>'CF (Equity, Debt)'!E15</f>
        <v>-50</v>
      </c>
      <c r="E19" s="94"/>
      <c r="F19" s="94"/>
      <c r="G19" s="94">
        <f t="shared" si="0"/>
        <v>-50</v>
      </c>
      <c r="H19" s="90" t="s">
        <v>246</v>
      </c>
    </row>
    <row r="20" spans="2:8" x14ac:dyDescent="0.2">
      <c r="B20" s="86" t="str">
        <f>'CF (Equity, Debt)'!C16</f>
        <v>ONT plc</v>
      </c>
      <c r="C20" s="87">
        <f>'CF (Equity, Debt)'!D16</f>
        <v>44006</v>
      </c>
      <c r="D20" s="94">
        <f>'CF (Equity, Debt)'!E16</f>
        <v>-27.268350856443721</v>
      </c>
      <c r="E20" s="94"/>
      <c r="F20" s="94"/>
      <c r="G20" s="94">
        <f t="shared" si="0"/>
        <v>-27.268350856443721</v>
      </c>
      <c r="H20" s="90" t="s">
        <v>246</v>
      </c>
    </row>
    <row r="21" spans="2:8" x14ac:dyDescent="0.2">
      <c r="B21" s="86" t="str">
        <f>'CF (Equity, Debt)'!C17</f>
        <v>ONT plc</v>
      </c>
      <c r="C21" s="87">
        <f>'CF (Equity, Debt)'!D17</f>
        <v>43837</v>
      </c>
      <c r="D21" s="94">
        <f>'CF (Equity, Debt)'!E17</f>
        <v>-18.109441299619355</v>
      </c>
      <c r="E21" s="94"/>
      <c r="F21" s="94"/>
      <c r="G21" s="94">
        <f t="shared" si="0"/>
        <v>-18.109441299619355</v>
      </c>
      <c r="H21" s="90" t="s">
        <v>246</v>
      </c>
    </row>
    <row r="22" spans="2:8" x14ac:dyDescent="0.2">
      <c r="B22" s="86" t="str">
        <f>'CF (Equity, Debt)'!C18</f>
        <v>ONT plc</v>
      </c>
      <c r="C22" s="87">
        <f>'CF (Equity, Debt)'!D18</f>
        <v>43990</v>
      </c>
      <c r="D22" s="94">
        <f>'CF (Equity, Debt)'!E18</f>
        <v>-34.851687094159864</v>
      </c>
      <c r="E22" s="94"/>
      <c r="F22" s="94"/>
      <c r="G22" s="94">
        <f t="shared" si="0"/>
        <v>-34.851687094159864</v>
      </c>
      <c r="H22" s="90" t="s">
        <v>246</v>
      </c>
    </row>
    <row r="23" spans="2:8" x14ac:dyDescent="0.2">
      <c r="B23" s="86" t="str">
        <f>'CF (Equity, Debt)'!C19</f>
        <v>ONT plc</v>
      </c>
      <c r="C23" s="87">
        <f>'CF (Equity, Debt)'!D19</f>
        <v>44315</v>
      </c>
      <c r="D23" s="94">
        <f>'CF (Equity, Debt)'!E19</f>
        <v>-11.240780424143557</v>
      </c>
      <c r="E23" s="94"/>
      <c r="F23" s="94"/>
      <c r="G23" s="94">
        <f t="shared" si="0"/>
        <v>-11.240780424143557</v>
      </c>
      <c r="H23" s="90" t="s">
        <v>246</v>
      </c>
    </row>
    <row r="24" spans="2:8" x14ac:dyDescent="0.2">
      <c r="B24" s="84" t="str">
        <f>'CF (Equity, Debt)'!C20</f>
        <v>Heygears</v>
      </c>
      <c r="C24" s="85">
        <f>'CF (Equity, Debt)'!D20</f>
        <v>44166</v>
      </c>
      <c r="D24" s="93">
        <f>'CF (Equity, Debt)'!E20</f>
        <v>-60</v>
      </c>
      <c r="E24" s="93"/>
      <c r="F24" s="93"/>
      <c r="G24" s="93">
        <f t="shared" si="0"/>
        <v>-60</v>
      </c>
      <c r="H24" s="89" t="s">
        <v>246</v>
      </c>
    </row>
    <row r="25" spans="2:8" x14ac:dyDescent="0.2">
      <c r="B25" s="86" t="str">
        <f>'CF (Equity, Debt)'!C21</f>
        <v>Jysan Technologies</v>
      </c>
      <c r="C25" s="87">
        <f>'CF (Equity, Debt)'!D21</f>
        <v>44363</v>
      </c>
      <c r="D25" s="94">
        <f>'CF (Equity, Debt)'!E21</f>
        <v>-20</v>
      </c>
      <c r="E25" s="94"/>
      <c r="F25" s="94"/>
      <c r="G25" s="94">
        <f t="shared" si="0"/>
        <v>-20</v>
      </c>
      <c r="H25" s="90" t="s">
        <v>246</v>
      </c>
    </row>
    <row r="26" spans="2:8" x14ac:dyDescent="0.2">
      <c r="B26" s="84" t="str">
        <f>'CF (Equity, Debt)'!C22</f>
        <v>Cerebras Systems Inc</v>
      </c>
      <c r="C26" s="85">
        <f>'CF (Equity, Debt)'!D22</f>
        <v>44488</v>
      </c>
      <c r="D26" s="93">
        <f>'CF (Equity, Debt)'!E22</f>
        <v>-39.999983359999995</v>
      </c>
      <c r="E26" s="93"/>
      <c r="F26" s="93"/>
      <c r="G26" s="93">
        <f t="shared" si="0"/>
        <v>-39.999983359999995</v>
      </c>
      <c r="H26" s="89" t="s">
        <v>246</v>
      </c>
    </row>
    <row r="27" spans="2:8" x14ac:dyDescent="0.2">
      <c r="B27" s="86" t="str">
        <f>'CF (Equity, Debt)'!C23</f>
        <v>Endless Studios LLC</v>
      </c>
      <c r="C27" s="87">
        <f>'CF (Equity, Debt)'!D23</f>
        <v>44494</v>
      </c>
      <c r="D27" s="94">
        <f>'CF (Equity, Debt)'!E23</f>
        <v>-3</v>
      </c>
      <c r="E27" s="94"/>
      <c r="F27" s="94"/>
      <c r="G27" s="94">
        <f t="shared" si="0"/>
        <v>-3</v>
      </c>
      <c r="H27" s="90" t="s">
        <v>246</v>
      </c>
    </row>
    <row r="28" spans="2:8" x14ac:dyDescent="0.2">
      <c r="B28" s="84" t="str">
        <f>'CF (Equity, Debt)'!C24</f>
        <v>Instadeep Limited</v>
      </c>
      <c r="C28" s="85">
        <f>'CF (Equity, Debt)'!D24</f>
        <v>44550</v>
      </c>
      <c r="D28" s="93">
        <f>'CF (Equity, Debt)'!E24</f>
        <v>-5.0237201984774336</v>
      </c>
      <c r="E28" s="93"/>
      <c r="F28" s="93"/>
      <c r="G28" s="93">
        <f t="shared" si="0"/>
        <v>-5.0237201984774336</v>
      </c>
      <c r="H28" s="89" t="s">
        <v>246</v>
      </c>
    </row>
    <row r="29" spans="2:8" x14ac:dyDescent="0.2">
      <c r="B29" s="86" t="str">
        <f>'CF (Equity, Debt)'!C25</f>
        <v>X-fusion</v>
      </c>
      <c r="C29" s="87">
        <f>'CF (Equity, Debt)'!D25</f>
        <v>44574</v>
      </c>
      <c r="D29" s="94">
        <f>'CF (Equity, Debt)'!E25</f>
        <v>-493.50095619999996</v>
      </c>
      <c r="E29" s="94"/>
      <c r="F29" s="94"/>
      <c r="G29" s="94">
        <f t="shared" si="0"/>
        <v>-493.50095619999996</v>
      </c>
      <c r="H29" s="90" t="s">
        <v>246</v>
      </c>
    </row>
    <row r="30" spans="2:8" x14ac:dyDescent="0.2">
      <c r="B30" s="84" t="str">
        <f>'CF (Equity, Debt)'!C26</f>
        <v>DriveNets</v>
      </c>
      <c r="C30" s="85">
        <f>'CF (Equity, Debt)'!D26</f>
        <v>44643</v>
      </c>
      <c r="D30" s="93">
        <f>'CF (Equity, Debt)'!E26</f>
        <v>-200</v>
      </c>
      <c r="E30" s="93"/>
      <c r="F30" s="93"/>
      <c r="G30" s="93">
        <f t="shared" si="0"/>
        <v>-200</v>
      </c>
      <c r="H30" s="89" t="s">
        <v>246</v>
      </c>
    </row>
    <row r="31" spans="2:8" x14ac:dyDescent="0.2">
      <c r="B31" s="84" t="str">
        <f>'CF (Equity, Debt)'!C27</f>
        <v>DriveNets</v>
      </c>
      <c r="C31" s="85">
        <f>'CF (Equity, Debt)'!D27</f>
        <v>44680</v>
      </c>
      <c r="D31" s="93">
        <f>'CF (Equity, Debt)'!E27</f>
        <v>-100</v>
      </c>
      <c r="E31" s="93"/>
      <c r="F31" s="93"/>
      <c r="G31" s="93">
        <f t="shared" si="0"/>
        <v>-100</v>
      </c>
      <c r="H31" s="89" t="s">
        <v>246</v>
      </c>
    </row>
    <row r="32" spans="2:8" x14ac:dyDescent="0.2">
      <c r="B32" s="86" t="str">
        <f>'CF (Equity, Debt)'!C28</f>
        <v xml:space="preserve">Esyasoft Holding </v>
      </c>
      <c r="C32" s="87">
        <f>'CF (Equity, Debt)'!D28</f>
        <v>44691</v>
      </c>
      <c r="D32" s="94">
        <f>'CF (Equity, Debt)'!E28</f>
        <v>0</v>
      </c>
      <c r="E32" s="94">
        <v>5</v>
      </c>
      <c r="F32" s="94"/>
      <c r="G32" s="94">
        <f t="shared" si="0"/>
        <v>5</v>
      </c>
      <c r="H32" s="90" t="s">
        <v>246</v>
      </c>
    </row>
    <row r="33" spans="2:8" x14ac:dyDescent="0.2">
      <c r="B33" s="86" t="str">
        <f>'CF (Equity, Debt)'!C29</f>
        <v>vTv Therapeutics Inc.</v>
      </c>
      <c r="C33" s="87">
        <f>'CF (Equity, Debt)'!D29</f>
        <v>44712</v>
      </c>
      <c r="D33" s="94">
        <f>'CF (Equity, Debt)'!E29</f>
        <v>-12.5</v>
      </c>
      <c r="E33" s="94"/>
      <c r="F33" s="94"/>
      <c r="G33" s="94">
        <f t="shared" si="0"/>
        <v>-12.5</v>
      </c>
      <c r="H33" s="90" t="s">
        <v>246</v>
      </c>
    </row>
    <row r="34" spans="2:8" x14ac:dyDescent="0.2">
      <c r="B34" s="84" t="str">
        <f>'CF (Equity, Debt)'!C30</f>
        <v>Honor Device Co Ltd</v>
      </c>
      <c r="C34" s="85">
        <f>'CF (Equity, Debt)'!D30</f>
        <v>44769</v>
      </c>
      <c r="D34" s="93">
        <f>'CF (Equity, Debt)'!E30</f>
        <v>-800</v>
      </c>
      <c r="E34" s="93"/>
      <c r="F34" s="93"/>
      <c r="G34" s="93">
        <f t="shared" si="0"/>
        <v>-800</v>
      </c>
      <c r="H34" s="89" t="s">
        <v>246</v>
      </c>
    </row>
    <row r="35" spans="2:8" x14ac:dyDescent="0.2">
      <c r="B35" s="418" t="str">
        <f>'CF (Equity, Debt)'!C33</f>
        <v xml:space="preserve">Glass Earth Holdings LLC </v>
      </c>
      <c r="C35" s="310">
        <f>'CF (Equity, Debt)'!D33</f>
        <v>43635</v>
      </c>
      <c r="D35" s="311">
        <f>'CF (Equity, Debt)'!E33</f>
        <v>-8</v>
      </c>
      <c r="E35" s="311"/>
      <c r="F35" s="311"/>
      <c r="G35" s="311">
        <f t="shared" si="0"/>
        <v>-8</v>
      </c>
      <c r="H35" s="309" t="s">
        <v>55</v>
      </c>
    </row>
    <row r="36" spans="2:8" x14ac:dyDescent="0.2">
      <c r="B36" s="308" t="str">
        <f>'CF (Equity, Debt)'!C34</f>
        <v>Mena Mobile Inc</v>
      </c>
      <c r="C36" s="310">
        <f>'CF (Equity, Debt)'!D34</f>
        <v>44293</v>
      </c>
      <c r="D36" s="311">
        <f>'CF (Equity, Debt)'!E34</f>
        <v>-2.3539819999999998</v>
      </c>
      <c r="E36" s="311"/>
      <c r="F36" s="311"/>
      <c r="G36" s="311">
        <f t="shared" si="0"/>
        <v>-2.3539819999999998</v>
      </c>
      <c r="H36" s="309" t="s">
        <v>55</v>
      </c>
    </row>
    <row r="37" spans="2:8" x14ac:dyDescent="0.2">
      <c r="B37" s="308" t="str">
        <f>'CF (Equity, Debt)'!C35</f>
        <v xml:space="preserve">Esyasoft Holding </v>
      </c>
      <c r="C37" s="310">
        <f>'CF (Equity, Debt)'!D35</f>
        <v>44384</v>
      </c>
      <c r="D37" s="311">
        <f>'CF (Equity, Debt)'!E35</f>
        <v>-0.41176499999999999</v>
      </c>
      <c r="E37" s="311"/>
      <c r="F37" s="311"/>
      <c r="G37" s="311">
        <f t="shared" si="0"/>
        <v>-0.41176499999999999</v>
      </c>
      <c r="H37" s="309" t="s">
        <v>55</v>
      </c>
    </row>
    <row r="38" spans="2:8" x14ac:dyDescent="0.2">
      <c r="B38" s="308" t="str">
        <f>'CF (Funds)'!B3</f>
        <v>Sinovation Disrupt Fund, L.P.</v>
      </c>
      <c r="C38" s="310">
        <f>'CF (Funds)'!C3</f>
        <v>44153</v>
      </c>
      <c r="D38" s="311">
        <f>'CF (Funds)'!D3</f>
        <v>-10.5</v>
      </c>
      <c r="E38" s="311">
        <f>'CF (Funds)'!E3</f>
        <v>0</v>
      </c>
      <c r="F38" s="311"/>
      <c r="G38" s="311">
        <f t="shared" si="0"/>
        <v>-10.5</v>
      </c>
      <c r="H38" s="309" t="s">
        <v>65</v>
      </c>
    </row>
    <row r="39" spans="2:8" x14ac:dyDescent="0.2">
      <c r="B39" s="308" t="str">
        <f>'CF (Funds)'!B4</f>
        <v>Sinovation Disrupt Fund, L.P.</v>
      </c>
      <c r="C39" s="310">
        <f>'CF (Funds)'!C4</f>
        <v>44238</v>
      </c>
      <c r="D39" s="311">
        <f>'CF (Funds)'!D4</f>
        <v>4.2140269999999997</v>
      </c>
      <c r="E39" s="311">
        <f>'CF (Funds)'!E4</f>
        <v>0</v>
      </c>
      <c r="F39" s="311"/>
      <c r="G39" s="311">
        <f t="shared" si="0"/>
        <v>4.2140269999999997</v>
      </c>
      <c r="H39" s="309" t="s">
        <v>65</v>
      </c>
    </row>
    <row r="40" spans="2:8" x14ac:dyDescent="0.2">
      <c r="B40" s="308" t="str">
        <f>'CF (Funds)'!B5</f>
        <v>Sinovation Disrupt Fund, L.P.</v>
      </c>
      <c r="C40" s="310">
        <f>'CF (Funds)'!C5</f>
        <v>44238</v>
      </c>
      <c r="D40" s="311">
        <f>'CF (Funds)'!D5</f>
        <v>0</v>
      </c>
      <c r="E40" s="311">
        <f>'CF (Funds)'!E5</f>
        <v>5.0448349999999996E-2</v>
      </c>
      <c r="F40" s="311"/>
      <c r="G40" s="311">
        <f t="shared" si="0"/>
        <v>5.0448349999999996E-2</v>
      </c>
      <c r="H40" s="309" t="s">
        <v>65</v>
      </c>
    </row>
    <row r="41" spans="2:8" x14ac:dyDescent="0.2">
      <c r="B41" s="308" t="str">
        <f>'CF (Funds)'!B6</f>
        <v>Sinovation Disrupt Fund, L.P.</v>
      </c>
      <c r="C41" s="310">
        <f>'CF (Funds)'!C6</f>
        <v>44285</v>
      </c>
      <c r="D41" s="311">
        <f>'CF (Funds)'!D6</f>
        <v>-6.4337459999999993</v>
      </c>
      <c r="E41" s="311">
        <f>'CF (Funds)'!E6</f>
        <v>0</v>
      </c>
      <c r="F41" s="311"/>
      <c r="G41" s="311">
        <f t="shared" si="0"/>
        <v>-6.4337459999999993</v>
      </c>
      <c r="H41" s="309" t="s">
        <v>65</v>
      </c>
    </row>
    <row r="42" spans="2:8" x14ac:dyDescent="0.2">
      <c r="B42" s="308" t="str">
        <f>'CF (Funds)'!B7</f>
        <v>Sinovation Disrupt Fund, L.P.</v>
      </c>
      <c r="C42" s="310">
        <f>'CF (Funds)'!C7</f>
        <v>44269</v>
      </c>
      <c r="D42" s="311">
        <f>'CF (Funds)'!D7</f>
        <v>1.1352073899999999</v>
      </c>
      <c r="E42" s="311">
        <f>'CF (Funds)'!E7</f>
        <v>0</v>
      </c>
      <c r="F42" s="311"/>
      <c r="G42" s="311">
        <f t="shared" si="0"/>
        <v>1.1352073899999999</v>
      </c>
      <c r="H42" s="309" t="s">
        <v>65</v>
      </c>
    </row>
    <row r="43" spans="2:8" x14ac:dyDescent="0.2">
      <c r="B43" s="308" t="str">
        <f>'CF (Funds)'!B8</f>
        <v>Sinovation Disrupt Fund, L.P.</v>
      </c>
      <c r="C43" s="310">
        <f>'CF (Funds)'!C8</f>
        <v>44269</v>
      </c>
      <c r="D43" s="311">
        <f>'CF (Funds)'!D8</f>
        <v>0</v>
      </c>
      <c r="E43" s="311">
        <f>'CF (Funds)'!E8</f>
        <v>2.5899999999999999E-2</v>
      </c>
      <c r="F43" s="311"/>
      <c r="G43" s="311">
        <f t="shared" si="0"/>
        <v>2.5899999999999999E-2</v>
      </c>
      <c r="H43" s="309" t="s">
        <v>65</v>
      </c>
    </row>
    <row r="44" spans="2:8" x14ac:dyDescent="0.2">
      <c r="B44" s="308" t="str">
        <f>'CF (Funds)'!B9</f>
        <v>Sinovation Disrupt Fund, L.P.</v>
      </c>
      <c r="C44" s="310">
        <f>'CF (Funds)'!C9</f>
        <v>44483</v>
      </c>
      <c r="D44" s="311">
        <f>'CF (Funds)'!D9</f>
        <v>-7.5671379999999999</v>
      </c>
      <c r="E44" s="311">
        <f>'CF (Funds)'!E9</f>
        <v>0</v>
      </c>
      <c r="F44" s="311"/>
      <c r="G44" s="311">
        <f t="shared" si="0"/>
        <v>-7.5671379999999999</v>
      </c>
      <c r="H44" s="309" t="s">
        <v>65</v>
      </c>
    </row>
    <row r="45" spans="2:8" x14ac:dyDescent="0.2">
      <c r="B45" s="308" t="str">
        <f>'CF (Funds)'!B10</f>
        <v>Sinovation Disrupt Fund, L.P.</v>
      </c>
      <c r="C45" s="310">
        <f>'CF (Funds)'!C10</f>
        <v>44554</v>
      </c>
      <c r="D45" s="311">
        <f>'CF (Funds)'!D10</f>
        <v>-7.3850159999999994</v>
      </c>
      <c r="E45" s="311">
        <f>'CF (Funds)'!E10</f>
        <v>0</v>
      </c>
      <c r="F45" s="311"/>
      <c r="G45" s="311">
        <f t="shared" si="0"/>
        <v>-7.3850159999999994</v>
      </c>
      <c r="H45" s="309" t="s">
        <v>65</v>
      </c>
    </row>
    <row r="46" spans="2:8" x14ac:dyDescent="0.2">
      <c r="B46" s="308" t="str">
        <f>'CF (Funds)'!B11</f>
        <v>Sinovation Disrupt Fund, L.P.</v>
      </c>
      <c r="C46" s="310">
        <f>'CF (Funds)'!C11</f>
        <v>44554</v>
      </c>
      <c r="D46" s="311">
        <f>'CF (Funds)'!D11</f>
        <v>4.0733456099999996</v>
      </c>
      <c r="E46" s="311">
        <f>'CF (Funds)'!E11</f>
        <v>0</v>
      </c>
      <c r="F46" s="311"/>
      <c r="G46" s="311">
        <f t="shared" si="0"/>
        <v>4.0733456099999996</v>
      </c>
      <c r="H46" s="309" t="s">
        <v>65</v>
      </c>
    </row>
    <row r="47" spans="2:8" x14ac:dyDescent="0.2">
      <c r="B47" s="308" t="str">
        <f>'CF (Funds)'!B12</f>
        <v>Sinovation Disrupt Fund, L.P.</v>
      </c>
      <c r="C47" s="310">
        <f>'CF (Funds)'!C12</f>
        <v>44554</v>
      </c>
      <c r="D47" s="311">
        <f>'CF (Funds)'!D12</f>
        <v>0</v>
      </c>
      <c r="E47" s="311">
        <f>'CF (Funds)'!E12</f>
        <v>0.13969399999999998</v>
      </c>
      <c r="F47" s="311"/>
      <c r="G47" s="311">
        <f t="shared" si="0"/>
        <v>0.13969399999999998</v>
      </c>
      <c r="H47" s="309" t="s">
        <v>65</v>
      </c>
    </row>
    <row r="48" spans="2:8" x14ac:dyDescent="0.2">
      <c r="B48" s="308" t="str">
        <f>'CF (Funds)'!B13</f>
        <v>Sinovation Disrupt Fund, L.P.</v>
      </c>
      <c r="C48" s="310">
        <f>'CF (Funds)'!C13</f>
        <v>44703</v>
      </c>
      <c r="D48" s="311">
        <f>'CF (Funds)'!D13</f>
        <v>5.6730739999999997</v>
      </c>
      <c r="E48" s="311">
        <f>'CF (Funds)'!E13</f>
        <v>0</v>
      </c>
      <c r="F48" s="311"/>
      <c r="G48" s="311">
        <f t="shared" si="0"/>
        <v>5.6730739999999997</v>
      </c>
      <c r="H48" s="309" t="s">
        <v>65</v>
      </c>
    </row>
    <row r="49" spans="2:8" x14ac:dyDescent="0.2">
      <c r="B49" s="308" t="str">
        <f>'CF (Funds)'!B14</f>
        <v>Sinovation Disrupt Fund, L.P.</v>
      </c>
      <c r="C49" s="310">
        <f>'CF (Funds)'!C14</f>
        <v>44703</v>
      </c>
      <c r="D49" s="311">
        <f>'CF (Funds)'!D14</f>
        <v>0</v>
      </c>
      <c r="E49" s="311">
        <f>'CF (Funds)'!E14</f>
        <v>0.22778599999999999</v>
      </c>
      <c r="F49" s="311"/>
      <c r="G49" s="311">
        <f t="shared" si="0"/>
        <v>0.22778599999999999</v>
      </c>
      <c r="H49" s="309" t="s">
        <v>65</v>
      </c>
    </row>
    <row r="50" spans="2:8" x14ac:dyDescent="0.2">
      <c r="B50" s="312" t="str">
        <f>'CF (Funds)'!B15</f>
        <v>North Summit Capital Fund</v>
      </c>
      <c r="C50" s="314">
        <f>'CF (Funds)'!C15</f>
        <v>43665</v>
      </c>
      <c r="D50" s="315">
        <f>'CF (Funds)'!D15</f>
        <v>-3</v>
      </c>
      <c r="E50" s="315">
        <f>'CF (Funds)'!E15</f>
        <v>0</v>
      </c>
      <c r="F50" s="315"/>
      <c r="G50" s="315">
        <f t="shared" si="0"/>
        <v>-3</v>
      </c>
      <c r="H50" s="313" t="s">
        <v>65</v>
      </c>
    </row>
    <row r="51" spans="2:8" x14ac:dyDescent="0.2">
      <c r="B51" s="312" t="str">
        <f>'CF (Funds)'!B16</f>
        <v>North Summit Capital Fund</v>
      </c>
      <c r="C51" s="314">
        <f>'CF (Funds)'!C16</f>
        <v>43983</v>
      </c>
      <c r="D51" s="315">
        <f>'CF (Funds)'!D16</f>
        <v>-4.4849999999999994</v>
      </c>
      <c r="E51" s="315">
        <f>'CF (Funds)'!E16</f>
        <v>0</v>
      </c>
      <c r="F51" s="315"/>
      <c r="G51" s="315">
        <f t="shared" si="0"/>
        <v>-4.4849999999999994</v>
      </c>
      <c r="H51" s="313" t="s">
        <v>65</v>
      </c>
    </row>
    <row r="52" spans="2:8" x14ac:dyDescent="0.2">
      <c r="B52" s="312" t="str">
        <f>'CF (Funds)'!B17</f>
        <v>North Summit Capital Fund</v>
      </c>
      <c r="C52" s="314">
        <f>'CF (Funds)'!C17</f>
        <v>43879</v>
      </c>
      <c r="D52" s="315">
        <f>'CF (Funds)'!D17</f>
        <v>-9.5097500000000004</v>
      </c>
      <c r="E52" s="315">
        <f>'CF (Funds)'!E17</f>
        <v>0</v>
      </c>
      <c r="F52" s="315"/>
      <c r="G52" s="315">
        <f t="shared" si="0"/>
        <v>-9.5097500000000004</v>
      </c>
      <c r="H52" s="313" t="s">
        <v>65</v>
      </c>
    </row>
    <row r="53" spans="2:8" x14ac:dyDescent="0.2">
      <c r="B53" s="312" t="str">
        <f>'CF (Funds)'!B18</f>
        <v>North Summit Capital Fund</v>
      </c>
      <c r="C53" s="314">
        <f>'CF (Funds)'!C18</f>
        <v>43934</v>
      </c>
      <c r="D53" s="315">
        <f>'CF (Funds)'!D18</f>
        <v>-41.3</v>
      </c>
      <c r="E53" s="315">
        <f>'CF (Funds)'!E18</f>
        <v>0</v>
      </c>
      <c r="F53" s="315"/>
      <c r="G53" s="315">
        <f t="shared" si="0"/>
        <v>-41.3</v>
      </c>
      <c r="H53" s="313" t="s">
        <v>65</v>
      </c>
    </row>
    <row r="54" spans="2:8" x14ac:dyDescent="0.2">
      <c r="B54" s="312" t="str">
        <f>'CF (Funds)'!B19</f>
        <v>North Summit Capital Fund</v>
      </c>
      <c r="C54" s="314">
        <f>'CF (Funds)'!C19</f>
        <v>44151</v>
      </c>
      <c r="D54" s="315">
        <f>'CF (Funds)'!D19</f>
        <v>9.9499999999999993</v>
      </c>
      <c r="E54" s="315">
        <f>'CF (Funds)'!E19</f>
        <v>0</v>
      </c>
      <c r="F54" s="315"/>
      <c r="G54" s="315">
        <f t="shared" si="0"/>
        <v>9.9499999999999993</v>
      </c>
      <c r="H54" s="313" t="s">
        <v>65</v>
      </c>
    </row>
    <row r="55" spans="2:8" x14ac:dyDescent="0.2">
      <c r="B55" s="312" t="str">
        <f>'CF (Funds)'!B20</f>
        <v>North Summit Capital Fund</v>
      </c>
      <c r="C55" s="314">
        <f>'CF (Funds)'!C20</f>
        <v>44151</v>
      </c>
      <c r="D55" s="315">
        <f>'CF (Funds)'!D20</f>
        <v>-10.455</v>
      </c>
      <c r="E55" s="315">
        <f>'CF (Funds)'!E20</f>
        <v>0</v>
      </c>
      <c r="F55" s="315"/>
      <c r="G55" s="315">
        <f t="shared" si="0"/>
        <v>-10.455</v>
      </c>
      <c r="H55" s="313" t="s">
        <v>65</v>
      </c>
    </row>
    <row r="56" spans="2:8" x14ac:dyDescent="0.2">
      <c r="B56" s="312" t="str">
        <f>'CF (Funds)'!B21</f>
        <v>North Summit Capital Fund</v>
      </c>
      <c r="C56" s="314">
        <f>'CF (Funds)'!C21</f>
        <v>44196</v>
      </c>
      <c r="D56" s="315">
        <f>'CF (Funds)'!D21</f>
        <v>4.9749999999999996</v>
      </c>
      <c r="E56" s="315">
        <f>'CF (Funds)'!E21</f>
        <v>0</v>
      </c>
      <c r="F56" s="315"/>
      <c r="G56" s="315">
        <f t="shared" si="0"/>
        <v>4.9749999999999996</v>
      </c>
      <c r="H56" s="313" t="s">
        <v>65</v>
      </c>
    </row>
    <row r="57" spans="2:8" x14ac:dyDescent="0.2">
      <c r="B57" s="312" t="str">
        <f>'CF (Funds)'!B22</f>
        <v>North Summit Capital Fund</v>
      </c>
      <c r="C57" s="314">
        <f>'CF (Funds)'!C22</f>
        <v>44196</v>
      </c>
      <c r="D57" s="315">
        <f>'CF (Funds)'!D22</f>
        <v>-3.4522930000000001</v>
      </c>
      <c r="E57" s="315">
        <f>'CF (Funds)'!E22</f>
        <v>0</v>
      </c>
      <c r="F57" s="315"/>
      <c r="G57" s="315">
        <f t="shared" si="0"/>
        <v>-3.4522930000000001</v>
      </c>
      <c r="H57" s="313" t="s">
        <v>65</v>
      </c>
    </row>
    <row r="58" spans="2:8" x14ac:dyDescent="0.2">
      <c r="B58" s="312" t="str">
        <f>'CF (Funds)'!B23</f>
        <v>North Summit Capital Fund</v>
      </c>
      <c r="C58" s="314">
        <f>'CF (Funds)'!C23</f>
        <v>44196</v>
      </c>
      <c r="D58" s="315">
        <f>'CF (Funds)'!D23</f>
        <v>0</v>
      </c>
      <c r="E58" s="315">
        <f>'CF (Funds)'!E23</f>
        <v>0.58290199999999992</v>
      </c>
      <c r="F58" s="315"/>
      <c r="G58" s="315">
        <f t="shared" si="0"/>
        <v>0.58290199999999992</v>
      </c>
      <c r="H58" s="313" t="s">
        <v>65</v>
      </c>
    </row>
    <row r="59" spans="2:8" x14ac:dyDescent="0.2">
      <c r="B59" s="312" t="str">
        <f>'CF (Funds)'!B24</f>
        <v>North Summit Capital Fund</v>
      </c>
      <c r="C59" s="314">
        <f>'CF (Funds)'!C24</f>
        <v>44370</v>
      </c>
      <c r="D59" s="315">
        <f>'CF (Funds)'!D24</f>
        <v>-5.97</v>
      </c>
      <c r="E59" s="315">
        <f>'CF (Funds)'!E24</f>
        <v>0</v>
      </c>
      <c r="F59" s="315"/>
      <c r="G59" s="315">
        <f t="shared" si="0"/>
        <v>-5.97</v>
      </c>
      <c r="H59" s="313" t="s">
        <v>65</v>
      </c>
    </row>
    <row r="60" spans="2:8" x14ac:dyDescent="0.2">
      <c r="B60" s="312" t="str">
        <f>'CF (Funds)'!B25</f>
        <v>North Summit Capital Fund</v>
      </c>
      <c r="C60" s="314">
        <f>'CF (Funds)'!C25</f>
        <v>44400</v>
      </c>
      <c r="D60" s="315">
        <f>'CF (Funds)'!D25</f>
        <v>-0.75</v>
      </c>
      <c r="E60" s="315">
        <f>'CF (Funds)'!E25</f>
        <v>0</v>
      </c>
      <c r="F60" s="315"/>
      <c r="G60" s="315">
        <f t="shared" si="0"/>
        <v>-0.75</v>
      </c>
      <c r="H60" s="313" t="s">
        <v>65</v>
      </c>
    </row>
    <row r="61" spans="2:8" x14ac:dyDescent="0.2">
      <c r="B61" s="312" t="str">
        <f>'CF (Funds)'!B26</f>
        <v>North Summit Capital Fund</v>
      </c>
      <c r="C61" s="314">
        <f>'CF (Funds)'!C26</f>
        <v>44400</v>
      </c>
      <c r="D61" s="315">
        <f>'CF (Funds)'!D26</f>
        <v>0</v>
      </c>
      <c r="E61" s="315">
        <f>'CF (Funds)'!E26</f>
        <v>0.44505899999999998</v>
      </c>
      <c r="F61" s="315"/>
      <c r="G61" s="315">
        <f t="shared" si="0"/>
        <v>0.44505899999999998</v>
      </c>
      <c r="H61" s="313" t="s">
        <v>65</v>
      </c>
    </row>
    <row r="62" spans="2:8" x14ac:dyDescent="0.2">
      <c r="B62" s="312" t="str">
        <f>'CF (Funds)'!B27</f>
        <v>North Summit Capital Fund</v>
      </c>
      <c r="C62" s="314">
        <f>'CF (Funds)'!C27</f>
        <v>44554</v>
      </c>
      <c r="D62" s="315">
        <f>'CF (Funds)'!D27</f>
        <v>1.7823899999999999</v>
      </c>
      <c r="E62" s="315">
        <f>'CF (Funds)'!E27</f>
        <v>0</v>
      </c>
      <c r="F62" s="315"/>
      <c r="G62" s="315">
        <f t="shared" si="0"/>
        <v>1.7823899999999999</v>
      </c>
      <c r="H62" s="313" t="s">
        <v>65</v>
      </c>
    </row>
    <row r="63" spans="2:8" x14ac:dyDescent="0.2">
      <c r="B63" s="312" t="str">
        <f>'CF (Funds)'!B28</f>
        <v>North Summit Capital Fund</v>
      </c>
      <c r="C63" s="314">
        <f>'CF (Funds)'!C28</f>
        <v>44676</v>
      </c>
      <c r="D63" s="315">
        <f>'CF (Funds)'!D28</f>
        <v>-21</v>
      </c>
      <c r="E63" s="315">
        <f>'CF (Funds)'!E28</f>
        <v>0</v>
      </c>
      <c r="F63" s="315"/>
      <c r="G63" s="315">
        <f t="shared" si="0"/>
        <v>-21</v>
      </c>
      <c r="H63" s="313" t="s">
        <v>65</v>
      </c>
    </row>
    <row r="64" spans="2:8" x14ac:dyDescent="0.2">
      <c r="B64" s="308" t="str">
        <f>'CF (Funds)'!B29</f>
        <v>New Space Capital Fund I</v>
      </c>
      <c r="C64" s="310">
        <f>'CF (Funds)'!C29</f>
        <v>44087</v>
      </c>
      <c r="D64" s="311">
        <f>'CF (Funds)'!D29</f>
        <v>-20.917552997000001</v>
      </c>
      <c r="E64" s="311">
        <f>'CF (Funds)'!E29</f>
        <v>0</v>
      </c>
      <c r="F64" s="311"/>
      <c r="G64" s="311">
        <f t="shared" si="0"/>
        <v>-20.917552997000001</v>
      </c>
      <c r="H64" s="309" t="s">
        <v>65</v>
      </c>
    </row>
    <row r="65" spans="2:8" x14ac:dyDescent="0.2">
      <c r="B65" s="308" t="str">
        <f>'CF (Funds)'!B30</f>
        <v>New Space Capital Fund I</v>
      </c>
      <c r="C65" s="310">
        <f>'CF (Funds)'!C30</f>
        <v>44287</v>
      </c>
      <c r="D65" s="311">
        <f>'CF (Funds)'!D30</f>
        <v>-0.21103182000000001</v>
      </c>
      <c r="E65" s="311">
        <f>'CF (Funds)'!E30</f>
        <v>0</v>
      </c>
      <c r="F65" s="311"/>
      <c r="G65" s="311">
        <f t="shared" si="0"/>
        <v>-0.21103182000000001</v>
      </c>
      <c r="H65" s="309" t="s">
        <v>65</v>
      </c>
    </row>
    <row r="66" spans="2:8" x14ac:dyDescent="0.2">
      <c r="B66" s="308" t="str">
        <f>'CF (Funds)'!B31</f>
        <v>New Space Capital Fund I</v>
      </c>
      <c r="C66" s="310">
        <f>'CF (Funds)'!C31</f>
        <v>44442</v>
      </c>
      <c r="D66" s="311">
        <f>'CF (Funds)'!D31</f>
        <v>-0.23965473139999999</v>
      </c>
      <c r="E66" s="311">
        <f>'CF (Funds)'!E31</f>
        <v>0</v>
      </c>
      <c r="F66" s="311"/>
      <c r="G66" s="311">
        <f t="shared" si="0"/>
        <v>-0.23965473139999999</v>
      </c>
      <c r="H66" s="309" t="s">
        <v>65</v>
      </c>
    </row>
    <row r="67" spans="2:8" x14ac:dyDescent="0.2">
      <c r="B67" s="308" t="str">
        <f>'CF (Funds)'!B32</f>
        <v>New Space Capital Fund I</v>
      </c>
      <c r="C67" s="310">
        <f>'CF (Funds)'!C32</f>
        <v>44623</v>
      </c>
      <c r="D67" s="311">
        <f>'CF (Funds)'!D32</f>
        <v>-0.25893584940000003</v>
      </c>
      <c r="E67" s="311">
        <f>'CF (Funds)'!E32</f>
        <v>0</v>
      </c>
      <c r="F67" s="311"/>
      <c r="G67" s="311">
        <f t="shared" si="0"/>
        <v>-0.25893584940000003</v>
      </c>
      <c r="H67" s="309" t="s">
        <v>65</v>
      </c>
    </row>
    <row r="68" spans="2:8" x14ac:dyDescent="0.2">
      <c r="B68" s="308" t="str">
        <f>'CF (Funds)'!B33</f>
        <v>New Space Capital Fund I</v>
      </c>
      <c r="C68" s="310">
        <f>'CF (Funds)'!C33</f>
        <v>44784</v>
      </c>
      <c r="D68" s="311">
        <f>'CF (Funds)'!D33</f>
        <v>1.5224656599999999E-2</v>
      </c>
      <c r="E68" s="311">
        <f>'CF (Funds)'!E33</f>
        <v>0</v>
      </c>
      <c r="F68" s="311"/>
      <c r="G68" s="311">
        <f t="shared" si="0"/>
        <v>1.5224656599999999E-2</v>
      </c>
      <c r="H68" s="309" t="s">
        <v>65</v>
      </c>
    </row>
    <row r="69" spans="2:8" x14ac:dyDescent="0.2">
      <c r="B69" s="308" t="str">
        <f>'CF (Funds)'!B34</f>
        <v>New Space Capital SCSp</v>
      </c>
      <c r="C69" s="310">
        <f>'CF (Funds)'!C34</f>
        <v>44087</v>
      </c>
      <c r="D69" s="311">
        <f>'CF (Funds)'!D34</f>
        <v>-2.7058823529411762</v>
      </c>
      <c r="E69" s="311">
        <f>'CF (Funds)'!E34</f>
        <v>0</v>
      </c>
      <c r="F69" s="311"/>
      <c r="G69" s="311">
        <f t="shared" si="0"/>
        <v>-2.7058823529411762</v>
      </c>
      <c r="H69" s="309" t="s">
        <v>65</v>
      </c>
    </row>
    <row r="70" spans="2:8" x14ac:dyDescent="0.2">
      <c r="B70" s="312" t="str">
        <f>'CF (Funds)'!B35</f>
        <v>Acies Investments Fund I, L.P.</v>
      </c>
      <c r="C70" s="314">
        <f>'CF (Funds)'!C35</f>
        <v>44540</v>
      </c>
      <c r="D70" s="315">
        <f>'CF (Funds)'!D35</f>
        <v>-2.8053124999999999</v>
      </c>
      <c r="E70" s="315">
        <f>'CF (Funds)'!E35</f>
        <v>0</v>
      </c>
      <c r="F70" s="315"/>
      <c r="G70" s="315">
        <f t="shared" si="0"/>
        <v>-2.8053124999999999</v>
      </c>
      <c r="H70" s="313" t="s">
        <v>65</v>
      </c>
    </row>
    <row r="71" spans="2:8" x14ac:dyDescent="0.2">
      <c r="B71" s="312" t="str">
        <f>'CF (Funds)'!B36</f>
        <v>Acies Investments Fund I, L.P.</v>
      </c>
      <c r="C71" s="314">
        <f>'CF (Funds)'!C36</f>
        <v>44602</v>
      </c>
      <c r="D71" s="315">
        <f>'CF (Funds)'!D36</f>
        <v>-3.4074999999999998</v>
      </c>
      <c r="E71" s="315">
        <f>'CF (Funds)'!E36</f>
        <v>0</v>
      </c>
      <c r="F71" s="315"/>
      <c r="G71" s="315">
        <f t="shared" si="0"/>
        <v>-3.4074999999999998</v>
      </c>
      <c r="H71" s="313" t="s">
        <v>65</v>
      </c>
    </row>
    <row r="72" spans="2:8" x14ac:dyDescent="0.2">
      <c r="B72" s="312" t="str">
        <f>'CF (Funds)'!B37</f>
        <v>Acies Investments Fund I, L.P.</v>
      </c>
      <c r="C72" s="314">
        <f>'CF (Funds)'!C37</f>
        <v>44683</v>
      </c>
      <c r="D72" s="315">
        <f>'CF (Funds)'!D37</f>
        <v>-1.0257749999999999</v>
      </c>
      <c r="E72" s="315">
        <f>'CF (Funds)'!E37</f>
        <v>0</v>
      </c>
      <c r="F72" s="315"/>
      <c r="G72" s="315">
        <f t="shared" si="0"/>
        <v>-1.0257749999999999</v>
      </c>
      <c r="H72" s="313" t="s">
        <v>65</v>
      </c>
    </row>
    <row r="73" spans="2:8" x14ac:dyDescent="0.2">
      <c r="B73" s="312" t="str">
        <f>'CF (Funds)'!B38</f>
        <v>Acies Investments Fund I, L.P.</v>
      </c>
      <c r="C73" s="314">
        <f>'CF (Funds)'!C38</f>
        <v>44707</v>
      </c>
      <c r="D73" s="315">
        <f>'CF (Funds)'!D38</f>
        <v>-3.3882749999999997</v>
      </c>
      <c r="E73" s="315">
        <f>'CF (Funds)'!E38</f>
        <v>0</v>
      </c>
      <c r="F73" s="315"/>
      <c r="G73" s="315">
        <f t="shared" ref="G73:G96" si="1">SUM(D73:F73)</f>
        <v>-3.3882749999999997</v>
      </c>
      <c r="H73" s="313" t="s">
        <v>65</v>
      </c>
    </row>
    <row r="74" spans="2:8" x14ac:dyDescent="0.2">
      <c r="B74" s="308" t="s">
        <v>59</v>
      </c>
      <c r="C74" s="310">
        <f t="shared" ref="C74:C96" si="2">$C$4</f>
        <v>44834</v>
      </c>
      <c r="D74" s="311"/>
      <c r="E74" s="311"/>
      <c r="F74" s="311">
        <f>VLOOKUP(B74,NAV!$B$9:$D$39,3,0)</f>
        <v>0</v>
      </c>
      <c r="G74" s="311">
        <f t="shared" si="1"/>
        <v>0</v>
      </c>
      <c r="H74" s="309"/>
    </row>
    <row r="75" spans="2:8" x14ac:dyDescent="0.2">
      <c r="B75" s="308" t="s">
        <v>0</v>
      </c>
      <c r="C75" s="310">
        <f t="shared" si="2"/>
        <v>44834</v>
      </c>
      <c r="D75" s="311"/>
      <c r="E75" s="311"/>
      <c r="F75" s="311">
        <f>VLOOKUP(B75,NAV!$B$9:$D$39,3,0)</f>
        <v>3.1</v>
      </c>
      <c r="G75" s="311">
        <f t="shared" si="1"/>
        <v>3.1</v>
      </c>
      <c r="H75" s="309"/>
    </row>
    <row r="76" spans="2:8" x14ac:dyDescent="0.2">
      <c r="B76" s="308" t="s">
        <v>50</v>
      </c>
      <c r="C76" s="310">
        <f t="shared" si="2"/>
        <v>44834</v>
      </c>
      <c r="D76" s="311"/>
      <c r="E76" s="311"/>
      <c r="F76" s="311">
        <f>VLOOKUP(B76,NAV!$B$9:$D$39,3,0)</f>
        <v>78.082229999999996</v>
      </c>
      <c r="G76" s="311">
        <f t="shared" si="1"/>
        <v>78.082229999999996</v>
      </c>
      <c r="H76" s="309"/>
    </row>
    <row r="77" spans="2:8" x14ac:dyDescent="0.2">
      <c r="B77" s="308" t="s">
        <v>51</v>
      </c>
      <c r="C77" s="310">
        <f t="shared" si="2"/>
        <v>44834</v>
      </c>
      <c r="D77" s="311"/>
      <c r="E77" s="311"/>
      <c r="F77" s="311">
        <f>VLOOKUP(B77,NAV!$B$9:$D$39,3,0)</f>
        <v>0</v>
      </c>
      <c r="G77" s="311">
        <f t="shared" si="1"/>
        <v>0</v>
      </c>
      <c r="H77" s="309"/>
    </row>
    <row r="78" spans="2:8" x14ac:dyDescent="0.2">
      <c r="B78" s="308" t="s">
        <v>49</v>
      </c>
      <c r="C78" s="310">
        <f t="shared" si="2"/>
        <v>44834</v>
      </c>
      <c r="D78" s="311"/>
      <c r="E78" s="311"/>
      <c r="F78" s="311">
        <f>VLOOKUP(B78,NAV!$B$9:$D$39,3,0)</f>
        <v>91.001540300000002</v>
      </c>
      <c r="G78" s="311">
        <f t="shared" si="1"/>
        <v>91.001540300000002</v>
      </c>
      <c r="H78" s="309"/>
    </row>
    <row r="79" spans="2:8" x14ac:dyDescent="0.2">
      <c r="B79" s="308" t="s">
        <v>142</v>
      </c>
      <c r="C79" s="310">
        <f t="shared" si="2"/>
        <v>44834</v>
      </c>
      <c r="D79" s="311"/>
      <c r="E79" s="311"/>
      <c r="F79" s="311">
        <f>VLOOKUP(B79,NAV!$B$9:$D$39,3,0)</f>
        <v>125.96278579200001</v>
      </c>
      <c r="G79" s="311">
        <f t="shared" si="1"/>
        <v>125.96278579200001</v>
      </c>
      <c r="H79" s="309"/>
    </row>
    <row r="80" spans="2:8" x14ac:dyDescent="0.2">
      <c r="B80" s="308" t="s">
        <v>11</v>
      </c>
      <c r="C80" s="310">
        <f t="shared" si="2"/>
        <v>44834</v>
      </c>
      <c r="D80" s="311"/>
      <c r="E80" s="311"/>
      <c r="F80" s="311">
        <f>VLOOKUP(B80,NAV!$B$9:$D$39,3,0)</f>
        <v>136.63999999999999</v>
      </c>
      <c r="G80" s="311">
        <f t="shared" si="1"/>
        <v>136.63999999999999</v>
      </c>
      <c r="H80" s="309"/>
    </row>
    <row r="81" spans="2:8" x14ac:dyDescent="0.2">
      <c r="B81" s="308" t="s">
        <v>24</v>
      </c>
      <c r="C81" s="310">
        <f t="shared" si="2"/>
        <v>44834</v>
      </c>
      <c r="D81" s="311"/>
      <c r="E81" s="311"/>
      <c r="F81" s="311">
        <f>VLOOKUP(B81,NAV!$B$9:$D$39,3,0)</f>
        <v>20</v>
      </c>
      <c r="G81" s="311">
        <f t="shared" si="1"/>
        <v>20</v>
      </c>
      <c r="H81" s="309"/>
    </row>
    <row r="82" spans="2:8" x14ac:dyDescent="0.2">
      <c r="B82" s="308" t="s">
        <v>52</v>
      </c>
      <c r="C82" s="310">
        <f t="shared" si="2"/>
        <v>44834</v>
      </c>
      <c r="D82" s="311"/>
      <c r="E82" s="311"/>
      <c r="F82" s="311">
        <f>VLOOKUP(B82,NAV!$B$9:$D$39,3,0)</f>
        <v>39.999983359999995</v>
      </c>
      <c r="G82" s="311">
        <f t="shared" si="1"/>
        <v>39.999983359999995</v>
      </c>
      <c r="H82" s="309"/>
    </row>
    <row r="83" spans="2:8" x14ac:dyDescent="0.2">
      <c r="B83" s="308" t="s">
        <v>53</v>
      </c>
      <c r="C83" s="310">
        <f t="shared" si="2"/>
        <v>44834</v>
      </c>
      <c r="D83" s="311"/>
      <c r="E83" s="311"/>
      <c r="F83" s="311">
        <f>VLOOKUP(B83,NAV!$B$9:$D$39,3,0)</f>
        <v>3</v>
      </c>
      <c r="G83" s="311">
        <f t="shared" si="1"/>
        <v>3</v>
      </c>
      <c r="H83" s="309"/>
    </row>
    <row r="84" spans="2:8" x14ac:dyDescent="0.2">
      <c r="B84" s="308" t="s">
        <v>54</v>
      </c>
      <c r="C84" s="310">
        <f t="shared" si="2"/>
        <v>44834</v>
      </c>
      <c r="D84" s="311"/>
      <c r="E84" s="311"/>
      <c r="F84" s="311">
        <f>VLOOKUP(B84,NAV!$B$9:$D$39,3,0)</f>
        <v>5.0237201984774336</v>
      </c>
      <c r="G84" s="311">
        <f t="shared" si="1"/>
        <v>5.0237201984774336</v>
      </c>
      <c r="H84" s="309"/>
    </row>
    <row r="85" spans="2:8" x14ac:dyDescent="0.2">
      <c r="B85" s="308" t="s">
        <v>120</v>
      </c>
      <c r="C85" s="310">
        <f t="shared" si="2"/>
        <v>44834</v>
      </c>
      <c r="D85" s="311"/>
      <c r="E85" s="311"/>
      <c r="F85" s="311">
        <f>VLOOKUP(B85,NAV!$B$9:$D$39,3,0)</f>
        <v>493.50095619999996</v>
      </c>
      <c r="G85" s="311">
        <f t="shared" si="1"/>
        <v>493.50095619999996</v>
      </c>
      <c r="H85" s="309"/>
    </row>
    <row r="86" spans="2:8" x14ac:dyDescent="0.2">
      <c r="B86" s="308" t="s">
        <v>25</v>
      </c>
      <c r="C86" s="310">
        <f t="shared" si="2"/>
        <v>44834</v>
      </c>
      <c r="D86" s="311"/>
      <c r="E86" s="311"/>
      <c r="F86" s="311">
        <f>VLOOKUP(B86,NAV!$B$9:$D$39,3,0)</f>
        <v>300</v>
      </c>
      <c r="G86" s="311">
        <f t="shared" si="1"/>
        <v>300</v>
      </c>
      <c r="H86" s="309"/>
    </row>
    <row r="87" spans="2:8" x14ac:dyDescent="0.2">
      <c r="B87" s="308" t="s">
        <v>143</v>
      </c>
      <c r="C87" s="310">
        <f t="shared" si="2"/>
        <v>44834</v>
      </c>
      <c r="D87" s="311"/>
      <c r="E87" s="311"/>
      <c r="F87" s="311">
        <f>VLOOKUP(B87,NAV!$B$9:$D$39,3,0)</f>
        <v>-2.4253142200000006</v>
      </c>
      <c r="G87" s="311">
        <f t="shared" si="1"/>
        <v>-2.4253142200000006</v>
      </c>
      <c r="H87" s="309"/>
    </row>
    <row r="88" spans="2:8" x14ac:dyDescent="0.2">
      <c r="B88" s="308" t="s">
        <v>46</v>
      </c>
      <c r="C88" s="310">
        <f t="shared" si="2"/>
        <v>44834</v>
      </c>
      <c r="D88" s="311"/>
      <c r="E88" s="311"/>
      <c r="F88" s="311">
        <f>VLOOKUP(B88,NAV!$B$9:$D$39,3,0)</f>
        <v>860.46271279030282</v>
      </c>
      <c r="G88" s="311">
        <f t="shared" si="1"/>
        <v>860.46271279030282</v>
      </c>
      <c r="H88" s="309"/>
    </row>
    <row r="89" spans="2:8" x14ac:dyDescent="0.2">
      <c r="B89" s="308" t="s">
        <v>60</v>
      </c>
      <c r="C89" s="310">
        <f t="shared" si="2"/>
        <v>44834</v>
      </c>
      <c r="D89" s="311"/>
      <c r="E89" s="311"/>
      <c r="F89" s="311">
        <f>VLOOKUP(B89,NAV!$B$9:$D$39,3,0)</f>
        <v>0</v>
      </c>
      <c r="G89" s="311">
        <f t="shared" si="1"/>
        <v>0</v>
      </c>
      <c r="H89" s="309"/>
    </row>
    <row r="90" spans="2:8" x14ac:dyDescent="0.2">
      <c r="B90" s="308" t="s">
        <v>0</v>
      </c>
      <c r="C90" s="310">
        <f t="shared" si="2"/>
        <v>44834</v>
      </c>
      <c r="D90" s="311"/>
      <c r="E90" s="311"/>
      <c r="F90" s="311">
        <f>VLOOKUP(B90,NAV!$B$9:$D$39,3,0)</f>
        <v>3.1</v>
      </c>
      <c r="G90" s="311">
        <f t="shared" si="1"/>
        <v>3.1</v>
      </c>
      <c r="H90" s="309"/>
    </row>
    <row r="91" spans="2:8" x14ac:dyDescent="0.2">
      <c r="B91" s="308" t="s">
        <v>51</v>
      </c>
      <c r="C91" s="310">
        <f t="shared" si="2"/>
        <v>44834</v>
      </c>
      <c r="D91" s="311"/>
      <c r="E91" s="311"/>
      <c r="F91" s="311">
        <f>VLOOKUP(B91,NAV!$B$9:$D$39,3,0)</f>
        <v>0</v>
      </c>
      <c r="G91" s="311">
        <f t="shared" si="1"/>
        <v>0</v>
      </c>
      <c r="H91" s="309"/>
    </row>
    <row r="92" spans="2:8" x14ac:dyDescent="0.2">
      <c r="B92" s="308" t="s">
        <v>186</v>
      </c>
      <c r="C92" s="310">
        <f t="shared" si="2"/>
        <v>44834</v>
      </c>
      <c r="D92" s="311"/>
      <c r="E92" s="311"/>
      <c r="F92" s="311">
        <f>VLOOKUP(B92,NAV!$B$9:$D$39,3,0)</f>
        <v>31.952799285000001</v>
      </c>
      <c r="G92" s="311">
        <f t="shared" si="1"/>
        <v>31.952799285000001</v>
      </c>
      <c r="H92" s="309"/>
    </row>
    <row r="93" spans="2:8" x14ac:dyDescent="0.2">
      <c r="B93" s="308" t="s">
        <v>168</v>
      </c>
      <c r="C93" s="310">
        <f t="shared" si="2"/>
        <v>44834</v>
      </c>
      <c r="D93" s="311"/>
      <c r="E93" s="311"/>
      <c r="F93" s="311">
        <f>VLOOKUP(B93,NAV!$B$9:$D$39,3,0)</f>
        <v>2.7058823529411762</v>
      </c>
      <c r="G93" s="311">
        <f t="shared" si="1"/>
        <v>2.7058823529411762</v>
      </c>
      <c r="H93" s="309"/>
    </row>
    <row r="94" spans="2:8" x14ac:dyDescent="0.2">
      <c r="B94" s="308" t="s">
        <v>1</v>
      </c>
      <c r="C94" s="310">
        <f t="shared" si="2"/>
        <v>44834</v>
      </c>
      <c r="D94" s="311"/>
      <c r="E94" s="311"/>
      <c r="F94" s="311">
        <f>VLOOKUP(B94,NAV!$B$9:$D$39,3,0)</f>
        <v>79.319999999999993</v>
      </c>
      <c r="G94" s="311">
        <f t="shared" si="1"/>
        <v>79.319999999999993</v>
      </c>
      <c r="H94" s="309"/>
    </row>
    <row r="95" spans="2:8" x14ac:dyDescent="0.2">
      <c r="B95" s="308" t="s">
        <v>15</v>
      </c>
      <c r="C95" s="310">
        <f t="shared" si="2"/>
        <v>44834</v>
      </c>
      <c r="D95" s="311"/>
      <c r="E95" s="311"/>
      <c r="F95" s="311">
        <f>VLOOKUP(B95,NAV!$B$9:$D$39,3,0)</f>
        <v>15.875237</v>
      </c>
      <c r="G95" s="311">
        <f t="shared" si="1"/>
        <v>15.875237</v>
      </c>
      <c r="H95" s="309"/>
    </row>
    <row r="96" spans="2:8" x14ac:dyDescent="0.2">
      <c r="B96" s="308" t="s">
        <v>263</v>
      </c>
      <c r="C96" s="310">
        <f t="shared" si="2"/>
        <v>44834</v>
      </c>
      <c r="D96" s="311"/>
      <c r="E96" s="311"/>
      <c r="F96" s="311">
        <f>VLOOKUP(B96,NAV!$B$9:$D$39,3,0)</f>
        <v>10.343446999999999</v>
      </c>
      <c r="G96" s="311">
        <f t="shared" si="1"/>
        <v>10.343446999999999</v>
      </c>
      <c r="H96" s="309"/>
    </row>
  </sheetData>
  <pageMargins left="0.7" right="0.7" top="0.75" bottom="0.75" header="0.3" footer="0.3"/>
  <pageSetup paperSize="9" orientation="portrait" verticalDpi="0" r:id="rId1"/>
  <ignoredErrors>
    <ignoredError sqref="G8:G72" formulaRange="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01A38-0598-4393-A072-2E22156075E3}">
  <sheetPr>
    <tabColor theme="4" tint="-0.499984740745262"/>
  </sheetPr>
  <dimension ref="B2:AG96"/>
  <sheetViews>
    <sheetView zoomScale="70" zoomScaleNormal="70" workbookViewId="0">
      <selection activeCell="F7" sqref="F7"/>
    </sheetView>
  </sheetViews>
  <sheetFormatPr defaultRowHeight="12" x14ac:dyDescent="0.2"/>
  <cols>
    <col min="1" max="1" width="9.140625" style="83"/>
    <col min="2" max="3" width="21.5703125" style="83" customWidth="1"/>
    <col min="4" max="5" width="9.140625" style="83"/>
    <col min="6" max="6" width="22.7109375" style="83" bestFit="1" customWidth="1"/>
    <col min="7" max="9" width="15.85546875" style="88" customWidth="1"/>
    <col min="10" max="10" width="15.7109375" style="83" customWidth="1"/>
    <col min="11" max="11" width="13.85546875" style="83" customWidth="1"/>
    <col min="12" max="12" width="14.85546875" style="83" customWidth="1"/>
    <col min="13" max="14" width="16.5703125" style="83" customWidth="1"/>
    <col min="15" max="16" width="13.28515625" style="364" customWidth="1"/>
    <col min="17" max="17" width="22.7109375" style="83" bestFit="1" customWidth="1"/>
    <col min="18" max="21" width="14.85546875" style="83" customWidth="1"/>
    <col min="22" max="23" width="9.85546875" style="83" customWidth="1"/>
    <col min="24" max="33" width="22.5703125" style="83" customWidth="1"/>
    <col min="34" max="16384" width="9.140625" style="83"/>
  </cols>
  <sheetData>
    <row r="2" spans="2:33" s="166" customFormat="1" ht="43.5" customHeight="1" x14ac:dyDescent="0.45">
      <c r="F2" s="352" t="s">
        <v>362</v>
      </c>
      <c r="G2" s="353"/>
      <c r="H2" s="353"/>
      <c r="I2" s="353"/>
      <c r="J2" s="353"/>
      <c r="K2" s="353"/>
      <c r="L2" s="361"/>
      <c r="M2" s="361"/>
      <c r="N2" s="361"/>
      <c r="O2" s="363"/>
      <c r="P2" s="363"/>
      <c r="Q2" s="138"/>
      <c r="R2" s="138"/>
      <c r="S2" s="138"/>
      <c r="T2" s="138"/>
      <c r="U2" s="138"/>
      <c r="V2" s="138"/>
      <c r="W2" s="138"/>
      <c r="X2" s="138"/>
      <c r="Y2" s="354"/>
    </row>
    <row r="3" spans="2:33" ht="13.5" thickBot="1" x14ac:dyDescent="0.25">
      <c r="Q3" s="138"/>
      <c r="R3" s="138"/>
      <c r="S3" s="138"/>
      <c r="T3" s="138"/>
      <c r="U3" s="138"/>
      <c r="V3" s="138"/>
      <c r="W3" s="138"/>
      <c r="X3" s="138"/>
    </row>
    <row r="4" spans="2:33" s="138" customFormat="1" ht="13.5" thickBot="1" x14ac:dyDescent="0.25">
      <c r="F4" s="277" t="s">
        <v>261</v>
      </c>
      <c r="G4" s="291">
        <f>D!D2</f>
        <v>44834</v>
      </c>
      <c r="H4" s="384"/>
      <c r="I4" s="384"/>
      <c r="O4" s="365"/>
      <c r="P4" s="365"/>
    </row>
    <row r="6" spans="2:33" x14ac:dyDescent="0.2">
      <c r="F6" s="97" t="s">
        <v>150</v>
      </c>
      <c r="G6" s="83"/>
      <c r="H6" s="83"/>
      <c r="I6" s="83"/>
      <c r="Q6" s="97" t="s">
        <v>150</v>
      </c>
    </row>
    <row r="7" spans="2:33" ht="32.25" customHeight="1" x14ac:dyDescent="0.2">
      <c r="B7" s="96" t="s">
        <v>318</v>
      </c>
      <c r="C7" s="96"/>
      <c r="F7" s="95" t="s">
        <v>6</v>
      </c>
      <c r="G7" s="96" t="s">
        <v>247</v>
      </c>
      <c r="H7" s="96" t="s">
        <v>333</v>
      </c>
      <c r="I7" s="96" t="s">
        <v>58</v>
      </c>
      <c r="J7" s="96" t="s">
        <v>7</v>
      </c>
      <c r="K7" s="96" t="s">
        <v>151</v>
      </c>
      <c r="L7" s="96" t="s">
        <v>44</v>
      </c>
      <c r="M7" s="97" t="s">
        <v>149</v>
      </c>
      <c r="N7" s="97" t="s">
        <v>251</v>
      </c>
      <c r="O7" s="366"/>
      <c r="P7" s="366"/>
      <c r="Q7" s="95" t="s">
        <v>6</v>
      </c>
      <c r="R7" s="96" t="s">
        <v>151</v>
      </c>
      <c r="S7" s="96" t="s">
        <v>44</v>
      </c>
      <c r="T7" s="96" t="s">
        <v>149</v>
      </c>
      <c r="U7" s="96" t="s">
        <v>251</v>
      </c>
      <c r="V7" s="342"/>
      <c r="X7" s="128" t="s">
        <v>358</v>
      </c>
      <c r="Y7" s="325" t="s">
        <v>43</v>
      </c>
      <c r="Z7" s="326" t="s">
        <v>2</v>
      </c>
      <c r="AA7" s="326" t="s">
        <v>326</v>
      </c>
      <c r="AB7" s="128" t="s">
        <v>44</v>
      </c>
      <c r="AC7" s="128" t="s">
        <v>249</v>
      </c>
      <c r="AD7" s="128" t="s">
        <v>34</v>
      </c>
      <c r="AE7" s="128" t="s">
        <v>45</v>
      </c>
      <c r="AF7" s="128" t="s">
        <v>262</v>
      </c>
      <c r="AG7" s="128" t="s">
        <v>152</v>
      </c>
    </row>
    <row r="8" spans="2:33" ht="12.75" x14ac:dyDescent="0.2">
      <c r="B8" s="362" t="s">
        <v>59</v>
      </c>
      <c r="C8" s="362" t="s">
        <v>336</v>
      </c>
      <c r="F8" s="84" t="s">
        <v>59</v>
      </c>
      <c r="G8" s="89" t="s">
        <v>246</v>
      </c>
      <c r="H8" s="89" t="str">
        <f>VLOOKUP(F8,'5. Geo'!$B$3:$F$26,5,0)</f>
        <v>Asia-China</v>
      </c>
      <c r="I8" s="386">
        <f>VLOOKUP(F8,'5. Geo'!$B$3:$F$26,2,0)</f>
        <v>2019</v>
      </c>
      <c r="J8" s="85">
        <v>43470</v>
      </c>
      <c r="K8" s="93">
        <f>'CF (Equity, Debt)'!E4</f>
        <v>-30</v>
      </c>
      <c r="L8" s="93">
        <f>'CF (Equity, Debt)'!F4</f>
        <v>0</v>
      </c>
      <c r="M8" s="93"/>
      <c r="N8" s="93">
        <f>SUM(K8:M8)</f>
        <v>-30</v>
      </c>
      <c r="O8" s="367"/>
      <c r="P8" s="367">
        <f>IF($C$8=H8,1,0)</f>
        <v>1</v>
      </c>
      <c r="Q8" s="84" t="s">
        <v>59</v>
      </c>
      <c r="R8" s="93">
        <f>$P8*K8</f>
        <v>-30</v>
      </c>
      <c r="S8" s="93">
        <f>$P8*L8</f>
        <v>0</v>
      </c>
      <c r="T8" s="93">
        <f>$P8*M8</f>
        <v>0</v>
      </c>
      <c r="U8" s="93">
        <f>$P8*N8</f>
        <v>-30</v>
      </c>
      <c r="V8" s="307"/>
      <c r="X8" s="307"/>
      <c r="Z8" s="138"/>
      <c r="AB8" s="138"/>
      <c r="AC8" s="138"/>
      <c r="AD8" s="272"/>
      <c r="AE8" s="138"/>
      <c r="AF8" s="138"/>
      <c r="AG8" s="138"/>
    </row>
    <row r="9" spans="2:33" ht="15" x14ac:dyDescent="0.25">
      <c r="B9" s="362" t="s">
        <v>0</v>
      </c>
      <c r="C9" s="362" t="s">
        <v>334</v>
      </c>
      <c r="F9" s="84" t="s">
        <v>59</v>
      </c>
      <c r="G9" s="89" t="s">
        <v>246</v>
      </c>
      <c r="H9" s="89" t="str">
        <f>VLOOKUP(F9,'5. Geo'!$B$3:$F$26,5,0)</f>
        <v>Asia-China</v>
      </c>
      <c r="I9" s="386">
        <f>VLOOKUP(F9,'5. Geo'!$B$3:$F$26,2,0)</f>
        <v>2019</v>
      </c>
      <c r="J9" s="85">
        <v>43724</v>
      </c>
      <c r="K9" s="93">
        <f>'CF (Equity, Debt)'!E5</f>
        <v>-20</v>
      </c>
      <c r="L9" s="93">
        <f>'CF (Equity, Debt)'!F5</f>
        <v>0</v>
      </c>
      <c r="M9" s="93"/>
      <c r="N9" s="93">
        <f t="shared" ref="N9:N72" si="0">SUM(K9:M9)</f>
        <v>-20</v>
      </c>
      <c r="O9" s="367"/>
      <c r="P9" s="367">
        <f t="shared" ref="P9:P72" si="1">IF($C$8=H9,1,0)</f>
        <v>1</v>
      </c>
      <c r="Q9" s="84" t="s">
        <v>59</v>
      </c>
      <c r="R9" s="93">
        <f t="shared" ref="R9:R72" si="2">$P9*K9</f>
        <v>-20</v>
      </c>
      <c r="S9" s="93">
        <f t="shared" ref="S9:S72" si="3">$P9*L9</f>
        <v>0</v>
      </c>
      <c r="T9" s="93">
        <f t="shared" ref="T9:T72" si="4">$P9*M9</f>
        <v>0</v>
      </c>
      <c r="U9" s="93">
        <f t="shared" ref="U9:U72" si="5">$P9*N9</f>
        <v>-20</v>
      </c>
      <c r="X9" s="390">
        <f>SUM(P74:P97)</f>
        <v>8</v>
      </c>
      <c r="Y9" s="88"/>
      <c r="Z9" s="99">
        <f>-SUM(R8:R99)</f>
        <v>1528.8598371999997</v>
      </c>
      <c r="AA9" s="88"/>
      <c r="AB9" s="99">
        <f>SUM(S8:S99)</f>
        <v>1.4717893499999999</v>
      </c>
      <c r="AC9" s="99">
        <f>SUM(T8:T99)</f>
        <v>1591.9989059903025</v>
      </c>
      <c r="AD9" s="391">
        <f>XIRR(U8:U110,J8:J110,0.1)</f>
        <v>6.0739758610725419E-2</v>
      </c>
      <c r="AE9" s="205">
        <f>(AB9+AC9)/Z9</f>
        <v>1.0422608119908712</v>
      </c>
      <c r="AF9" s="205">
        <f>AC9/Z9</f>
        <v>1.0412981407804771</v>
      </c>
      <c r="AG9" s="205">
        <f>AB9/Z9</f>
        <v>9.6267121039393612E-4</v>
      </c>
    </row>
    <row r="10" spans="2:33" ht="12.75" x14ac:dyDescent="0.2">
      <c r="B10" s="362" t="s">
        <v>50</v>
      </c>
      <c r="C10" s="362" t="s">
        <v>338</v>
      </c>
      <c r="F10" s="84" t="s">
        <v>59</v>
      </c>
      <c r="G10" s="89" t="s">
        <v>246</v>
      </c>
      <c r="H10" s="89" t="str">
        <f>VLOOKUP(F10,'5. Geo'!$B$3:$F$26,5,0)</f>
        <v>Asia-China</v>
      </c>
      <c r="I10" s="386">
        <f>VLOOKUP(F10,'5. Geo'!$B$3:$F$26,2,0)</f>
        <v>2019</v>
      </c>
      <c r="J10" s="85">
        <v>43724</v>
      </c>
      <c r="K10" s="93">
        <f>'CF (Equity, Debt)'!E6</f>
        <v>-15</v>
      </c>
      <c r="L10" s="93">
        <f>'CF (Equity, Debt)'!F6</f>
        <v>0</v>
      </c>
      <c r="M10" s="93"/>
      <c r="N10" s="93">
        <f t="shared" si="0"/>
        <v>-15</v>
      </c>
      <c r="O10" s="367"/>
      <c r="P10" s="367">
        <f t="shared" si="1"/>
        <v>1</v>
      </c>
      <c r="Q10" s="84" t="s">
        <v>59</v>
      </c>
      <c r="R10" s="93">
        <f t="shared" si="2"/>
        <v>-15</v>
      </c>
      <c r="S10" s="93">
        <f t="shared" si="3"/>
        <v>0</v>
      </c>
      <c r="T10" s="93">
        <f t="shared" si="4"/>
        <v>0</v>
      </c>
      <c r="U10" s="93">
        <f t="shared" si="5"/>
        <v>-15</v>
      </c>
    </row>
    <row r="11" spans="2:33" ht="12.75" x14ac:dyDescent="0.2">
      <c r="B11" s="362" t="s">
        <v>51</v>
      </c>
      <c r="C11" s="362" t="s">
        <v>339</v>
      </c>
      <c r="F11" s="86" t="s">
        <v>0</v>
      </c>
      <c r="G11" s="90" t="s">
        <v>246</v>
      </c>
      <c r="H11" s="90" t="str">
        <f>VLOOKUP(F11,'5. Geo'!$B$3:$F$26,5,0)</f>
        <v>Asia-China</v>
      </c>
      <c r="I11" s="387">
        <f>VLOOKUP(F11,'5. Geo'!$B$3:$F$26,2,0)</f>
        <v>2019</v>
      </c>
      <c r="J11" s="87">
        <v>43563</v>
      </c>
      <c r="K11" s="94">
        <f>'CF (Equity, Debt)'!E7</f>
        <v>-8</v>
      </c>
      <c r="L11" s="94">
        <f>'CF (Equity, Debt)'!F7</f>
        <v>0</v>
      </c>
      <c r="M11" s="94"/>
      <c r="N11" s="94">
        <f t="shared" si="0"/>
        <v>-8</v>
      </c>
      <c r="O11" s="367"/>
      <c r="P11" s="367">
        <f t="shared" si="1"/>
        <v>1</v>
      </c>
      <c r="Q11" s="86" t="s">
        <v>0</v>
      </c>
      <c r="R11" s="94">
        <f t="shared" si="2"/>
        <v>-8</v>
      </c>
      <c r="S11" s="94">
        <f t="shared" si="3"/>
        <v>0</v>
      </c>
      <c r="T11" s="94">
        <f t="shared" si="4"/>
        <v>0</v>
      </c>
      <c r="U11" s="94">
        <f t="shared" si="5"/>
        <v>-8</v>
      </c>
    </row>
    <row r="12" spans="2:33" ht="12.75" x14ac:dyDescent="0.2">
      <c r="B12" s="362" t="s">
        <v>49</v>
      </c>
      <c r="C12" s="362" t="s">
        <v>337</v>
      </c>
      <c r="F12" s="84" t="s">
        <v>50</v>
      </c>
      <c r="G12" s="89" t="s">
        <v>246</v>
      </c>
      <c r="H12" s="89" t="str">
        <f>VLOOKUP(F12,'5. Geo'!$B$3:$F$26,5,0)</f>
        <v>USA</v>
      </c>
      <c r="I12" s="386">
        <f>VLOOKUP(F12,'5. Geo'!$B$3:$F$26,2,0)</f>
        <v>2019</v>
      </c>
      <c r="J12" s="85">
        <v>43570</v>
      </c>
      <c r="K12" s="93">
        <f>'CF (Equity, Debt)'!E8</f>
        <v>-4.9999980900000001</v>
      </c>
      <c r="L12" s="93">
        <f>'CF (Equity, Debt)'!F8</f>
        <v>0</v>
      </c>
      <c r="M12" s="93"/>
      <c r="N12" s="93">
        <f t="shared" si="0"/>
        <v>-4.9999980900000001</v>
      </c>
      <c r="O12" s="367"/>
      <c r="P12" s="367">
        <f t="shared" si="1"/>
        <v>0</v>
      </c>
      <c r="Q12" s="84" t="s">
        <v>50</v>
      </c>
      <c r="R12" s="93">
        <f t="shared" si="2"/>
        <v>0</v>
      </c>
      <c r="S12" s="93">
        <f t="shared" si="3"/>
        <v>0</v>
      </c>
      <c r="T12" s="93">
        <f t="shared" si="4"/>
        <v>0</v>
      </c>
      <c r="U12" s="93">
        <f t="shared" si="5"/>
        <v>0</v>
      </c>
      <c r="Y12" s="269"/>
      <c r="Z12" s="269"/>
      <c r="AA12" s="292"/>
      <c r="AB12" s="283"/>
      <c r="AC12" s="283"/>
      <c r="AD12" s="283"/>
    </row>
    <row r="13" spans="2:33" ht="12.75" x14ac:dyDescent="0.2">
      <c r="B13" s="362" t="s">
        <v>142</v>
      </c>
      <c r="C13" s="362"/>
      <c r="F13" s="84" t="s">
        <v>50</v>
      </c>
      <c r="G13" s="89" t="s">
        <v>246</v>
      </c>
      <c r="H13" s="89" t="str">
        <f>VLOOKUP(F13,'5. Geo'!$B$3:$F$26,5,0)</f>
        <v>USA</v>
      </c>
      <c r="I13" s="386">
        <f>VLOOKUP(F13,'5. Geo'!$B$3:$F$26,2,0)</f>
        <v>2019</v>
      </c>
      <c r="J13" s="85">
        <v>43915</v>
      </c>
      <c r="K13" s="93">
        <f>'CF (Equity, Debt)'!E9</f>
        <v>-5.0000019099999999</v>
      </c>
      <c r="L13" s="93">
        <f>'CF (Equity, Debt)'!F9</f>
        <v>0</v>
      </c>
      <c r="M13" s="93"/>
      <c r="N13" s="93">
        <f t="shared" si="0"/>
        <v>-5.0000019099999999</v>
      </c>
      <c r="O13" s="367"/>
      <c r="P13" s="367">
        <f t="shared" si="1"/>
        <v>0</v>
      </c>
      <c r="Q13" s="84" t="s">
        <v>50</v>
      </c>
      <c r="R13" s="93">
        <f t="shared" si="2"/>
        <v>0</v>
      </c>
      <c r="S13" s="93">
        <f t="shared" si="3"/>
        <v>0</v>
      </c>
      <c r="T13" s="93">
        <f t="shared" si="4"/>
        <v>0</v>
      </c>
      <c r="U13" s="93">
        <f t="shared" si="5"/>
        <v>0</v>
      </c>
    </row>
    <row r="14" spans="2:33" ht="12.75" x14ac:dyDescent="0.2">
      <c r="B14" s="362" t="s">
        <v>11</v>
      </c>
      <c r="C14" s="362"/>
      <c r="F14" s="86" t="s">
        <v>51</v>
      </c>
      <c r="G14" s="90" t="s">
        <v>246</v>
      </c>
      <c r="H14" s="90" t="str">
        <f>VLOOKUP(F14,'5. Geo'!$B$3:$F$26,5,0)</f>
        <v>Rest of Asia</v>
      </c>
      <c r="I14" s="387">
        <f>VLOOKUP(F14,'5. Geo'!$B$3:$F$26,2,0)</f>
        <v>2020</v>
      </c>
      <c r="J14" s="87">
        <v>43870</v>
      </c>
      <c r="K14" s="94">
        <f>'CF (Equity, Debt)'!E10</f>
        <v>-2.5</v>
      </c>
      <c r="L14" s="94">
        <f>'CF (Equity, Debt)'!F10</f>
        <v>0</v>
      </c>
      <c r="M14" s="94"/>
      <c r="N14" s="94">
        <f t="shared" si="0"/>
        <v>-2.5</v>
      </c>
      <c r="O14" s="367"/>
      <c r="P14" s="367">
        <f t="shared" si="1"/>
        <v>0</v>
      </c>
      <c r="Q14" s="86" t="s">
        <v>51</v>
      </c>
      <c r="R14" s="94">
        <f t="shared" si="2"/>
        <v>0</v>
      </c>
      <c r="S14" s="94">
        <f t="shared" si="3"/>
        <v>0</v>
      </c>
      <c r="T14" s="94">
        <f t="shared" si="4"/>
        <v>0</v>
      </c>
      <c r="U14" s="94">
        <f t="shared" si="5"/>
        <v>0</v>
      </c>
    </row>
    <row r="15" spans="2:33" ht="12.75" x14ac:dyDescent="0.2">
      <c r="B15" s="362" t="s">
        <v>24</v>
      </c>
      <c r="C15" s="362"/>
      <c r="F15" s="84" t="s">
        <v>49</v>
      </c>
      <c r="G15" s="89" t="s">
        <v>246</v>
      </c>
      <c r="H15" s="89" t="str">
        <f>VLOOKUP(F15,'5. Geo'!$B$3:$F$26,5,0)</f>
        <v>USA</v>
      </c>
      <c r="I15" s="386">
        <f>VLOOKUP(F15,'5. Geo'!$B$3:$F$26,2,0)</f>
        <v>2020</v>
      </c>
      <c r="J15" s="85">
        <v>43879</v>
      </c>
      <c r="K15" s="93">
        <f>'CF (Equity, Debt)'!E11</f>
        <v>-20</v>
      </c>
      <c r="L15" s="93">
        <f>'CF (Equity, Debt)'!F11</f>
        <v>0</v>
      </c>
      <c r="M15" s="93"/>
      <c r="N15" s="93">
        <f t="shared" si="0"/>
        <v>-20</v>
      </c>
      <c r="O15" s="367"/>
      <c r="P15" s="367">
        <f t="shared" si="1"/>
        <v>0</v>
      </c>
      <c r="Q15" s="84" t="s">
        <v>49</v>
      </c>
      <c r="R15" s="93">
        <f t="shared" si="2"/>
        <v>0</v>
      </c>
      <c r="S15" s="93">
        <f t="shared" si="3"/>
        <v>0</v>
      </c>
      <c r="T15" s="93">
        <f t="shared" si="4"/>
        <v>0</v>
      </c>
      <c r="U15" s="93">
        <f t="shared" si="5"/>
        <v>0</v>
      </c>
    </row>
    <row r="16" spans="2:33" ht="12.75" x14ac:dyDescent="0.2">
      <c r="B16" s="362" t="s">
        <v>52</v>
      </c>
      <c r="C16" s="362"/>
      <c r="F16" s="84" t="s">
        <v>49</v>
      </c>
      <c r="G16" s="89" t="s">
        <v>246</v>
      </c>
      <c r="H16" s="89" t="str">
        <f>VLOOKUP(F16,'5. Geo'!$B$3:$F$26,5,0)</f>
        <v>USA</v>
      </c>
      <c r="I16" s="386">
        <f>VLOOKUP(F16,'5. Geo'!$B$3:$F$26,2,0)</f>
        <v>2020</v>
      </c>
      <c r="J16" s="85">
        <v>43921</v>
      </c>
      <c r="K16" s="93">
        <f>'CF (Equity, Debt)'!E12</f>
        <v>-30</v>
      </c>
      <c r="L16" s="93">
        <f>'CF (Equity, Debt)'!F12</f>
        <v>0</v>
      </c>
      <c r="M16" s="93"/>
      <c r="N16" s="93">
        <f t="shared" si="0"/>
        <v>-30</v>
      </c>
      <c r="O16" s="367"/>
      <c r="P16" s="367">
        <f t="shared" si="1"/>
        <v>0</v>
      </c>
      <c r="Q16" s="84" t="s">
        <v>49</v>
      </c>
      <c r="R16" s="93">
        <f t="shared" si="2"/>
        <v>0</v>
      </c>
      <c r="S16" s="93">
        <f t="shared" si="3"/>
        <v>0</v>
      </c>
      <c r="T16" s="93">
        <f t="shared" si="4"/>
        <v>0</v>
      </c>
      <c r="U16" s="93">
        <f t="shared" si="5"/>
        <v>0</v>
      </c>
    </row>
    <row r="17" spans="2:21" ht="12.75" x14ac:dyDescent="0.2">
      <c r="B17" s="362" t="s">
        <v>53</v>
      </c>
      <c r="C17" s="362"/>
      <c r="F17" s="84" t="s">
        <v>49</v>
      </c>
      <c r="G17" s="89" t="s">
        <v>246</v>
      </c>
      <c r="H17" s="89" t="str">
        <f>VLOOKUP(F17,'5. Geo'!$B$3:$F$26,5,0)</f>
        <v>USA</v>
      </c>
      <c r="I17" s="386">
        <f>VLOOKUP(F17,'5. Geo'!$B$3:$F$26,2,0)</f>
        <v>2020</v>
      </c>
      <c r="J17" s="85">
        <v>43989</v>
      </c>
      <c r="K17" s="93">
        <f>'CF (Equity, Debt)'!E13</f>
        <v>-30</v>
      </c>
      <c r="L17" s="93">
        <f>'CF (Equity, Debt)'!F13</f>
        <v>0</v>
      </c>
      <c r="M17" s="93"/>
      <c r="N17" s="93">
        <f>SUM(K17:M17)</f>
        <v>-30</v>
      </c>
      <c r="O17" s="367"/>
      <c r="P17" s="367">
        <f t="shared" si="1"/>
        <v>0</v>
      </c>
      <c r="Q17" s="84" t="s">
        <v>49</v>
      </c>
      <c r="R17" s="93">
        <f t="shared" si="2"/>
        <v>0</v>
      </c>
      <c r="S17" s="93">
        <f t="shared" si="3"/>
        <v>0</v>
      </c>
      <c r="T17" s="93">
        <f t="shared" si="4"/>
        <v>0</v>
      </c>
      <c r="U17" s="93">
        <f t="shared" si="5"/>
        <v>0</v>
      </c>
    </row>
    <row r="18" spans="2:21" ht="12.75" x14ac:dyDescent="0.2">
      <c r="B18" s="362" t="s">
        <v>54</v>
      </c>
      <c r="C18" s="362"/>
      <c r="F18" s="84" t="s">
        <v>49</v>
      </c>
      <c r="G18" s="89" t="s">
        <v>246</v>
      </c>
      <c r="H18" s="89" t="str">
        <f>VLOOKUP(F18,'5. Geo'!$B$3:$F$26,5,0)</f>
        <v>USA</v>
      </c>
      <c r="I18" s="386">
        <f>VLOOKUP(F18,'5. Geo'!$B$3:$F$26,2,0)</f>
        <v>2020</v>
      </c>
      <c r="J18" s="85">
        <v>44103</v>
      </c>
      <c r="K18" s="93">
        <f>'CF (Equity, Debt)'!E14</f>
        <v>-10</v>
      </c>
      <c r="L18" s="93">
        <f>'CF (Equity, Debt)'!F14</f>
        <v>0</v>
      </c>
      <c r="M18" s="93"/>
      <c r="N18" s="93">
        <f t="shared" si="0"/>
        <v>-10</v>
      </c>
      <c r="O18" s="367"/>
      <c r="P18" s="367">
        <f t="shared" si="1"/>
        <v>0</v>
      </c>
      <c r="Q18" s="84" t="s">
        <v>49</v>
      </c>
      <c r="R18" s="93">
        <f t="shared" si="2"/>
        <v>0</v>
      </c>
      <c r="S18" s="93">
        <f t="shared" si="3"/>
        <v>0</v>
      </c>
      <c r="T18" s="93">
        <f t="shared" si="4"/>
        <v>0</v>
      </c>
      <c r="U18" s="93">
        <f t="shared" si="5"/>
        <v>0</v>
      </c>
    </row>
    <row r="19" spans="2:21" ht="12.75" x14ac:dyDescent="0.2">
      <c r="B19" s="362" t="s">
        <v>120</v>
      </c>
      <c r="C19" s="362"/>
      <c r="F19" s="86" t="s">
        <v>142</v>
      </c>
      <c r="G19" s="90" t="s">
        <v>246</v>
      </c>
      <c r="H19" s="90" t="str">
        <f>VLOOKUP(F19,'5. Geo'!$B$3:$F$26,5,0)</f>
        <v>Europe</v>
      </c>
      <c r="I19" s="387">
        <f>VLOOKUP(F19,'5. Geo'!$B$3:$F$26,2,0)</f>
        <v>2020</v>
      </c>
      <c r="J19" s="87">
        <v>43968</v>
      </c>
      <c r="K19" s="94">
        <f>'CF (Equity, Debt)'!E15</f>
        <v>-50</v>
      </c>
      <c r="L19" s="94">
        <f>'CF (Equity, Debt)'!F15</f>
        <v>0</v>
      </c>
      <c r="M19" s="94"/>
      <c r="N19" s="94">
        <f t="shared" si="0"/>
        <v>-50</v>
      </c>
      <c r="O19" s="367"/>
      <c r="P19" s="367">
        <f t="shared" si="1"/>
        <v>0</v>
      </c>
      <c r="Q19" s="86" t="s">
        <v>142</v>
      </c>
      <c r="R19" s="94">
        <f t="shared" si="2"/>
        <v>0</v>
      </c>
      <c r="S19" s="94">
        <f t="shared" si="3"/>
        <v>0</v>
      </c>
      <c r="T19" s="94">
        <f t="shared" si="4"/>
        <v>0</v>
      </c>
      <c r="U19" s="94">
        <f t="shared" si="5"/>
        <v>0</v>
      </c>
    </row>
    <row r="20" spans="2:21" ht="12.75" x14ac:dyDescent="0.2">
      <c r="B20" s="362" t="s">
        <v>25</v>
      </c>
      <c r="C20" s="362"/>
      <c r="F20" s="86" t="s">
        <v>142</v>
      </c>
      <c r="G20" s="90" t="s">
        <v>246</v>
      </c>
      <c r="H20" s="90" t="str">
        <f>VLOOKUP(F20,'5. Geo'!$B$3:$F$26,5,0)</f>
        <v>Europe</v>
      </c>
      <c r="I20" s="387">
        <f>VLOOKUP(F20,'5. Geo'!$B$3:$F$26,2,0)</f>
        <v>2020</v>
      </c>
      <c r="J20" s="87">
        <v>44006</v>
      </c>
      <c r="K20" s="94">
        <f>'CF (Equity, Debt)'!E16</f>
        <v>-27.268350856443721</v>
      </c>
      <c r="L20" s="94">
        <f>'CF (Equity, Debt)'!F16</f>
        <v>0</v>
      </c>
      <c r="M20" s="94"/>
      <c r="N20" s="94">
        <f t="shared" si="0"/>
        <v>-27.268350856443721</v>
      </c>
      <c r="O20" s="367"/>
      <c r="P20" s="367">
        <f t="shared" si="1"/>
        <v>0</v>
      </c>
      <c r="Q20" s="86" t="s">
        <v>142</v>
      </c>
      <c r="R20" s="94">
        <f t="shared" si="2"/>
        <v>0</v>
      </c>
      <c r="S20" s="94">
        <f t="shared" si="3"/>
        <v>0</v>
      </c>
      <c r="T20" s="94">
        <f t="shared" si="4"/>
        <v>0</v>
      </c>
      <c r="U20" s="94">
        <f t="shared" si="5"/>
        <v>0</v>
      </c>
    </row>
    <row r="21" spans="2:21" ht="12.75" x14ac:dyDescent="0.2">
      <c r="B21" s="362" t="s">
        <v>143</v>
      </c>
      <c r="C21" s="362"/>
      <c r="F21" s="86" t="s">
        <v>142</v>
      </c>
      <c r="G21" s="90" t="s">
        <v>246</v>
      </c>
      <c r="H21" s="90" t="str">
        <f>VLOOKUP(F21,'5. Geo'!$B$3:$F$26,5,0)</f>
        <v>Europe</v>
      </c>
      <c r="I21" s="387">
        <f>VLOOKUP(F21,'5. Geo'!$B$3:$F$26,2,0)</f>
        <v>2020</v>
      </c>
      <c r="J21" s="87">
        <v>43837</v>
      </c>
      <c r="K21" s="94">
        <f>'CF (Equity, Debt)'!E17</f>
        <v>-18.109441299619355</v>
      </c>
      <c r="L21" s="94">
        <f>'CF (Equity, Debt)'!F17</f>
        <v>0</v>
      </c>
      <c r="M21" s="94"/>
      <c r="N21" s="94">
        <f t="shared" si="0"/>
        <v>-18.109441299619355</v>
      </c>
      <c r="O21" s="367"/>
      <c r="P21" s="367">
        <f t="shared" si="1"/>
        <v>0</v>
      </c>
      <c r="Q21" s="86" t="s">
        <v>142</v>
      </c>
      <c r="R21" s="94">
        <f t="shared" si="2"/>
        <v>0</v>
      </c>
      <c r="S21" s="94">
        <f t="shared" si="3"/>
        <v>0</v>
      </c>
      <c r="T21" s="94">
        <f t="shared" si="4"/>
        <v>0</v>
      </c>
      <c r="U21" s="94">
        <f t="shared" si="5"/>
        <v>0</v>
      </c>
    </row>
    <row r="22" spans="2:21" ht="12.75" x14ac:dyDescent="0.2">
      <c r="B22" s="362" t="s">
        <v>46</v>
      </c>
      <c r="C22" s="362"/>
      <c r="F22" s="86" t="s">
        <v>142</v>
      </c>
      <c r="G22" s="90" t="s">
        <v>246</v>
      </c>
      <c r="H22" s="90" t="str">
        <f>VLOOKUP(F22,'5. Geo'!$B$3:$F$26,5,0)</f>
        <v>Europe</v>
      </c>
      <c r="I22" s="387">
        <f>VLOOKUP(F22,'5. Geo'!$B$3:$F$26,2,0)</f>
        <v>2020</v>
      </c>
      <c r="J22" s="87">
        <v>43990</v>
      </c>
      <c r="K22" s="94">
        <f>'CF (Equity, Debt)'!E18</f>
        <v>-34.851687094159864</v>
      </c>
      <c r="L22" s="94">
        <f>'CF (Equity, Debt)'!F18</f>
        <v>0</v>
      </c>
      <c r="M22" s="94"/>
      <c r="N22" s="94">
        <f t="shared" si="0"/>
        <v>-34.851687094159864</v>
      </c>
      <c r="O22" s="367"/>
      <c r="P22" s="367">
        <f t="shared" si="1"/>
        <v>0</v>
      </c>
      <c r="Q22" s="86" t="s">
        <v>142</v>
      </c>
      <c r="R22" s="94">
        <f t="shared" si="2"/>
        <v>0</v>
      </c>
      <c r="S22" s="94">
        <f t="shared" si="3"/>
        <v>0</v>
      </c>
      <c r="T22" s="94">
        <f t="shared" si="4"/>
        <v>0</v>
      </c>
      <c r="U22" s="94">
        <f t="shared" si="5"/>
        <v>0</v>
      </c>
    </row>
    <row r="23" spans="2:21" ht="12.75" x14ac:dyDescent="0.2">
      <c r="B23" s="362" t="s">
        <v>60</v>
      </c>
      <c r="C23" s="362"/>
      <c r="F23" s="86" t="s">
        <v>142</v>
      </c>
      <c r="G23" s="90" t="s">
        <v>246</v>
      </c>
      <c r="H23" s="90" t="str">
        <f>VLOOKUP(F23,'5. Geo'!$B$3:$F$26,5,0)</f>
        <v>Europe</v>
      </c>
      <c r="I23" s="387">
        <f>VLOOKUP(F23,'5. Geo'!$B$3:$F$26,2,0)</f>
        <v>2020</v>
      </c>
      <c r="J23" s="87">
        <v>44315</v>
      </c>
      <c r="K23" s="94">
        <f>'CF (Equity, Debt)'!E19</f>
        <v>-11.240780424143557</v>
      </c>
      <c r="L23" s="94">
        <f>'CF (Equity, Debt)'!F19</f>
        <v>0</v>
      </c>
      <c r="M23" s="94"/>
      <c r="N23" s="94">
        <f t="shared" si="0"/>
        <v>-11.240780424143557</v>
      </c>
      <c r="O23" s="367"/>
      <c r="P23" s="367">
        <f t="shared" si="1"/>
        <v>0</v>
      </c>
      <c r="Q23" s="86" t="s">
        <v>142</v>
      </c>
      <c r="R23" s="94">
        <f t="shared" si="2"/>
        <v>0</v>
      </c>
      <c r="S23" s="94">
        <f t="shared" si="3"/>
        <v>0</v>
      </c>
      <c r="T23" s="94">
        <f t="shared" si="4"/>
        <v>0</v>
      </c>
      <c r="U23" s="94">
        <f t="shared" si="5"/>
        <v>0</v>
      </c>
    </row>
    <row r="24" spans="2:21" ht="12.75" x14ac:dyDescent="0.2">
      <c r="B24" s="362" t="s">
        <v>0</v>
      </c>
      <c r="C24" s="362"/>
      <c r="F24" s="84" t="s">
        <v>11</v>
      </c>
      <c r="G24" s="89" t="s">
        <v>246</v>
      </c>
      <c r="H24" s="89" t="str">
        <f>VLOOKUP(F24,'5. Geo'!$B$3:$F$26,5,0)</f>
        <v>Asia-China</v>
      </c>
      <c r="I24" s="386">
        <f>VLOOKUP(F24,'5. Geo'!$B$3:$F$26,2,0)</f>
        <v>2020</v>
      </c>
      <c r="J24" s="85">
        <v>44166</v>
      </c>
      <c r="K24" s="93">
        <f>'CF (Equity, Debt)'!E20</f>
        <v>-60</v>
      </c>
      <c r="L24" s="93">
        <f>'CF (Equity, Debt)'!F20</f>
        <v>0</v>
      </c>
      <c r="M24" s="93"/>
      <c r="N24" s="93">
        <f t="shared" si="0"/>
        <v>-60</v>
      </c>
      <c r="O24" s="367"/>
      <c r="P24" s="367">
        <f t="shared" si="1"/>
        <v>1</v>
      </c>
      <c r="Q24" s="84" t="s">
        <v>11</v>
      </c>
      <c r="R24" s="93">
        <f t="shared" si="2"/>
        <v>-60</v>
      </c>
      <c r="S24" s="93">
        <f t="shared" si="3"/>
        <v>0</v>
      </c>
      <c r="T24" s="93">
        <f t="shared" si="4"/>
        <v>0</v>
      </c>
      <c r="U24" s="93">
        <f t="shared" si="5"/>
        <v>-60</v>
      </c>
    </row>
    <row r="25" spans="2:21" ht="12.75" x14ac:dyDescent="0.2">
      <c r="B25" s="362" t="s">
        <v>51</v>
      </c>
      <c r="C25" s="362"/>
      <c r="F25" s="86" t="s">
        <v>24</v>
      </c>
      <c r="G25" s="90" t="s">
        <v>246</v>
      </c>
      <c r="H25" s="90" t="str">
        <f>VLOOKUP(F25,'5. Geo'!$B$3:$F$26,5,0)</f>
        <v>Rest of Asia</v>
      </c>
      <c r="I25" s="387">
        <f>VLOOKUP(F25,'5. Geo'!$B$3:$F$26,2,0)</f>
        <v>2021</v>
      </c>
      <c r="J25" s="87">
        <v>44363</v>
      </c>
      <c r="K25" s="94">
        <f>'CF (Equity, Debt)'!E21</f>
        <v>-20</v>
      </c>
      <c r="L25" s="94">
        <f>'CF (Equity, Debt)'!F21</f>
        <v>0</v>
      </c>
      <c r="M25" s="94"/>
      <c r="N25" s="94">
        <f t="shared" si="0"/>
        <v>-20</v>
      </c>
      <c r="O25" s="367"/>
      <c r="P25" s="367">
        <f t="shared" si="1"/>
        <v>0</v>
      </c>
      <c r="Q25" s="86" t="s">
        <v>24</v>
      </c>
      <c r="R25" s="94">
        <f t="shared" si="2"/>
        <v>0</v>
      </c>
      <c r="S25" s="94">
        <f t="shared" si="3"/>
        <v>0</v>
      </c>
      <c r="T25" s="94">
        <f t="shared" si="4"/>
        <v>0</v>
      </c>
      <c r="U25" s="94">
        <f t="shared" si="5"/>
        <v>0</v>
      </c>
    </row>
    <row r="26" spans="2:21" ht="12.75" x14ac:dyDescent="0.2">
      <c r="B26" s="362" t="s">
        <v>33</v>
      </c>
      <c r="C26" s="362"/>
      <c r="F26" s="84" t="s">
        <v>52</v>
      </c>
      <c r="G26" s="89" t="s">
        <v>246</v>
      </c>
      <c r="H26" s="89" t="str">
        <f>VLOOKUP(F26,'5. Geo'!$B$3:$F$26,5,0)</f>
        <v>USA</v>
      </c>
      <c r="I26" s="386">
        <f>VLOOKUP(F26,'5. Geo'!$B$3:$F$26,2,0)</f>
        <v>2021</v>
      </c>
      <c r="J26" s="85">
        <v>44488</v>
      </c>
      <c r="K26" s="93">
        <f>'CF (Equity, Debt)'!E22</f>
        <v>-39.999983359999995</v>
      </c>
      <c r="L26" s="93">
        <f>'CF (Equity, Debt)'!F22</f>
        <v>0</v>
      </c>
      <c r="M26" s="93"/>
      <c r="N26" s="93">
        <f t="shared" si="0"/>
        <v>-39.999983359999995</v>
      </c>
      <c r="O26" s="367"/>
      <c r="P26" s="367">
        <f t="shared" si="1"/>
        <v>0</v>
      </c>
      <c r="Q26" s="84" t="s">
        <v>52</v>
      </c>
      <c r="R26" s="93">
        <f t="shared" si="2"/>
        <v>0</v>
      </c>
      <c r="S26" s="93">
        <f t="shared" si="3"/>
        <v>0</v>
      </c>
      <c r="T26" s="93">
        <f t="shared" si="4"/>
        <v>0</v>
      </c>
      <c r="U26" s="93">
        <f t="shared" si="5"/>
        <v>0</v>
      </c>
    </row>
    <row r="27" spans="2:21" ht="12.75" x14ac:dyDescent="0.2">
      <c r="B27" s="362" t="s">
        <v>33</v>
      </c>
      <c r="C27" s="362"/>
      <c r="F27" s="86" t="s">
        <v>53</v>
      </c>
      <c r="G27" s="90" t="s">
        <v>246</v>
      </c>
      <c r="H27" s="90" t="str">
        <f>VLOOKUP(F27,'5. Geo'!$B$3:$F$26,5,0)</f>
        <v>USA</v>
      </c>
      <c r="I27" s="387">
        <f>VLOOKUP(F27,'5. Geo'!$B$3:$F$26,2,0)</f>
        <v>2021</v>
      </c>
      <c r="J27" s="87">
        <v>44494</v>
      </c>
      <c r="K27" s="94">
        <f>'CF (Equity, Debt)'!E23</f>
        <v>-3</v>
      </c>
      <c r="L27" s="94">
        <f>'CF (Equity, Debt)'!F23</f>
        <v>0</v>
      </c>
      <c r="M27" s="94"/>
      <c r="N27" s="94">
        <f t="shared" si="0"/>
        <v>-3</v>
      </c>
      <c r="O27" s="367"/>
      <c r="P27" s="367">
        <f t="shared" si="1"/>
        <v>0</v>
      </c>
      <c r="Q27" s="86" t="s">
        <v>53</v>
      </c>
      <c r="R27" s="94">
        <f t="shared" si="2"/>
        <v>0</v>
      </c>
      <c r="S27" s="94">
        <f t="shared" si="3"/>
        <v>0</v>
      </c>
      <c r="T27" s="94">
        <f t="shared" si="4"/>
        <v>0</v>
      </c>
      <c r="U27" s="94">
        <f t="shared" si="5"/>
        <v>0</v>
      </c>
    </row>
    <row r="28" spans="2:21" ht="12.75" x14ac:dyDescent="0.2">
      <c r="B28" s="362" t="s">
        <v>1</v>
      </c>
      <c r="C28" s="362"/>
      <c r="F28" s="84" t="s">
        <v>54</v>
      </c>
      <c r="G28" s="89" t="s">
        <v>246</v>
      </c>
      <c r="H28" s="89" t="str">
        <f>VLOOKUP(F28,'5. Geo'!$B$3:$F$26,5,0)</f>
        <v>Europe</v>
      </c>
      <c r="I28" s="386">
        <f>VLOOKUP(F28,'5. Geo'!$B$3:$F$26,2,0)</f>
        <v>2021</v>
      </c>
      <c r="J28" s="85">
        <v>44550</v>
      </c>
      <c r="K28" s="93">
        <f>'CF (Equity, Debt)'!E24</f>
        <v>-5.0237201984774336</v>
      </c>
      <c r="L28" s="93">
        <f>'CF (Equity, Debt)'!F24</f>
        <v>0</v>
      </c>
      <c r="M28" s="93"/>
      <c r="N28" s="93">
        <f t="shared" si="0"/>
        <v>-5.0237201984774336</v>
      </c>
      <c r="O28" s="367"/>
      <c r="P28" s="367">
        <f t="shared" si="1"/>
        <v>0</v>
      </c>
      <c r="Q28" s="84" t="s">
        <v>54</v>
      </c>
      <c r="R28" s="93">
        <f t="shared" si="2"/>
        <v>0</v>
      </c>
      <c r="S28" s="93">
        <f t="shared" si="3"/>
        <v>0</v>
      </c>
      <c r="T28" s="93">
        <f t="shared" si="4"/>
        <v>0</v>
      </c>
      <c r="U28" s="93">
        <f t="shared" si="5"/>
        <v>0</v>
      </c>
    </row>
    <row r="29" spans="2:21" ht="12.75" x14ac:dyDescent="0.2">
      <c r="B29" s="362" t="s">
        <v>15</v>
      </c>
      <c r="C29" s="362"/>
      <c r="F29" s="86" t="s">
        <v>120</v>
      </c>
      <c r="G29" s="90" t="s">
        <v>246</v>
      </c>
      <c r="H29" s="90" t="str">
        <f>VLOOKUP(F29,'5. Geo'!$B$3:$F$26,5,0)</f>
        <v>Asia-China</v>
      </c>
      <c r="I29" s="387">
        <f>VLOOKUP(F29,'5. Geo'!$B$3:$F$26,2,0)</f>
        <v>2022</v>
      </c>
      <c r="J29" s="87">
        <v>44574</v>
      </c>
      <c r="K29" s="94">
        <f>'CF (Equity, Debt)'!E25</f>
        <v>-493.50095619999996</v>
      </c>
      <c r="L29" s="94">
        <f>'CF (Equity, Debt)'!F25</f>
        <v>0</v>
      </c>
      <c r="M29" s="94"/>
      <c r="N29" s="94">
        <f t="shared" si="0"/>
        <v>-493.50095619999996</v>
      </c>
      <c r="O29" s="367"/>
      <c r="P29" s="367">
        <f t="shared" si="1"/>
        <v>1</v>
      </c>
      <c r="Q29" s="86" t="s">
        <v>120</v>
      </c>
      <c r="R29" s="94">
        <f t="shared" si="2"/>
        <v>-493.50095619999996</v>
      </c>
      <c r="S29" s="94">
        <f t="shared" si="3"/>
        <v>0</v>
      </c>
      <c r="T29" s="94">
        <f t="shared" si="4"/>
        <v>0</v>
      </c>
      <c r="U29" s="94">
        <f t="shared" si="5"/>
        <v>-493.50095619999996</v>
      </c>
    </row>
    <row r="30" spans="2:21" ht="12.75" x14ac:dyDescent="0.2">
      <c r="B30" s="362" t="s">
        <v>263</v>
      </c>
      <c r="C30" s="362"/>
      <c r="F30" s="84" t="s">
        <v>25</v>
      </c>
      <c r="G30" s="89" t="s">
        <v>246</v>
      </c>
      <c r="H30" s="89" t="str">
        <f>VLOOKUP(F30,'5. Geo'!$B$3:$F$26,5,0)</f>
        <v>MiddleEast</v>
      </c>
      <c r="I30" s="386">
        <f>VLOOKUP(F30,'5. Geo'!$B$3:$F$26,2,0)</f>
        <v>2022</v>
      </c>
      <c r="J30" s="85">
        <v>44643</v>
      </c>
      <c r="K30" s="93">
        <f>'CF (Equity, Debt)'!E26</f>
        <v>-200</v>
      </c>
      <c r="L30" s="93">
        <f>'CF (Equity, Debt)'!F26</f>
        <v>0</v>
      </c>
      <c r="M30" s="93"/>
      <c r="N30" s="93">
        <f t="shared" si="0"/>
        <v>-200</v>
      </c>
      <c r="O30" s="367"/>
      <c r="P30" s="367">
        <f t="shared" si="1"/>
        <v>0</v>
      </c>
      <c r="Q30" s="84" t="s">
        <v>25</v>
      </c>
      <c r="R30" s="93">
        <f t="shared" si="2"/>
        <v>0</v>
      </c>
      <c r="S30" s="93">
        <f t="shared" si="3"/>
        <v>0</v>
      </c>
      <c r="T30" s="93">
        <f t="shared" si="4"/>
        <v>0</v>
      </c>
      <c r="U30" s="93">
        <f t="shared" si="5"/>
        <v>0</v>
      </c>
    </row>
    <row r="31" spans="2:21" ht="12.75" x14ac:dyDescent="0.2">
      <c r="B31" s="362"/>
      <c r="C31" s="362"/>
      <c r="F31" s="84" t="s">
        <v>25</v>
      </c>
      <c r="G31" s="89" t="s">
        <v>246</v>
      </c>
      <c r="H31" s="89" t="str">
        <f>VLOOKUP(F31,'5. Geo'!$B$3:$F$26,5,0)</f>
        <v>MiddleEast</v>
      </c>
      <c r="I31" s="386">
        <f>VLOOKUP(F31,'5. Geo'!$B$3:$F$26,2,0)</f>
        <v>2022</v>
      </c>
      <c r="J31" s="85">
        <v>44680</v>
      </c>
      <c r="K31" s="93">
        <f>'CF (Equity, Debt)'!E27</f>
        <v>-100</v>
      </c>
      <c r="L31" s="93">
        <f>'CF (Equity, Debt)'!F27</f>
        <v>0</v>
      </c>
      <c r="M31" s="93"/>
      <c r="N31" s="93">
        <f t="shared" si="0"/>
        <v>-100</v>
      </c>
      <c r="O31" s="367"/>
      <c r="P31" s="367">
        <f t="shared" si="1"/>
        <v>0</v>
      </c>
      <c r="Q31" s="84" t="s">
        <v>25</v>
      </c>
      <c r="R31" s="93">
        <f t="shared" si="2"/>
        <v>0</v>
      </c>
      <c r="S31" s="93">
        <f t="shared" si="3"/>
        <v>0</v>
      </c>
      <c r="T31" s="93">
        <f t="shared" si="4"/>
        <v>0</v>
      </c>
      <c r="U31" s="93">
        <f t="shared" si="5"/>
        <v>0</v>
      </c>
    </row>
    <row r="32" spans="2:21" ht="12.75" x14ac:dyDescent="0.2">
      <c r="B32" s="362"/>
      <c r="C32" s="362"/>
      <c r="F32" s="86" t="s">
        <v>51</v>
      </c>
      <c r="G32" s="90" t="s">
        <v>246</v>
      </c>
      <c r="H32" s="90" t="str">
        <f>VLOOKUP(F32,'5. Geo'!$B$3:$F$26,5,0)</f>
        <v>Rest of Asia</v>
      </c>
      <c r="I32" s="387">
        <f>VLOOKUP(F32,'5. Geo'!$B$3:$F$26,2,0)</f>
        <v>2020</v>
      </c>
      <c r="J32" s="87">
        <v>44691</v>
      </c>
      <c r="K32" s="94">
        <f>'CF (Equity, Debt)'!E28</f>
        <v>0</v>
      </c>
      <c r="L32" s="94">
        <f>'CF (Equity, Debt)'!F28</f>
        <v>5</v>
      </c>
      <c r="M32" s="94"/>
      <c r="N32" s="94">
        <f t="shared" si="0"/>
        <v>5</v>
      </c>
      <c r="O32" s="367"/>
      <c r="P32" s="367">
        <f t="shared" si="1"/>
        <v>0</v>
      </c>
      <c r="Q32" s="86" t="s">
        <v>51</v>
      </c>
      <c r="R32" s="94">
        <f t="shared" si="2"/>
        <v>0</v>
      </c>
      <c r="S32" s="94">
        <f t="shared" si="3"/>
        <v>0</v>
      </c>
      <c r="T32" s="94">
        <f t="shared" si="4"/>
        <v>0</v>
      </c>
      <c r="U32" s="94">
        <f t="shared" si="5"/>
        <v>0</v>
      </c>
    </row>
    <row r="33" spans="2:21" ht="12.75" x14ac:dyDescent="0.2">
      <c r="B33" s="362"/>
      <c r="C33" s="362"/>
      <c r="F33" s="86" t="s">
        <v>143</v>
      </c>
      <c r="G33" s="90" t="s">
        <v>246</v>
      </c>
      <c r="H33" s="90" t="str">
        <f>VLOOKUP(F33,'5. Geo'!$B$3:$F$26,5,0)</f>
        <v>USA</v>
      </c>
      <c r="I33" s="387">
        <f>VLOOKUP(F33,'5. Geo'!$B$3:$F$26,2,0)</f>
        <v>2022</v>
      </c>
      <c r="J33" s="87">
        <v>44712</v>
      </c>
      <c r="K33" s="94">
        <f>'CF (Equity, Debt)'!E29</f>
        <v>-12.5</v>
      </c>
      <c r="L33" s="94">
        <f>'CF (Equity, Debt)'!F29</f>
        <v>0</v>
      </c>
      <c r="M33" s="94"/>
      <c r="N33" s="94">
        <f t="shared" si="0"/>
        <v>-12.5</v>
      </c>
      <c r="O33" s="367"/>
      <c r="P33" s="367">
        <f t="shared" si="1"/>
        <v>0</v>
      </c>
      <c r="Q33" s="86" t="s">
        <v>143</v>
      </c>
      <c r="R33" s="94">
        <f t="shared" si="2"/>
        <v>0</v>
      </c>
      <c r="S33" s="94">
        <f t="shared" si="3"/>
        <v>0</v>
      </c>
      <c r="T33" s="94">
        <f t="shared" si="4"/>
        <v>0</v>
      </c>
      <c r="U33" s="94">
        <f t="shared" si="5"/>
        <v>0</v>
      </c>
    </row>
    <row r="34" spans="2:21" ht="12.75" x14ac:dyDescent="0.2">
      <c r="B34" s="362"/>
      <c r="C34" s="362"/>
      <c r="F34" s="84" t="s">
        <v>46</v>
      </c>
      <c r="G34" s="89" t="s">
        <v>246</v>
      </c>
      <c r="H34" s="89" t="str">
        <f>VLOOKUP(F34,'5. Geo'!$B$3:$F$26,5,0)</f>
        <v>Asia-China</v>
      </c>
      <c r="I34" s="386">
        <f>VLOOKUP(F34,'5. Geo'!$B$3:$F$26,2,0)</f>
        <v>2022</v>
      </c>
      <c r="J34" s="85">
        <v>44769</v>
      </c>
      <c r="K34" s="93">
        <f>'CF (Equity, Debt)'!E30</f>
        <v>-800</v>
      </c>
      <c r="L34" s="93">
        <f>'CF (Equity, Debt)'!F30</f>
        <v>0</v>
      </c>
      <c r="M34" s="93"/>
      <c r="N34" s="93">
        <f t="shared" si="0"/>
        <v>-800</v>
      </c>
      <c r="O34" s="367"/>
      <c r="P34" s="367">
        <f t="shared" si="1"/>
        <v>1</v>
      </c>
      <c r="Q34" s="84" t="s">
        <v>46</v>
      </c>
      <c r="R34" s="93">
        <f t="shared" si="2"/>
        <v>-800</v>
      </c>
      <c r="S34" s="93">
        <f t="shared" si="3"/>
        <v>0</v>
      </c>
      <c r="T34" s="93">
        <f t="shared" si="4"/>
        <v>0</v>
      </c>
      <c r="U34" s="93">
        <f t="shared" si="5"/>
        <v>-800</v>
      </c>
    </row>
    <row r="35" spans="2:21" ht="12.75" x14ac:dyDescent="0.2">
      <c r="B35" s="362"/>
      <c r="C35" s="362"/>
      <c r="F35" s="308" t="s">
        <v>60</v>
      </c>
      <c r="G35" s="309" t="s">
        <v>55</v>
      </c>
      <c r="H35" s="309" t="str">
        <f>VLOOKUP(F35,'5. Geo'!$B$3:$F$26,5,0)</f>
        <v>USA</v>
      </c>
      <c r="I35" s="388">
        <f>VLOOKUP(F35,'5. Geo'!$B$3:$F$26,2,0)</f>
        <v>2019</v>
      </c>
      <c r="J35" s="310">
        <v>43635</v>
      </c>
      <c r="K35" s="311">
        <f>'CF (Equity, Debt)'!E33</f>
        <v>-8</v>
      </c>
      <c r="L35" s="311">
        <f>'CF (Equity, Debt)'!F33</f>
        <v>0</v>
      </c>
      <c r="M35" s="311"/>
      <c r="N35" s="311">
        <f t="shared" si="0"/>
        <v>-8</v>
      </c>
      <c r="O35" s="367"/>
      <c r="P35" s="367">
        <f t="shared" si="1"/>
        <v>0</v>
      </c>
      <c r="Q35" s="308" t="s">
        <v>60</v>
      </c>
      <c r="R35" s="311">
        <f t="shared" si="2"/>
        <v>0</v>
      </c>
      <c r="S35" s="311">
        <f t="shared" si="3"/>
        <v>0</v>
      </c>
      <c r="T35" s="311">
        <f t="shared" si="4"/>
        <v>0</v>
      </c>
      <c r="U35" s="311">
        <f t="shared" si="5"/>
        <v>0</v>
      </c>
    </row>
    <row r="36" spans="2:21" ht="12.75" x14ac:dyDescent="0.2">
      <c r="B36" s="362"/>
      <c r="C36" s="362"/>
      <c r="F36" s="308" t="s">
        <v>0</v>
      </c>
      <c r="G36" s="309" t="s">
        <v>55</v>
      </c>
      <c r="H36" s="309" t="str">
        <f>VLOOKUP(F36,'5. Geo'!$B$3:$F$26,5,0)</f>
        <v>Asia-China</v>
      </c>
      <c r="I36" s="388">
        <f>VLOOKUP(F36,'5. Geo'!$B$3:$F$26,2,0)</f>
        <v>2019</v>
      </c>
      <c r="J36" s="310">
        <v>44293</v>
      </c>
      <c r="K36" s="311">
        <f>'CF (Equity, Debt)'!E34</f>
        <v>-2.3539819999999998</v>
      </c>
      <c r="L36" s="311">
        <f>'CF (Equity, Debt)'!F34</f>
        <v>0</v>
      </c>
      <c r="M36" s="311"/>
      <c r="N36" s="311">
        <f t="shared" si="0"/>
        <v>-2.3539819999999998</v>
      </c>
      <c r="O36" s="367"/>
      <c r="P36" s="367">
        <f t="shared" si="1"/>
        <v>1</v>
      </c>
      <c r="Q36" s="308" t="s">
        <v>0</v>
      </c>
      <c r="R36" s="311">
        <f t="shared" si="2"/>
        <v>-2.3539819999999998</v>
      </c>
      <c r="S36" s="311">
        <f t="shared" si="3"/>
        <v>0</v>
      </c>
      <c r="T36" s="311">
        <f t="shared" si="4"/>
        <v>0</v>
      </c>
      <c r="U36" s="311">
        <f t="shared" si="5"/>
        <v>-2.3539819999999998</v>
      </c>
    </row>
    <row r="37" spans="2:21" ht="12.75" x14ac:dyDescent="0.2">
      <c r="B37" s="362"/>
      <c r="C37" s="362"/>
      <c r="F37" s="308" t="s">
        <v>51</v>
      </c>
      <c r="G37" s="309" t="s">
        <v>55</v>
      </c>
      <c r="H37" s="309" t="str">
        <f>VLOOKUP(F37,'5. Geo'!$B$3:$F$26,5,0)</f>
        <v>Rest of Asia</v>
      </c>
      <c r="I37" s="388">
        <f>VLOOKUP(F37,'5. Geo'!$B$3:$F$26,2,0)</f>
        <v>2020</v>
      </c>
      <c r="J37" s="310">
        <v>44384</v>
      </c>
      <c r="K37" s="311">
        <f>'CF (Equity, Debt)'!E35</f>
        <v>-0.41176499999999999</v>
      </c>
      <c r="L37" s="311">
        <f>'CF (Equity, Debt)'!F35</f>
        <v>0</v>
      </c>
      <c r="M37" s="311"/>
      <c r="N37" s="311">
        <f t="shared" si="0"/>
        <v>-0.41176499999999999</v>
      </c>
      <c r="O37" s="367"/>
      <c r="P37" s="367">
        <f t="shared" si="1"/>
        <v>0</v>
      </c>
      <c r="Q37" s="308" t="s">
        <v>51</v>
      </c>
      <c r="R37" s="311">
        <f t="shared" si="2"/>
        <v>0</v>
      </c>
      <c r="S37" s="311">
        <f t="shared" si="3"/>
        <v>0</v>
      </c>
      <c r="T37" s="311">
        <f t="shared" si="4"/>
        <v>0</v>
      </c>
      <c r="U37" s="311">
        <f t="shared" si="5"/>
        <v>0</v>
      </c>
    </row>
    <row r="38" spans="2:21" ht="12.75" x14ac:dyDescent="0.2">
      <c r="B38" s="362"/>
      <c r="C38" s="362"/>
      <c r="F38" s="308" t="s">
        <v>15</v>
      </c>
      <c r="G38" s="309" t="s">
        <v>65</v>
      </c>
      <c r="H38" s="309" t="str">
        <f>VLOOKUP(F38,'5. Geo'!$B$3:$F$26,5,0)</f>
        <v>Asia-China</v>
      </c>
      <c r="I38" s="388">
        <f>VLOOKUP(F38,'5. Geo'!$B$3:$F$26,2,0)</f>
        <v>2020</v>
      </c>
      <c r="J38" s="309" t="s">
        <v>16</v>
      </c>
      <c r="K38" s="311">
        <f>'CF (Funds)'!D3</f>
        <v>-10.5</v>
      </c>
      <c r="L38" s="311">
        <f>'CF (Funds)'!E3</f>
        <v>0</v>
      </c>
      <c r="M38" s="311"/>
      <c r="N38" s="311">
        <f t="shared" si="0"/>
        <v>-10.5</v>
      </c>
      <c r="O38" s="367"/>
      <c r="P38" s="367">
        <f t="shared" si="1"/>
        <v>1</v>
      </c>
      <c r="Q38" s="308" t="s">
        <v>15</v>
      </c>
      <c r="R38" s="311">
        <f t="shared" si="2"/>
        <v>-10.5</v>
      </c>
      <c r="S38" s="311">
        <f t="shared" si="3"/>
        <v>0</v>
      </c>
      <c r="T38" s="311">
        <f t="shared" si="4"/>
        <v>0</v>
      </c>
      <c r="U38" s="311">
        <f t="shared" si="5"/>
        <v>-10.5</v>
      </c>
    </row>
    <row r="39" spans="2:21" ht="12.75" x14ac:dyDescent="0.2">
      <c r="B39" s="362"/>
      <c r="C39" s="362"/>
      <c r="F39" s="308" t="s">
        <v>15</v>
      </c>
      <c r="G39" s="309" t="s">
        <v>65</v>
      </c>
      <c r="H39" s="309" t="str">
        <f>VLOOKUP(F39,'5. Geo'!$B$3:$F$26,5,0)</f>
        <v>Asia-China</v>
      </c>
      <c r="I39" s="388">
        <f>VLOOKUP(F39,'5. Geo'!$B$3:$F$26,2,0)</f>
        <v>2020</v>
      </c>
      <c r="J39" s="310">
        <v>44238</v>
      </c>
      <c r="K39" s="311">
        <f>'CF (Funds)'!D4</f>
        <v>4.2140269999999997</v>
      </c>
      <c r="L39" s="311">
        <f>'CF (Funds)'!E4</f>
        <v>0</v>
      </c>
      <c r="M39" s="311"/>
      <c r="N39" s="311">
        <f t="shared" si="0"/>
        <v>4.2140269999999997</v>
      </c>
      <c r="O39" s="367"/>
      <c r="P39" s="367">
        <f t="shared" si="1"/>
        <v>1</v>
      </c>
      <c r="Q39" s="308" t="s">
        <v>15</v>
      </c>
      <c r="R39" s="311">
        <f t="shared" si="2"/>
        <v>4.2140269999999997</v>
      </c>
      <c r="S39" s="311">
        <f t="shared" si="3"/>
        <v>0</v>
      </c>
      <c r="T39" s="311">
        <f t="shared" si="4"/>
        <v>0</v>
      </c>
      <c r="U39" s="311">
        <f t="shared" si="5"/>
        <v>4.2140269999999997</v>
      </c>
    </row>
    <row r="40" spans="2:21" ht="12.75" x14ac:dyDescent="0.2">
      <c r="B40" s="362"/>
      <c r="C40" s="362"/>
      <c r="F40" s="308" t="s">
        <v>15</v>
      </c>
      <c r="G40" s="309" t="s">
        <v>65</v>
      </c>
      <c r="H40" s="309" t="str">
        <f>VLOOKUP(F40,'5. Geo'!$B$3:$F$26,5,0)</f>
        <v>Asia-China</v>
      </c>
      <c r="I40" s="388">
        <f>VLOOKUP(F40,'5. Geo'!$B$3:$F$26,2,0)</f>
        <v>2020</v>
      </c>
      <c r="J40" s="310">
        <v>44238</v>
      </c>
      <c r="K40" s="311">
        <f>'CF (Funds)'!D5</f>
        <v>0</v>
      </c>
      <c r="L40" s="311">
        <f>'CF (Funds)'!E5</f>
        <v>5.0448349999999996E-2</v>
      </c>
      <c r="M40" s="311"/>
      <c r="N40" s="311">
        <f t="shared" si="0"/>
        <v>5.0448349999999996E-2</v>
      </c>
      <c r="O40" s="367"/>
      <c r="P40" s="367">
        <f t="shared" si="1"/>
        <v>1</v>
      </c>
      <c r="Q40" s="308" t="s">
        <v>15</v>
      </c>
      <c r="R40" s="311">
        <f t="shared" si="2"/>
        <v>0</v>
      </c>
      <c r="S40" s="311">
        <f t="shared" si="3"/>
        <v>5.0448349999999996E-2</v>
      </c>
      <c r="T40" s="311">
        <f t="shared" si="4"/>
        <v>0</v>
      </c>
      <c r="U40" s="311">
        <f t="shared" si="5"/>
        <v>5.0448349999999996E-2</v>
      </c>
    </row>
    <row r="41" spans="2:21" ht="12.75" x14ac:dyDescent="0.2">
      <c r="B41" s="362"/>
      <c r="C41" s="362"/>
      <c r="F41" s="308" t="s">
        <v>15</v>
      </c>
      <c r="G41" s="309" t="s">
        <v>65</v>
      </c>
      <c r="H41" s="309" t="str">
        <f>VLOOKUP(F41,'5. Geo'!$B$3:$F$26,5,0)</f>
        <v>Asia-China</v>
      </c>
      <c r="I41" s="388">
        <f>VLOOKUP(F41,'5. Geo'!$B$3:$F$26,2,0)</f>
        <v>2020</v>
      </c>
      <c r="J41" s="310">
        <v>44285</v>
      </c>
      <c r="K41" s="311">
        <f>'CF (Funds)'!D6</f>
        <v>-6.4337459999999993</v>
      </c>
      <c r="L41" s="311">
        <f>'CF (Funds)'!E6</f>
        <v>0</v>
      </c>
      <c r="M41" s="311"/>
      <c r="N41" s="311">
        <f t="shared" si="0"/>
        <v>-6.4337459999999993</v>
      </c>
      <c r="O41" s="367"/>
      <c r="P41" s="367">
        <f t="shared" si="1"/>
        <v>1</v>
      </c>
      <c r="Q41" s="308" t="s">
        <v>15</v>
      </c>
      <c r="R41" s="311">
        <f t="shared" si="2"/>
        <v>-6.4337459999999993</v>
      </c>
      <c r="S41" s="311">
        <f t="shared" si="3"/>
        <v>0</v>
      </c>
      <c r="T41" s="311">
        <f t="shared" si="4"/>
        <v>0</v>
      </c>
      <c r="U41" s="311">
        <f t="shared" si="5"/>
        <v>-6.4337459999999993</v>
      </c>
    </row>
    <row r="42" spans="2:21" ht="12.75" x14ac:dyDescent="0.2">
      <c r="F42" s="308" t="s">
        <v>15</v>
      </c>
      <c r="G42" s="309" t="s">
        <v>65</v>
      </c>
      <c r="H42" s="309" t="str">
        <f>VLOOKUP(F42,'5. Geo'!$B$3:$F$26,5,0)</f>
        <v>Asia-China</v>
      </c>
      <c r="I42" s="388">
        <f>VLOOKUP(F42,'5. Geo'!$B$3:$F$26,2,0)</f>
        <v>2020</v>
      </c>
      <c r="J42" s="310">
        <v>44269</v>
      </c>
      <c r="K42" s="311">
        <f>'CF (Funds)'!D7</f>
        <v>1.1352073899999999</v>
      </c>
      <c r="L42" s="311">
        <f>'CF (Funds)'!E7</f>
        <v>0</v>
      </c>
      <c r="M42" s="311"/>
      <c r="N42" s="311">
        <f t="shared" si="0"/>
        <v>1.1352073899999999</v>
      </c>
      <c r="O42" s="367"/>
      <c r="P42" s="367">
        <f t="shared" si="1"/>
        <v>1</v>
      </c>
      <c r="Q42" s="308" t="s">
        <v>15</v>
      </c>
      <c r="R42" s="311">
        <f t="shared" si="2"/>
        <v>1.1352073899999999</v>
      </c>
      <c r="S42" s="311">
        <f t="shared" si="3"/>
        <v>0</v>
      </c>
      <c r="T42" s="311">
        <f t="shared" si="4"/>
        <v>0</v>
      </c>
      <c r="U42" s="311">
        <f t="shared" si="5"/>
        <v>1.1352073899999999</v>
      </c>
    </row>
    <row r="43" spans="2:21" ht="12.75" x14ac:dyDescent="0.2">
      <c r="F43" s="308" t="s">
        <v>15</v>
      </c>
      <c r="G43" s="309" t="s">
        <v>65</v>
      </c>
      <c r="H43" s="309" t="str">
        <f>VLOOKUP(F43,'5. Geo'!$B$3:$F$26,5,0)</f>
        <v>Asia-China</v>
      </c>
      <c r="I43" s="388">
        <f>VLOOKUP(F43,'5. Geo'!$B$3:$F$26,2,0)</f>
        <v>2020</v>
      </c>
      <c r="J43" s="310">
        <v>44269</v>
      </c>
      <c r="K43" s="311">
        <f>'CF (Funds)'!D8</f>
        <v>0</v>
      </c>
      <c r="L43" s="311">
        <f>'CF (Funds)'!E8</f>
        <v>2.5899999999999999E-2</v>
      </c>
      <c r="M43" s="311"/>
      <c r="N43" s="311">
        <f t="shared" si="0"/>
        <v>2.5899999999999999E-2</v>
      </c>
      <c r="O43" s="367"/>
      <c r="P43" s="367">
        <f t="shared" si="1"/>
        <v>1</v>
      </c>
      <c r="Q43" s="308" t="s">
        <v>15</v>
      </c>
      <c r="R43" s="311">
        <f t="shared" si="2"/>
        <v>0</v>
      </c>
      <c r="S43" s="311">
        <f t="shared" si="3"/>
        <v>2.5899999999999999E-2</v>
      </c>
      <c r="T43" s="311">
        <f t="shared" si="4"/>
        <v>0</v>
      </c>
      <c r="U43" s="311">
        <f t="shared" si="5"/>
        <v>2.5899999999999999E-2</v>
      </c>
    </row>
    <row r="44" spans="2:21" ht="12.75" x14ac:dyDescent="0.2">
      <c r="F44" s="308" t="s">
        <v>15</v>
      </c>
      <c r="G44" s="309" t="s">
        <v>65</v>
      </c>
      <c r="H44" s="309" t="str">
        <f>VLOOKUP(F44,'5. Geo'!$B$3:$F$26,5,0)</f>
        <v>Asia-China</v>
      </c>
      <c r="I44" s="388">
        <f>VLOOKUP(F44,'5. Geo'!$B$3:$F$26,2,0)</f>
        <v>2020</v>
      </c>
      <c r="J44" s="310">
        <v>44483</v>
      </c>
      <c r="K44" s="311">
        <f>'CF (Funds)'!D9</f>
        <v>-7.5671379999999999</v>
      </c>
      <c r="L44" s="311">
        <f>'CF (Funds)'!E9</f>
        <v>0</v>
      </c>
      <c r="M44" s="311"/>
      <c r="N44" s="311">
        <f t="shared" si="0"/>
        <v>-7.5671379999999999</v>
      </c>
      <c r="O44" s="367"/>
      <c r="P44" s="367">
        <f t="shared" si="1"/>
        <v>1</v>
      </c>
      <c r="Q44" s="308" t="s">
        <v>15</v>
      </c>
      <c r="R44" s="311">
        <f t="shared" si="2"/>
        <v>-7.5671379999999999</v>
      </c>
      <c r="S44" s="311">
        <f t="shared" si="3"/>
        <v>0</v>
      </c>
      <c r="T44" s="311">
        <f t="shared" si="4"/>
        <v>0</v>
      </c>
      <c r="U44" s="311">
        <f t="shared" si="5"/>
        <v>-7.5671379999999999</v>
      </c>
    </row>
    <row r="45" spans="2:21" ht="12.75" x14ac:dyDescent="0.2">
      <c r="F45" s="308" t="s">
        <v>15</v>
      </c>
      <c r="G45" s="309" t="s">
        <v>65</v>
      </c>
      <c r="H45" s="309" t="str">
        <f>VLOOKUP(F45,'5. Geo'!$B$3:$F$26,5,0)</f>
        <v>Asia-China</v>
      </c>
      <c r="I45" s="388">
        <f>VLOOKUP(F45,'5. Geo'!$B$3:$F$26,2,0)</f>
        <v>2020</v>
      </c>
      <c r="J45" s="310">
        <v>44554</v>
      </c>
      <c r="K45" s="311">
        <f>'CF (Funds)'!D10</f>
        <v>-7.3850159999999994</v>
      </c>
      <c r="L45" s="311">
        <f>'CF (Funds)'!E10</f>
        <v>0</v>
      </c>
      <c r="M45" s="311"/>
      <c r="N45" s="311">
        <f t="shared" si="0"/>
        <v>-7.3850159999999994</v>
      </c>
      <c r="O45" s="367"/>
      <c r="P45" s="367">
        <f t="shared" si="1"/>
        <v>1</v>
      </c>
      <c r="Q45" s="308" t="s">
        <v>15</v>
      </c>
      <c r="R45" s="311">
        <f t="shared" si="2"/>
        <v>-7.3850159999999994</v>
      </c>
      <c r="S45" s="311">
        <f t="shared" si="3"/>
        <v>0</v>
      </c>
      <c r="T45" s="311">
        <f t="shared" si="4"/>
        <v>0</v>
      </c>
      <c r="U45" s="311">
        <f t="shared" si="5"/>
        <v>-7.3850159999999994</v>
      </c>
    </row>
    <row r="46" spans="2:21" ht="12.75" x14ac:dyDescent="0.2">
      <c r="F46" s="308" t="s">
        <v>15</v>
      </c>
      <c r="G46" s="309" t="s">
        <v>65</v>
      </c>
      <c r="H46" s="309" t="str">
        <f>VLOOKUP(F46,'5. Geo'!$B$3:$F$26,5,0)</f>
        <v>Asia-China</v>
      </c>
      <c r="I46" s="388">
        <f>VLOOKUP(F46,'5. Geo'!$B$3:$F$26,2,0)</f>
        <v>2020</v>
      </c>
      <c r="J46" s="310">
        <v>44554</v>
      </c>
      <c r="K46" s="311">
        <f>'CF (Funds)'!D11</f>
        <v>4.0733456099999996</v>
      </c>
      <c r="L46" s="311">
        <f>'CF (Funds)'!E11</f>
        <v>0</v>
      </c>
      <c r="M46" s="311"/>
      <c r="N46" s="311">
        <f t="shared" si="0"/>
        <v>4.0733456099999996</v>
      </c>
      <c r="O46" s="367"/>
      <c r="P46" s="367">
        <f t="shared" si="1"/>
        <v>1</v>
      </c>
      <c r="Q46" s="308" t="s">
        <v>15</v>
      </c>
      <c r="R46" s="311">
        <f t="shared" si="2"/>
        <v>4.0733456099999996</v>
      </c>
      <c r="S46" s="311">
        <f t="shared" si="3"/>
        <v>0</v>
      </c>
      <c r="T46" s="311">
        <f t="shared" si="4"/>
        <v>0</v>
      </c>
      <c r="U46" s="311">
        <f t="shared" si="5"/>
        <v>4.0733456099999996</v>
      </c>
    </row>
    <row r="47" spans="2:21" ht="12.75" x14ac:dyDescent="0.2">
      <c r="F47" s="308" t="s">
        <v>15</v>
      </c>
      <c r="G47" s="309" t="s">
        <v>65</v>
      </c>
      <c r="H47" s="309" t="str">
        <f>VLOOKUP(F47,'5. Geo'!$B$3:$F$26,5,0)</f>
        <v>Asia-China</v>
      </c>
      <c r="I47" s="388">
        <f>VLOOKUP(F47,'5. Geo'!$B$3:$F$26,2,0)</f>
        <v>2020</v>
      </c>
      <c r="J47" s="310">
        <v>44554</v>
      </c>
      <c r="K47" s="311">
        <f>'CF (Funds)'!D12</f>
        <v>0</v>
      </c>
      <c r="L47" s="311">
        <f>'CF (Funds)'!E12</f>
        <v>0.13969399999999998</v>
      </c>
      <c r="M47" s="311"/>
      <c r="N47" s="311">
        <f t="shared" si="0"/>
        <v>0.13969399999999998</v>
      </c>
      <c r="O47" s="367"/>
      <c r="P47" s="367">
        <f t="shared" si="1"/>
        <v>1</v>
      </c>
      <c r="Q47" s="308" t="s">
        <v>15</v>
      </c>
      <c r="R47" s="311">
        <f t="shared" si="2"/>
        <v>0</v>
      </c>
      <c r="S47" s="311">
        <f t="shared" si="3"/>
        <v>0.13969399999999998</v>
      </c>
      <c r="T47" s="311">
        <f t="shared" si="4"/>
        <v>0</v>
      </c>
      <c r="U47" s="311">
        <f t="shared" si="5"/>
        <v>0.13969399999999998</v>
      </c>
    </row>
    <row r="48" spans="2:21" ht="12.75" x14ac:dyDescent="0.2">
      <c r="F48" s="308" t="s">
        <v>15</v>
      </c>
      <c r="G48" s="309" t="s">
        <v>65</v>
      </c>
      <c r="H48" s="309" t="str">
        <f>VLOOKUP(F48,'5. Geo'!$B$3:$F$26,5,0)</f>
        <v>Asia-China</v>
      </c>
      <c r="I48" s="388">
        <f>VLOOKUP(F48,'5. Geo'!$B$3:$F$26,2,0)</f>
        <v>2020</v>
      </c>
      <c r="J48" s="310">
        <v>44703</v>
      </c>
      <c r="K48" s="311">
        <f>'CF (Funds)'!D13</f>
        <v>5.6730739999999997</v>
      </c>
      <c r="L48" s="311">
        <f>'CF (Funds)'!E13</f>
        <v>0</v>
      </c>
      <c r="M48" s="311"/>
      <c r="N48" s="311">
        <f t="shared" si="0"/>
        <v>5.6730739999999997</v>
      </c>
      <c r="O48" s="367"/>
      <c r="P48" s="367">
        <f t="shared" si="1"/>
        <v>1</v>
      </c>
      <c r="Q48" s="308" t="s">
        <v>15</v>
      </c>
      <c r="R48" s="311">
        <f t="shared" si="2"/>
        <v>5.6730739999999997</v>
      </c>
      <c r="S48" s="311">
        <f t="shared" si="3"/>
        <v>0</v>
      </c>
      <c r="T48" s="311">
        <f t="shared" si="4"/>
        <v>0</v>
      </c>
      <c r="U48" s="311">
        <f t="shared" si="5"/>
        <v>5.6730739999999997</v>
      </c>
    </row>
    <row r="49" spans="6:21" ht="12.75" x14ac:dyDescent="0.2">
      <c r="F49" s="308" t="s">
        <v>15</v>
      </c>
      <c r="G49" s="309" t="s">
        <v>65</v>
      </c>
      <c r="H49" s="309" t="str">
        <f>VLOOKUP(F49,'5. Geo'!$B$3:$F$26,5,0)</f>
        <v>Asia-China</v>
      </c>
      <c r="I49" s="388">
        <f>VLOOKUP(F49,'5. Geo'!$B$3:$F$26,2,0)</f>
        <v>2020</v>
      </c>
      <c r="J49" s="310">
        <v>44703</v>
      </c>
      <c r="K49" s="311">
        <f>'CF (Funds)'!D14</f>
        <v>0</v>
      </c>
      <c r="L49" s="311">
        <f>'CF (Funds)'!E14</f>
        <v>0.22778599999999999</v>
      </c>
      <c r="M49" s="311"/>
      <c r="N49" s="311">
        <f t="shared" si="0"/>
        <v>0.22778599999999999</v>
      </c>
      <c r="O49" s="367"/>
      <c r="P49" s="367">
        <f t="shared" si="1"/>
        <v>1</v>
      </c>
      <c r="Q49" s="308" t="s">
        <v>15</v>
      </c>
      <c r="R49" s="311">
        <f t="shared" si="2"/>
        <v>0</v>
      </c>
      <c r="S49" s="311">
        <f t="shared" si="3"/>
        <v>0.22778599999999999</v>
      </c>
      <c r="T49" s="311">
        <f t="shared" si="4"/>
        <v>0</v>
      </c>
      <c r="U49" s="311">
        <f t="shared" si="5"/>
        <v>0.22778599999999999</v>
      </c>
    </row>
    <row r="50" spans="6:21" ht="12.75" x14ac:dyDescent="0.2">
      <c r="F50" s="312" t="s">
        <v>1</v>
      </c>
      <c r="G50" s="313" t="s">
        <v>65</v>
      </c>
      <c r="H50" s="313" t="str">
        <f>VLOOKUP(F50,'5. Geo'!$B$3:$F$26,5,0)</f>
        <v>Asia-China</v>
      </c>
      <c r="I50" s="389">
        <f>VLOOKUP(F50,'5. Geo'!$B$3:$F$26,2,0)</f>
        <v>2020</v>
      </c>
      <c r="J50" s="314" t="s">
        <v>22</v>
      </c>
      <c r="K50" s="315">
        <f>'CF (Funds)'!D15</f>
        <v>-3</v>
      </c>
      <c r="L50" s="315">
        <f>'CF (Funds)'!E15</f>
        <v>0</v>
      </c>
      <c r="M50" s="315"/>
      <c r="N50" s="315">
        <f t="shared" si="0"/>
        <v>-3</v>
      </c>
      <c r="O50" s="367"/>
      <c r="P50" s="367">
        <f t="shared" si="1"/>
        <v>1</v>
      </c>
      <c r="Q50" s="312" t="s">
        <v>1</v>
      </c>
      <c r="R50" s="315">
        <f t="shared" si="2"/>
        <v>-3</v>
      </c>
      <c r="S50" s="315">
        <f t="shared" si="3"/>
        <v>0</v>
      </c>
      <c r="T50" s="315">
        <f t="shared" si="4"/>
        <v>0</v>
      </c>
      <c r="U50" s="315">
        <f t="shared" si="5"/>
        <v>-3</v>
      </c>
    </row>
    <row r="51" spans="6:21" ht="12.75" x14ac:dyDescent="0.2">
      <c r="F51" s="312" t="s">
        <v>1</v>
      </c>
      <c r="G51" s="313" t="s">
        <v>65</v>
      </c>
      <c r="H51" s="313" t="str">
        <f>VLOOKUP(F51,'5. Geo'!$B$3:$F$26,5,0)</f>
        <v>Asia-China</v>
      </c>
      <c r="I51" s="389">
        <f>VLOOKUP(F51,'5. Geo'!$B$3:$F$26,2,0)</f>
        <v>2020</v>
      </c>
      <c r="J51" s="314">
        <v>43983</v>
      </c>
      <c r="K51" s="315">
        <f>'CF (Funds)'!D16</f>
        <v>-4.4849999999999994</v>
      </c>
      <c r="L51" s="315">
        <f>'CF (Funds)'!E16</f>
        <v>0</v>
      </c>
      <c r="M51" s="315"/>
      <c r="N51" s="315">
        <f t="shared" si="0"/>
        <v>-4.4849999999999994</v>
      </c>
      <c r="O51" s="367"/>
      <c r="P51" s="367">
        <f t="shared" si="1"/>
        <v>1</v>
      </c>
      <c r="Q51" s="312" t="s">
        <v>1</v>
      </c>
      <c r="R51" s="315">
        <f t="shared" si="2"/>
        <v>-4.4849999999999994</v>
      </c>
      <c r="S51" s="315">
        <f t="shared" si="3"/>
        <v>0</v>
      </c>
      <c r="T51" s="315">
        <f t="shared" si="4"/>
        <v>0</v>
      </c>
      <c r="U51" s="315">
        <f t="shared" si="5"/>
        <v>-4.4849999999999994</v>
      </c>
    </row>
    <row r="52" spans="6:21" ht="12.75" x14ac:dyDescent="0.2">
      <c r="F52" s="312" t="s">
        <v>1</v>
      </c>
      <c r="G52" s="313" t="s">
        <v>65</v>
      </c>
      <c r="H52" s="313" t="str">
        <f>VLOOKUP(F52,'5. Geo'!$B$3:$F$26,5,0)</f>
        <v>Asia-China</v>
      </c>
      <c r="I52" s="389">
        <f>VLOOKUP(F52,'5. Geo'!$B$3:$F$26,2,0)</f>
        <v>2020</v>
      </c>
      <c r="J52" s="314" t="s">
        <v>10</v>
      </c>
      <c r="K52" s="315">
        <f>'CF (Funds)'!D17</f>
        <v>-9.5097500000000004</v>
      </c>
      <c r="L52" s="315">
        <f>'CF (Funds)'!E17</f>
        <v>0</v>
      </c>
      <c r="M52" s="315"/>
      <c r="N52" s="315">
        <f t="shared" si="0"/>
        <v>-9.5097500000000004</v>
      </c>
      <c r="O52" s="367"/>
      <c r="P52" s="367">
        <f t="shared" si="1"/>
        <v>1</v>
      </c>
      <c r="Q52" s="312" t="s">
        <v>1</v>
      </c>
      <c r="R52" s="315">
        <f t="shared" si="2"/>
        <v>-9.5097500000000004</v>
      </c>
      <c r="S52" s="315">
        <f t="shared" si="3"/>
        <v>0</v>
      </c>
      <c r="T52" s="315">
        <f t="shared" si="4"/>
        <v>0</v>
      </c>
      <c r="U52" s="315">
        <f t="shared" si="5"/>
        <v>-9.5097500000000004</v>
      </c>
    </row>
    <row r="53" spans="6:21" ht="12.75" x14ac:dyDescent="0.2">
      <c r="F53" s="312" t="s">
        <v>1</v>
      </c>
      <c r="G53" s="313" t="s">
        <v>65</v>
      </c>
      <c r="H53" s="313" t="str">
        <f>VLOOKUP(F53,'5. Geo'!$B$3:$F$26,5,0)</f>
        <v>Asia-China</v>
      </c>
      <c r="I53" s="389">
        <f>VLOOKUP(F53,'5. Geo'!$B$3:$F$26,2,0)</f>
        <v>2020</v>
      </c>
      <c r="J53" s="314" t="s">
        <v>23</v>
      </c>
      <c r="K53" s="315">
        <f>'CF (Funds)'!D18</f>
        <v>-41.3</v>
      </c>
      <c r="L53" s="315">
        <f>'CF (Funds)'!E18</f>
        <v>0</v>
      </c>
      <c r="M53" s="315"/>
      <c r="N53" s="315">
        <f t="shared" si="0"/>
        <v>-41.3</v>
      </c>
      <c r="O53" s="367"/>
      <c r="P53" s="367">
        <f t="shared" si="1"/>
        <v>1</v>
      </c>
      <c r="Q53" s="312" t="s">
        <v>1</v>
      </c>
      <c r="R53" s="315">
        <f t="shared" si="2"/>
        <v>-41.3</v>
      </c>
      <c r="S53" s="315">
        <f t="shared" si="3"/>
        <v>0</v>
      </c>
      <c r="T53" s="315">
        <f t="shared" si="4"/>
        <v>0</v>
      </c>
      <c r="U53" s="315">
        <f t="shared" si="5"/>
        <v>-41.3</v>
      </c>
    </row>
    <row r="54" spans="6:21" ht="12.75" x14ac:dyDescent="0.2">
      <c r="F54" s="312" t="s">
        <v>1</v>
      </c>
      <c r="G54" s="313" t="s">
        <v>65</v>
      </c>
      <c r="H54" s="313" t="str">
        <f>VLOOKUP(F54,'5. Geo'!$B$3:$F$26,5,0)</f>
        <v>Asia-China</v>
      </c>
      <c r="I54" s="389">
        <f>VLOOKUP(F54,'5. Geo'!$B$3:$F$26,2,0)</f>
        <v>2020</v>
      </c>
      <c r="J54" s="314" t="s">
        <v>172</v>
      </c>
      <c r="K54" s="315">
        <f>'CF (Funds)'!D19</f>
        <v>9.9499999999999993</v>
      </c>
      <c r="L54" s="315">
        <f>'CF (Funds)'!E19</f>
        <v>0</v>
      </c>
      <c r="M54" s="315"/>
      <c r="N54" s="315">
        <f t="shared" si="0"/>
        <v>9.9499999999999993</v>
      </c>
      <c r="O54" s="367"/>
      <c r="P54" s="367">
        <f t="shared" si="1"/>
        <v>1</v>
      </c>
      <c r="Q54" s="312" t="s">
        <v>1</v>
      </c>
      <c r="R54" s="315">
        <f t="shared" si="2"/>
        <v>9.9499999999999993</v>
      </c>
      <c r="S54" s="315">
        <f t="shared" si="3"/>
        <v>0</v>
      </c>
      <c r="T54" s="315">
        <f t="shared" si="4"/>
        <v>0</v>
      </c>
      <c r="U54" s="315">
        <f t="shared" si="5"/>
        <v>9.9499999999999993</v>
      </c>
    </row>
    <row r="55" spans="6:21" ht="12.75" x14ac:dyDescent="0.2">
      <c r="F55" s="312" t="s">
        <v>1</v>
      </c>
      <c r="G55" s="313" t="s">
        <v>65</v>
      </c>
      <c r="H55" s="313" t="str">
        <f>VLOOKUP(F55,'5. Geo'!$B$3:$F$26,5,0)</f>
        <v>Asia-China</v>
      </c>
      <c r="I55" s="389">
        <f>VLOOKUP(F55,'5. Geo'!$B$3:$F$26,2,0)</f>
        <v>2020</v>
      </c>
      <c r="J55" s="314" t="s">
        <v>172</v>
      </c>
      <c r="K55" s="315">
        <f>'CF (Funds)'!D20</f>
        <v>-10.455</v>
      </c>
      <c r="L55" s="315">
        <f>'CF (Funds)'!E20</f>
        <v>0</v>
      </c>
      <c r="M55" s="315"/>
      <c r="N55" s="315">
        <f t="shared" si="0"/>
        <v>-10.455</v>
      </c>
      <c r="O55" s="367"/>
      <c r="P55" s="367">
        <f t="shared" si="1"/>
        <v>1</v>
      </c>
      <c r="Q55" s="312" t="s">
        <v>1</v>
      </c>
      <c r="R55" s="315">
        <f t="shared" si="2"/>
        <v>-10.455</v>
      </c>
      <c r="S55" s="315">
        <f t="shared" si="3"/>
        <v>0</v>
      </c>
      <c r="T55" s="315">
        <f t="shared" si="4"/>
        <v>0</v>
      </c>
      <c r="U55" s="315">
        <f t="shared" si="5"/>
        <v>-10.455</v>
      </c>
    </row>
    <row r="56" spans="6:21" ht="12.75" x14ac:dyDescent="0.2">
      <c r="F56" s="312" t="s">
        <v>1</v>
      </c>
      <c r="G56" s="313" t="s">
        <v>65</v>
      </c>
      <c r="H56" s="313" t="str">
        <f>VLOOKUP(F56,'5. Geo'!$B$3:$F$26,5,0)</f>
        <v>Asia-China</v>
      </c>
      <c r="I56" s="389">
        <f>VLOOKUP(F56,'5. Geo'!$B$3:$F$26,2,0)</f>
        <v>2020</v>
      </c>
      <c r="J56" s="314" t="s">
        <v>28</v>
      </c>
      <c r="K56" s="315">
        <f>'CF (Funds)'!D21</f>
        <v>4.9749999999999996</v>
      </c>
      <c r="L56" s="315">
        <f>'CF (Funds)'!E21</f>
        <v>0</v>
      </c>
      <c r="M56" s="315"/>
      <c r="N56" s="315">
        <f t="shared" si="0"/>
        <v>4.9749999999999996</v>
      </c>
      <c r="O56" s="367"/>
      <c r="P56" s="367">
        <f t="shared" si="1"/>
        <v>1</v>
      </c>
      <c r="Q56" s="312" t="s">
        <v>1</v>
      </c>
      <c r="R56" s="315">
        <f t="shared" si="2"/>
        <v>4.9749999999999996</v>
      </c>
      <c r="S56" s="315">
        <f t="shared" si="3"/>
        <v>0</v>
      </c>
      <c r="T56" s="315">
        <f t="shared" si="4"/>
        <v>0</v>
      </c>
      <c r="U56" s="315">
        <f t="shared" si="5"/>
        <v>4.9749999999999996</v>
      </c>
    </row>
    <row r="57" spans="6:21" ht="12.75" x14ac:dyDescent="0.2">
      <c r="F57" s="312" t="s">
        <v>1</v>
      </c>
      <c r="G57" s="313" t="s">
        <v>65</v>
      </c>
      <c r="H57" s="313" t="str">
        <f>VLOOKUP(F57,'5. Geo'!$B$3:$F$26,5,0)</f>
        <v>Asia-China</v>
      </c>
      <c r="I57" s="389">
        <f>VLOOKUP(F57,'5. Geo'!$B$3:$F$26,2,0)</f>
        <v>2020</v>
      </c>
      <c r="J57" s="314" t="s">
        <v>28</v>
      </c>
      <c r="K57" s="315">
        <f>'CF (Funds)'!D22</f>
        <v>-3.4522930000000001</v>
      </c>
      <c r="L57" s="315">
        <f>'CF (Funds)'!E22</f>
        <v>0</v>
      </c>
      <c r="M57" s="315"/>
      <c r="N57" s="315">
        <f t="shared" si="0"/>
        <v>-3.4522930000000001</v>
      </c>
      <c r="O57" s="367"/>
      <c r="P57" s="367">
        <f t="shared" si="1"/>
        <v>1</v>
      </c>
      <c r="Q57" s="312" t="s">
        <v>1</v>
      </c>
      <c r="R57" s="315">
        <f t="shared" si="2"/>
        <v>-3.4522930000000001</v>
      </c>
      <c r="S57" s="315">
        <f t="shared" si="3"/>
        <v>0</v>
      </c>
      <c r="T57" s="315">
        <f t="shared" si="4"/>
        <v>0</v>
      </c>
      <c r="U57" s="315">
        <f t="shared" si="5"/>
        <v>-3.4522930000000001</v>
      </c>
    </row>
    <row r="58" spans="6:21" ht="12.75" x14ac:dyDescent="0.2">
      <c r="F58" s="312" t="s">
        <v>1</v>
      </c>
      <c r="G58" s="313" t="s">
        <v>65</v>
      </c>
      <c r="H58" s="313" t="str">
        <f>VLOOKUP(F58,'5. Geo'!$B$3:$F$26,5,0)</f>
        <v>Asia-China</v>
      </c>
      <c r="I58" s="389">
        <f>VLOOKUP(F58,'5. Geo'!$B$3:$F$26,2,0)</f>
        <v>2020</v>
      </c>
      <c r="J58" s="314" t="s">
        <v>28</v>
      </c>
      <c r="K58" s="315">
        <f>'CF (Funds)'!D23</f>
        <v>0</v>
      </c>
      <c r="L58" s="315">
        <f>'CF (Funds)'!E23</f>
        <v>0.58290199999999992</v>
      </c>
      <c r="M58" s="315"/>
      <c r="N58" s="315">
        <f t="shared" si="0"/>
        <v>0.58290199999999992</v>
      </c>
      <c r="O58" s="367"/>
      <c r="P58" s="367">
        <f t="shared" si="1"/>
        <v>1</v>
      </c>
      <c r="Q58" s="312" t="s">
        <v>1</v>
      </c>
      <c r="R58" s="315">
        <f t="shared" si="2"/>
        <v>0</v>
      </c>
      <c r="S58" s="315">
        <f t="shared" si="3"/>
        <v>0.58290199999999992</v>
      </c>
      <c r="T58" s="315">
        <f t="shared" si="4"/>
        <v>0</v>
      </c>
      <c r="U58" s="315">
        <f t="shared" si="5"/>
        <v>0.58290199999999992</v>
      </c>
    </row>
    <row r="59" spans="6:21" ht="12.75" x14ac:dyDescent="0.2">
      <c r="F59" s="312" t="s">
        <v>1</v>
      </c>
      <c r="G59" s="313" t="s">
        <v>65</v>
      </c>
      <c r="H59" s="313" t="str">
        <f>VLOOKUP(F59,'5. Geo'!$B$3:$F$26,5,0)</f>
        <v>Asia-China</v>
      </c>
      <c r="I59" s="389">
        <f>VLOOKUP(F59,'5. Geo'!$B$3:$F$26,2,0)</f>
        <v>2020</v>
      </c>
      <c r="J59" s="314">
        <v>44370</v>
      </c>
      <c r="K59" s="315">
        <f>'CF (Funds)'!D24</f>
        <v>-5.97</v>
      </c>
      <c r="L59" s="315">
        <f>'CF (Funds)'!E24</f>
        <v>0</v>
      </c>
      <c r="M59" s="315"/>
      <c r="N59" s="315">
        <f t="shared" si="0"/>
        <v>-5.97</v>
      </c>
      <c r="O59" s="367"/>
      <c r="P59" s="367">
        <f t="shared" si="1"/>
        <v>1</v>
      </c>
      <c r="Q59" s="312" t="s">
        <v>1</v>
      </c>
      <c r="R59" s="315">
        <f t="shared" si="2"/>
        <v>-5.97</v>
      </c>
      <c r="S59" s="315">
        <f t="shared" si="3"/>
        <v>0</v>
      </c>
      <c r="T59" s="315">
        <f t="shared" si="4"/>
        <v>0</v>
      </c>
      <c r="U59" s="315">
        <f t="shared" si="5"/>
        <v>-5.97</v>
      </c>
    </row>
    <row r="60" spans="6:21" ht="12.75" x14ac:dyDescent="0.2">
      <c r="F60" s="312" t="s">
        <v>1</v>
      </c>
      <c r="G60" s="313" t="s">
        <v>65</v>
      </c>
      <c r="H60" s="313" t="str">
        <f>VLOOKUP(F60,'5. Geo'!$B$3:$F$26,5,0)</f>
        <v>Asia-China</v>
      </c>
      <c r="I60" s="389">
        <f>VLOOKUP(F60,'5. Geo'!$B$3:$F$26,2,0)</f>
        <v>2020</v>
      </c>
      <c r="J60" s="314">
        <v>44400</v>
      </c>
      <c r="K60" s="315">
        <f>'CF (Funds)'!D25</f>
        <v>-0.75</v>
      </c>
      <c r="L60" s="315">
        <f>'CF (Funds)'!E25</f>
        <v>0</v>
      </c>
      <c r="M60" s="315"/>
      <c r="N60" s="315">
        <f t="shared" si="0"/>
        <v>-0.75</v>
      </c>
      <c r="O60" s="367"/>
      <c r="P60" s="367">
        <f t="shared" si="1"/>
        <v>1</v>
      </c>
      <c r="Q60" s="312" t="s">
        <v>1</v>
      </c>
      <c r="R60" s="315">
        <f t="shared" si="2"/>
        <v>-0.75</v>
      </c>
      <c r="S60" s="315">
        <f t="shared" si="3"/>
        <v>0</v>
      </c>
      <c r="T60" s="315">
        <f t="shared" si="4"/>
        <v>0</v>
      </c>
      <c r="U60" s="315">
        <f t="shared" si="5"/>
        <v>-0.75</v>
      </c>
    </row>
    <row r="61" spans="6:21" ht="12.75" x14ac:dyDescent="0.2">
      <c r="F61" s="312" t="s">
        <v>1</v>
      </c>
      <c r="G61" s="313" t="s">
        <v>65</v>
      </c>
      <c r="H61" s="313" t="str">
        <f>VLOOKUP(F61,'5. Geo'!$B$3:$F$26,5,0)</f>
        <v>Asia-China</v>
      </c>
      <c r="I61" s="389">
        <f>VLOOKUP(F61,'5. Geo'!$B$3:$F$26,2,0)</f>
        <v>2020</v>
      </c>
      <c r="J61" s="314">
        <v>44400</v>
      </c>
      <c r="K61" s="315">
        <f>'CF (Funds)'!D26</f>
        <v>0</v>
      </c>
      <c r="L61" s="315">
        <f>'CF (Funds)'!E26</f>
        <v>0.44505899999999998</v>
      </c>
      <c r="M61" s="315"/>
      <c r="N61" s="315">
        <f t="shared" si="0"/>
        <v>0.44505899999999998</v>
      </c>
      <c r="O61" s="367"/>
      <c r="P61" s="367">
        <f t="shared" si="1"/>
        <v>1</v>
      </c>
      <c r="Q61" s="312" t="s">
        <v>1</v>
      </c>
      <c r="R61" s="315">
        <f t="shared" si="2"/>
        <v>0</v>
      </c>
      <c r="S61" s="315">
        <f t="shared" si="3"/>
        <v>0.44505899999999998</v>
      </c>
      <c r="T61" s="315">
        <f t="shared" si="4"/>
        <v>0</v>
      </c>
      <c r="U61" s="315">
        <f t="shared" si="5"/>
        <v>0.44505899999999998</v>
      </c>
    </row>
    <row r="62" spans="6:21" ht="12.75" x14ac:dyDescent="0.2">
      <c r="F62" s="312" t="s">
        <v>1</v>
      </c>
      <c r="G62" s="313" t="s">
        <v>65</v>
      </c>
      <c r="H62" s="313" t="str">
        <f>VLOOKUP(F62,'5. Geo'!$B$3:$F$26,5,0)</f>
        <v>Asia-China</v>
      </c>
      <c r="I62" s="389">
        <f>VLOOKUP(F62,'5. Geo'!$B$3:$F$26,2,0)</f>
        <v>2020</v>
      </c>
      <c r="J62" s="314">
        <v>44554</v>
      </c>
      <c r="K62" s="315">
        <f>'CF (Funds)'!D27</f>
        <v>1.7823899999999999</v>
      </c>
      <c r="L62" s="315">
        <f>'CF (Funds)'!E27</f>
        <v>0</v>
      </c>
      <c r="M62" s="315"/>
      <c r="N62" s="315">
        <f t="shared" si="0"/>
        <v>1.7823899999999999</v>
      </c>
      <c r="O62" s="367"/>
      <c r="P62" s="367">
        <f t="shared" si="1"/>
        <v>1</v>
      </c>
      <c r="Q62" s="312" t="s">
        <v>1</v>
      </c>
      <c r="R62" s="315">
        <f t="shared" si="2"/>
        <v>1.7823899999999999</v>
      </c>
      <c r="S62" s="315">
        <f t="shared" si="3"/>
        <v>0</v>
      </c>
      <c r="T62" s="315">
        <f t="shared" si="4"/>
        <v>0</v>
      </c>
      <c r="U62" s="315">
        <f t="shared" si="5"/>
        <v>1.7823899999999999</v>
      </c>
    </row>
    <row r="63" spans="6:21" ht="12.75" x14ac:dyDescent="0.2">
      <c r="F63" s="312" t="s">
        <v>1</v>
      </c>
      <c r="G63" s="313" t="s">
        <v>65</v>
      </c>
      <c r="H63" s="313" t="str">
        <f>VLOOKUP(F63,'5. Geo'!$B$3:$F$26,5,0)</f>
        <v>Asia-China</v>
      </c>
      <c r="I63" s="389">
        <f>VLOOKUP(F63,'5. Geo'!$B$3:$F$26,2,0)</f>
        <v>2020</v>
      </c>
      <c r="J63" s="314">
        <v>44676</v>
      </c>
      <c r="K63" s="315">
        <f>'CF (Funds)'!D28</f>
        <v>-21</v>
      </c>
      <c r="L63" s="315">
        <f>'CF (Funds)'!E28</f>
        <v>0</v>
      </c>
      <c r="M63" s="315"/>
      <c r="N63" s="315">
        <f t="shared" si="0"/>
        <v>-21</v>
      </c>
      <c r="O63" s="367"/>
      <c r="P63" s="367">
        <f t="shared" si="1"/>
        <v>1</v>
      </c>
      <c r="Q63" s="312" t="s">
        <v>1</v>
      </c>
      <c r="R63" s="315">
        <f t="shared" si="2"/>
        <v>-21</v>
      </c>
      <c r="S63" s="315">
        <f t="shared" si="3"/>
        <v>0</v>
      </c>
      <c r="T63" s="315">
        <f t="shared" si="4"/>
        <v>0</v>
      </c>
      <c r="U63" s="315">
        <f t="shared" si="5"/>
        <v>-21</v>
      </c>
    </row>
    <row r="64" spans="6:21" ht="12.75" x14ac:dyDescent="0.2">
      <c r="F64" s="308" t="s">
        <v>186</v>
      </c>
      <c r="G64" s="309" t="s">
        <v>65</v>
      </c>
      <c r="H64" s="309" t="str">
        <f>VLOOKUP(F64,'5. Geo'!$B$3:$F$26,5,0)</f>
        <v>Europe</v>
      </c>
      <c r="I64" s="388">
        <f>VLOOKUP(F64,'5. Geo'!$B$3:$F$26,2,0)</f>
        <v>2020</v>
      </c>
      <c r="J64" s="310">
        <v>44087</v>
      </c>
      <c r="K64" s="311">
        <f>'CF (Funds)'!D29</f>
        <v>-20.917552997000001</v>
      </c>
      <c r="L64" s="316">
        <f>'CF (Funds)'!E29</f>
        <v>0</v>
      </c>
      <c r="M64" s="311"/>
      <c r="N64" s="311">
        <f t="shared" si="0"/>
        <v>-20.917552997000001</v>
      </c>
      <c r="O64" s="367"/>
      <c r="P64" s="367">
        <f t="shared" si="1"/>
        <v>0</v>
      </c>
      <c r="Q64" s="308" t="s">
        <v>186</v>
      </c>
      <c r="R64" s="316">
        <f t="shared" si="2"/>
        <v>0</v>
      </c>
      <c r="S64" s="316">
        <f t="shared" si="3"/>
        <v>0</v>
      </c>
      <c r="T64" s="316">
        <f t="shared" si="4"/>
        <v>0</v>
      </c>
      <c r="U64" s="316">
        <f t="shared" si="5"/>
        <v>0</v>
      </c>
    </row>
    <row r="65" spans="6:21" ht="12.75" x14ac:dyDescent="0.2">
      <c r="F65" s="308" t="s">
        <v>186</v>
      </c>
      <c r="G65" s="309" t="s">
        <v>65</v>
      </c>
      <c r="H65" s="309" t="str">
        <f>VLOOKUP(F65,'5. Geo'!$B$3:$F$26,5,0)</f>
        <v>Europe</v>
      </c>
      <c r="I65" s="388">
        <f>VLOOKUP(F65,'5. Geo'!$B$3:$F$26,2,0)</f>
        <v>2020</v>
      </c>
      <c r="J65" s="310">
        <v>44287</v>
      </c>
      <c r="K65" s="311">
        <f>'CF (Funds)'!D30</f>
        <v>-0.21103182000000001</v>
      </c>
      <c r="L65" s="316">
        <f>'CF (Funds)'!E30</f>
        <v>0</v>
      </c>
      <c r="M65" s="311"/>
      <c r="N65" s="311">
        <f t="shared" si="0"/>
        <v>-0.21103182000000001</v>
      </c>
      <c r="O65" s="367"/>
      <c r="P65" s="367">
        <f t="shared" si="1"/>
        <v>0</v>
      </c>
      <c r="Q65" s="308" t="s">
        <v>186</v>
      </c>
      <c r="R65" s="316">
        <f t="shared" si="2"/>
        <v>0</v>
      </c>
      <c r="S65" s="316">
        <f t="shared" si="3"/>
        <v>0</v>
      </c>
      <c r="T65" s="316">
        <f t="shared" si="4"/>
        <v>0</v>
      </c>
      <c r="U65" s="316">
        <f t="shared" si="5"/>
        <v>0</v>
      </c>
    </row>
    <row r="66" spans="6:21" ht="12.75" x14ac:dyDescent="0.2">
      <c r="F66" s="308" t="s">
        <v>186</v>
      </c>
      <c r="G66" s="309" t="s">
        <v>65</v>
      </c>
      <c r="H66" s="309" t="str">
        <f>VLOOKUP(F66,'5. Geo'!$B$3:$F$26,5,0)</f>
        <v>Europe</v>
      </c>
      <c r="I66" s="388">
        <f>VLOOKUP(F66,'5. Geo'!$B$3:$F$26,2,0)</f>
        <v>2020</v>
      </c>
      <c r="J66" s="310">
        <v>44442</v>
      </c>
      <c r="K66" s="311">
        <f>'CF (Funds)'!D31</f>
        <v>-0.23965473139999999</v>
      </c>
      <c r="L66" s="316">
        <f>'CF (Funds)'!E31</f>
        <v>0</v>
      </c>
      <c r="M66" s="311"/>
      <c r="N66" s="311">
        <f t="shared" si="0"/>
        <v>-0.23965473139999999</v>
      </c>
      <c r="O66" s="367"/>
      <c r="P66" s="367">
        <f t="shared" si="1"/>
        <v>0</v>
      </c>
      <c r="Q66" s="308" t="s">
        <v>186</v>
      </c>
      <c r="R66" s="316">
        <f t="shared" si="2"/>
        <v>0</v>
      </c>
      <c r="S66" s="316">
        <f t="shared" si="3"/>
        <v>0</v>
      </c>
      <c r="T66" s="316">
        <f t="shared" si="4"/>
        <v>0</v>
      </c>
      <c r="U66" s="316">
        <f t="shared" si="5"/>
        <v>0</v>
      </c>
    </row>
    <row r="67" spans="6:21" ht="12.75" x14ac:dyDescent="0.2">
      <c r="F67" s="308" t="s">
        <v>186</v>
      </c>
      <c r="G67" s="309" t="s">
        <v>65</v>
      </c>
      <c r="H67" s="309" t="str">
        <f>VLOOKUP(F67,'5. Geo'!$B$3:$F$26,5,0)</f>
        <v>Europe</v>
      </c>
      <c r="I67" s="388">
        <f>VLOOKUP(F67,'5. Geo'!$B$3:$F$26,2,0)</f>
        <v>2020</v>
      </c>
      <c r="J67" s="310">
        <v>44623</v>
      </c>
      <c r="K67" s="311">
        <f>'CF (Funds)'!D32</f>
        <v>-0.25893584940000003</v>
      </c>
      <c r="L67" s="316">
        <f>'CF (Funds)'!E32</f>
        <v>0</v>
      </c>
      <c r="M67" s="311"/>
      <c r="N67" s="311">
        <f t="shared" si="0"/>
        <v>-0.25893584940000003</v>
      </c>
      <c r="O67" s="367"/>
      <c r="P67" s="367">
        <f t="shared" si="1"/>
        <v>0</v>
      </c>
      <c r="Q67" s="308" t="s">
        <v>186</v>
      </c>
      <c r="R67" s="316">
        <f t="shared" si="2"/>
        <v>0</v>
      </c>
      <c r="S67" s="316">
        <f t="shared" si="3"/>
        <v>0</v>
      </c>
      <c r="T67" s="316">
        <f t="shared" si="4"/>
        <v>0</v>
      </c>
      <c r="U67" s="316">
        <f t="shared" si="5"/>
        <v>0</v>
      </c>
    </row>
    <row r="68" spans="6:21" ht="12.75" x14ac:dyDescent="0.2">
      <c r="F68" s="308" t="s">
        <v>186</v>
      </c>
      <c r="G68" s="309" t="s">
        <v>65</v>
      </c>
      <c r="H68" s="309" t="str">
        <f>VLOOKUP(F68,'5. Geo'!$B$3:$F$26,5,0)</f>
        <v>Europe</v>
      </c>
      <c r="I68" s="388">
        <f>VLOOKUP(F68,'5. Geo'!$B$3:$F$26,2,0)</f>
        <v>2020</v>
      </c>
      <c r="J68" s="310">
        <v>44784</v>
      </c>
      <c r="K68" s="311">
        <f>'CF (Funds)'!D33</f>
        <v>1.5224656599999999E-2</v>
      </c>
      <c r="L68" s="316">
        <f>'CF (Funds)'!E33</f>
        <v>0</v>
      </c>
      <c r="M68" s="311"/>
      <c r="N68" s="311">
        <f t="shared" si="0"/>
        <v>1.5224656599999999E-2</v>
      </c>
      <c r="O68" s="367"/>
      <c r="P68" s="367">
        <f t="shared" si="1"/>
        <v>0</v>
      </c>
      <c r="Q68" s="308" t="s">
        <v>186</v>
      </c>
      <c r="R68" s="316">
        <f t="shared" si="2"/>
        <v>0</v>
      </c>
      <c r="S68" s="316">
        <f t="shared" si="3"/>
        <v>0</v>
      </c>
      <c r="T68" s="316">
        <f t="shared" si="4"/>
        <v>0</v>
      </c>
      <c r="U68" s="316">
        <f t="shared" si="5"/>
        <v>0</v>
      </c>
    </row>
    <row r="69" spans="6:21" ht="12.75" x14ac:dyDescent="0.2">
      <c r="F69" s="308" t="s">
        <v>168</v>
      </c>
      <c r="G69" s="309" t="s">
        <v>65</v>
      </c>
      <c r="H69" s="309" t="str">
        <f>VLOOKUP(F69,'5. Geo'!$B$3:$F$26,5,0)</f>
        <v>Europe</v>
      </c>
      <c r="I69" s="388">
        <f>VLOOKUP(F69,'5. Geo'!$B$3:$F$26,2,0)</f>
        <v>2020</v>
      </c>
      <c r="J69" s="310">
        <v>44087</v>
      </c>
      <c r="K69" s="311">
        <f>'CF (Funds)'!D34</f>
        <v>-2.7058823529411762</v>
      </c>
      <c r="L69" s="316">
        <f>'CF (Funds)'!E34</f>
        <v>0</v>
      </c>
      <c r="M69" s="311"/>
      <c r="N69" s="311">
        <f t="shared" si="0"/>
        <v>-2.7058823529411762</v>
      </c>
      <c r="O69" s="367"/>
      <c r="P69" s="367">
        <f t="shared" si="1"/>
        <v>0</v>
      </c>
      <c r="Q69" s="308" t="s">
        <v>168</v>
      </c>
      <c r="R69" s="316">
        <f t="shared" si="2"/>
        <v>0</v>
      </c>
      <c r="S69" s="316">
        <f t="shared" si="3"/>
        <v>0</v>
      </c>
      <c r="T69" s="316">
        <f t="shared" si="4"/>
        <v>0</v>
      </c>
      <c r="U69" s="316">
        <f t="shared" si="5"/>
        <v>0</v>
      </c>
    </row>
    <row r="70" spans="6:21" ht="12.75" x14ac:dyDescent="0.2">
      <c r="F70" s="312" t="s">
        <v>263</v>
      </c>
      <c r="G70" s="313" t="s">
        <v>65</v>
      </c>
      <c r="H70" s="313" t="str">
        <f>VLOOKUP(F70,'5. Geo'!$B$3:$F$26,5,0)</f>
        <v>USA</v>
      </c>
      <c r="I70" s="389">
        <f>VLOOKUP(F70,'5. Geo'!$B$3:$F$26,2,0)</f>
        <v>2021</v>
      </c>
      <c r="J70" s="314">
        <v>44540</v>
      </c>
      <c r="K70" s="315">
        <f>'CF (Funds)'!D35</f>
        <v>-2.8053124999999999</v>
      </c>
      <c r="L70" s="315">
        <f>'CF (Funds)'!E35</f>
        <v>0</v>
      </c>
      <c r="M70" s="315"/>
      <c r="N70" s="315">
        <f t="shared" si="0"/>
        <v>-2.8053124999999999</v>
      </c>
      <c r="O70" s="367"/>
      <c r="P70" s="367">
        <f t="shared" si="1"/>
        <v>0</v>
      </c>
      <c r="Q70" s="312" t="s">
        <v>263</v>
      </c>
      <c r="R70" s="315">
        <f t="shared" si="2"/>
        <v>0</v>
      </c>
      <c r="S70" s="315">
        <f t="shared" si="3"/>
        <v>0</v>
      </c>
      <c r="T70" s="315">
        <f t="shared" si="4"/>
        <v>0</v>
      </c>
      <c r="U70" s="315">
        <f t="shared" si="5"/>
        <v>0</v>
      </c>
    </row>
    <row r="71" spans="6:21" ht="12.75" x14ac:dyDescent="0.2">
      <c r="F71" s="312" t="s">
        <v>263</v>
      </c>
      <c r="G71" s="313" t="s">
        <v>65</v>
      </c>
      <c r="H71" s="313" t="str">
        <f>VLOOKUP(F71,'5. Geo'!$B$3:$F$26,5,0)</f>
        <v>USA</v>
      </c>
      <c r="I71" s="389">
        <f>VLOOKUP(F71,'5. Geo'!$B$3:$F$26,2,0)</f>
        <v>2021</v>
      </c>
      <c r="J71" s="314">
        <v>44602</v>
      </c>
      <c r="K71" s="315">
        <f>'CF (Funds)'!D36</f>
        <v>-3.4074999999999998</v>
      </c>
      <c r="L71" s="315">
        <f>'CF (Funds)'!E36</f>
        <v>0</v>
      </c>
      <c r="M71" s="315"/>
      <c r="N71" s="315">
        <f t="shared" si="0"/>
        <v>-3.4074999999999998</v>
      </c>
      <c r="O71" s="367"/>
      <c r="P71" s="367">
        <f t="shared" si="1"/>
        <v>0</v>
      </c>
      <c r="Q71" s="312" t="s">
        <v>263</v>
      </c>
      <c r="R71" s="315">
        <f t="shared" si="2"/>
        <v>0</v>
      </c>
      <c r="S71" s="315">
        <f t="shared" si="3"/>
        <v>0</v>
      </c>
      <c r="T71" s="315">
        <f t="shared" si="4"/>
        <v>0</v>
      </c>
      <c r="U71" s="315">
        <f t="shared" si="5"/>
        <v>0</v>
      </c>
    </row>
    <row r="72" spans="6:21" ht="12.75" x14ac:dyDescent="0.2">
      <c r="F72" s="312" t="s">
        <v>263</v>
      </c>
      <c r="G72" s="313" t="s">
        <v>65</v>
      </c>
      <c r="H72" s="313" t="str">
        <f>VLOOKUP(F72,'5. Geo'!$B$3:$F$26,5,0)</f>
        <v>USA</v>
      </c>
      <c r="I72" s="389">
        <f>VLOOKUP(F72,'5. Geo'!$B$3:$F$26,2,0)</f>
        <v>2021</v>
      </c>
      <c r="J72" s="314">
        <v>44683</v>
      </c>
      <c r="K72" s="315">
        <f>'CF (Funds)'!D37</f>
        <v>-1.0257749999999999</v>
      </c>
      <c r="L72" s="315">
        <f>'CF (Funds)'!E37</f>
        <v>0</v>
      </c>
      <c r="M72" s="315"/>
      <c r="N72" s="315">
        <f t="shared" si="0"/>
        <v>-1.0257749999999999</v>
      </c>
      <c r="O72" s="367"/>
      <c r="P72" s="367">
        <f t="shared" si="1"/>
        <v>0</v>
      </c>
      <c r="Q72" s="312" t="s">
        <v>263</v>
      </c>
      <c r="R72" s="315">
        <f t="shared" si="2"/>
        <v>0</v>
      </c>
      <c r="S72" s="315">
        <f t="shared" si="3"/>
        <v>0</v>
      </c>
      <c r="T72" s="315">
        <f t="shared" si="4"/>
        <v>0</v>
      </c>
      <c r="U72" s="315">
        <f t="shared" si="5"/>
        <v>0</v>
      </c>
    </row>
    <row r="73" spans="6:21" ht="12.75" x14ac:dyDescent="0.2">
      <c r="F73" s="312" t="s">
        <v>263</v>
      </c>
      <c r="G73" s="313" t="s">
        <v>65</v>
      </c>
      <c r="H73" s="313" t="str">
        <f>VLOOKUP(F73,'5. Geo'!$B$3:$F$26,5,0)</f>
        <v>USA</v>
      </c>
      <c r="I73" s="389">
        <f>VLOOKUP(F73,'5. Geo'!$B$3:$F$26,2,0)</f>
        <v>2021</v>
      </c>
      <c r="J73" s="314">
        <v>44707</v>
      </c>
      <c r="K73" s="315">
        <f>'CF (Funds)'!D38</f>
        <v>-3.3882749999999997</v>
      </c>
      <c r="L73" s="315">
        <f>'CF (Funds)'!E38</f>
        <v>0</v>
      </c>
      <c r="M73" s="315"/>
      <c r="N73" s="315">
        <f t="shared" ref="N73:N96" si="6">SUM(K73:M73)</f>
        <v>-3.3882749999999997</v>
      </c>
      <c r="O73" s="367"/>
      <c r="P73" s="367">
        <f t="shared" ref="P73:P96" si="7">IF($C$8=H73,1,0)</f>
        <v>0</v>
      </c>
      <c r="Q73" s="312" t="s">
        <v>263</v>
      </c>
      <c r="R73" s="315">
        <f t="shared" ref="R73:R96" si="8">$P73*K73</f>
        <v>0</v>
      </c>
      <c r="S73" s="315">
        <f t="shared" ref="S73:S96" si="9">$P73*L73</f>
        <v>0</v>
      </c>
      <c r="T73" s="315">
        <f t="shared" ref="T73:T96" si="10">$P73*M73</f>
        <v>0</v>
      </c>
      <c r="U73" s="315">
        <f t="shared" ref="U73:U96" si="11">$P73*N73</f>
        <v>0</v>
      </c>
    </row>
    <row r="74" spans="6:21" ht="12.75" x14ac:dyDescent="0.2">
      <c r="F74" s="308" t="s">
        <v>59</v>
      </c>
      <c r="G74" s="309"/>
      <c r="H74" s="309" t="str">
        <f>VLOOKUP(F74,'5. Geo'!$B$3:$F$26,5,0)</f>
        <v>Asia-China</v>
      </c>
      <c r="I74" s="388">
        <f>VLOOKUP(F74,'5. Geo'!$B$3:$F$26,2,0)</f>
        <v>2019</v>
      </c>
      <c r="J74" s="310">
        <f>$G$4</f>
        <v>44834</v>
      </c>
      <c r="K74" s="311"/>
      <c r="L74" s="311"/>
      <c r="M74" s="311">
        <f>VLOOKUP(F74,NAV!$B$9:$D$39,3,0)</f>
        <v>0</v>
      </c>
      <c r="N74" s="311">
        <f t="shared" si="6"/>
        <v>0</v>
      </c>
      <c r="O74" s="367"/>
      <c r="P74" s="367">
        <f t="shared" si="7"/>
        <v>1</v>
      </c>
      <c r="Q74" s="308" t="s">
        <v>59</v>
      </c>
      <c r="R74" s="311">
        <f t="shared" si="8"/>
        <v>0</v>
      </c>
      <c r="S74" s="311">
        <f t="shared" si="9"/>
        <v>0</v>
      </c>
      <c r="T74" s="311">
        <f t="shared" si="10"/>
        <v>0</v>
      </c>
      <c r="U74" s="311">
        <f t="shared" si="11"/>
        <v>0</v>
      </c>
    </row>
    <row r="75" spans="6:21" ht="12.75" x14ac:dyDescent="0.2">
      <c r="F75" s="308" t="s">
        <v>0</v>
      </c>
      <c r="G75" s="309"/>
      <c r="H75" s="309" t="str">
        <f>VLOOKUP(F75,'5. Geo'!$B$3:$F$26,5,0)</f>
        <v>Asia-China</v>
      </c>
      <c r="I75" s="388">
        <f>VLOOKUP(F75,'5. Geo'!$B$3:$F$26,2,0)</f>
        <v>2019</v>
      </c>
      <c r="J75" s="310">
        <f t="shared" ref="J75:J96" si="12">$G$4</f>
        <v>44834</v>
      </c>
      <c r="K75" s="311"/>
      <c r="L75" s="311"/>
      <c r="M75" s="311">
        <f>VLOOKUP(F75,NAV!$B$9:$D$39,3,0)</f>
        <v>3.1</v>
      </c>
      <c r="N75" s="311">
        <f t="shared" si="6"/>
        <v>3.1</v>
      </c>
      <c r="O75" s="367"/>
      <c r="P75" s="367">
        <f t="shared" si="7"/>
        <v>1</v>
      </c>
      <c r="Q75" s="308" t="s">
        <v>0</v>
      </c>
      <c r="R75" s="311">
        <f t="shared" si="8"/>
        <v>0</v>
      </c>
      <c r="S75" s="311">
        <f t="shared" si="9"/>
        <v>0</v>
      </c>
      <c r="T75" s="311">
        <f t="shared" si="10"/>
        <v>3.1</v>
      </c>
      <c r="U75" s="311">
        <f t="shared" si="11"/>
        <v>3.1</v>
      </c>
    </row>
    <row r="76" spans="6:21" ht="12.75" x14ac:dyDescent="0.2">
      <c r="F76" s="308" t="s">
        <v>50</v>
      </c>
      <c r="G76" s="309"/>
      <c r="H76" s="309" t="str">
        <f>VLOOKUP(F76,'5. Geo'!$B$3:$F$26,5,0)</f>
        <v>USA</v>
      </c>
      <c r="I76" s="388">
        <f>VLOOKUP(F76,'5. Geo'!$B$3:$F$26,2,0)</f>
        <v>2019</v>
      </c>
      <c r="J76" s="310">
        <f t="shared" si="12"/>
        <v>44834</v>
      </c>
      <c r="K76" s="311"/>
      <c r="L76" s="311"/>
      <c r="M76" s="311">
        <f>VLOOKUP(F76,NAV!$B$9:$D$39,3,0)</f>
        <v>78.082229999999996</v>
      </c>
      <c r="N76" s="311">
        <f t="shared" si="6"/>
        <v>78.082229999999996</v>
      </c>
      <c r="O76" s="367"/>
      <c r="P76" s="367">
        <f t="shared" si="7"/>
        <v>0</v>
      </c>
      <c r="Q76" s="308" t="s">
        <v>50</v>
      </c>
      <c r="R76" s="311">
        <f t="shared" si="8"/>
        <v>0</v>
      </c>
      <c r="S76" s="311">
        <f t="shared" si="9"/>
        <v>0</v>
      </c>
      <c r="T76" s="311">
        <f t="shared" si="10"/>
        <v>0</v>
      </c>
      <c r="U76" s="311">
        <f t="shared" si="11"/>
        <v>0</v>
      </c>
    </row>
    <row r="77" spans="6:21" ht="12.75" x14ac:dyDescent="0.2">
      <c r="F77" s="308" t="s">
        <v>51</v>
      </c>
      <c r="G77" s="309"/>
      <c r="H77" s="309" t="str">
        <f>VLOOKUP(F77,'5. Geo'!$B$3:$F$26,5,0)</f>
        <v>Rest of Asia</v>
      </c>
      <c r="I77" s="388">
        <f>VLOOKUP(F77,'5. Geo'!$B$3:$F$26,2,0)</f>
        <v>2020</v>
      </c>
      <c r="J77" s="310">
        <f t="shared" si="12"/>
        <v>44834</v>
      </c>
      <c r="K77" s="311"/>
      <c r="L77" s="311"/>
      <c r="M77" s="311">
        <f>VLOOKUP(F77,NAV!$B$9:$D$39,3,0)</f>
        <v>0</v>
      </c>
      <c r="N77" s="311">
        <f t="shared" si="6"/>
        <v>0</v>
      </c>
      <c r="O77" s="367"/>
      <c r="P77" s="367">
        <f t="shared" si="7"/>
        <v>0</v>
      </c>
      <c r="Q77" s="308" t="s">
        <v>51</v>
      </c>
      <c r="R77" s="311">
        <f t="shared" si="8"/>
        <v>0</v>
      </c>
      <c r="S77" s="311">
        <f t="shared" si="9"/>
        <v>0</v>
      </c>
      <c r="T77" s="311">
        <f t="shared" si="10"/>
        <v>0</v>
      </c>
      <c r="U77" s="311">
        <f t="shared" si="11"/>
        <v>0</v>
      </c>
    </row>
    <row r="78" spans="6:21" ht="12.75" x14ac:dyDescent="0.2">
      <c r="F78" s="308" t="s">
        <v>49</v>
      </c>
      <c r="G78" s="309"/>
      <c r="H78" s="309" t="str">
        <f>VLOOKUP(F78,'5. Geo'!$B$3:$F$26,5,0)</f>
        <v>USA</v>
      </c>
      <c r="I78" s="388">
        <f>VLOOKUP(F78,'5. Geo'!$B$3:$F$26,2,0)</f>
        <v>2020</v>
      </c>
      <c r="J78" s="310">
        <f t="shared" si="12"/>
        <v>44834</v>
      </c>
      <c r="K78" s="311"/>
      <c r="L78" s="311"/>
      <c r="M78" s="311">
        <f>VLOOKUP(F78,NAV!$B$9:$D$39,3,0)</f>
        <v>91.001540300000002</v>
      </c>
      <c r="N78" s="311">
        <f t="shared" si="6"/>
        <v>91.001540300000002</v>
      </c>
      <c r="O78" s="367"/>
      <c r="P78" s="367">
        <f t="shared" si="7"/>
        <v>0</v>
      </c>
      <c r="Q78" s="308" t="s">
        <v>49</v>
      </c>
      <c r="R78" s="311">
        <f t="shared" si="8"/>
        <v>0</v>
      </c>
      <c r="S78" s="311">
        <f t="shared" si="9"/>
        <v>0</v>
      </c>
      <c r="T78" s="311">
        <f t="shared" si="10"/>
        <v>0</v>
      </c>
      <c r="U78" s="311">
        <f t="shared" si="11"/>
        <v>0</v>
      </c>
    </row>
    <row r="79" spans="6:21" ht="12.75" x14ac:dyDescent="0.2">
      <c r="F79" s="308" t="s">
        <v>142</v>
      </c>
      <c r="G79" s="309"/>
      <c r="H79" s="309" t="str">
        <f>VLOOKUP(F79,'5. Geo'!$B$3:$F$26,5,0)</f>
        <v>Europe</v>
      </c>
      <c r="I79" s="388">
        <f>VLOOKUP(F79,'5. Geo'!$B$3:$F$26,2,0)</f>
        <v>2020</v>
      </c>
      <c r="J79" s="310">
        <f t="shared" si="12"/>
        <v>44834</v>
      </c>
      <c r="K79" s="311"/>
      <c r="L79" s="311"/>
      <c r="M79" s="311">
        <f>VLOOKUP(F79,NAV!$B$9:$D$39,3,0)</f>
        <v>125.96278579200001</v>
      </c>
      <c r="N79" s="311">
        <f t="shared" si="6"/>
        <v>125.96278579200001</v>
      </c>
      <c r="O79" s="367"/>
      <c r="P79" s="367">
        <f t="shared" si="7"/>
        <v>0</v>
      </c>
      <c r="Q79" s="308" t="s">
        <v>142</v>
      </c>
      <c r="R79" s="311">
        <f t="shared" si="8"/>
        <v>0</v>
      </c>
      <c r="S79" s="311">
        <f t="shared" si="9"/>
        <v>0</v>
      </c>
      <c r="T79" s="311">
        <f t="shared" si="10"/>
        <v>0</v>
      </c>
      <c r="U79" s="311">
        <f t="shared" si="11"/>
        <v>0</v>
      </c>
    </row>
    <row r="80" spans="6:21" ht="12.75" x14ac:dyDescent="0.2">
      <c r="F80" s="308" t="s">
        <v>11</v>
      </c>
      <c r="G80" s="309"/>
      <c r="H80" s="309" t="str">
        <f>VLOOKUP(F80,'5. Geo'!$B$3:$F$26,5,0)</f>
        <v>Asia-China</v>
      </c>
      <c r="I80" s="388">
        <f>VLOOKUP(F80,'5. Geo'!$B$3:$F$26,2,0)</f>
        <v>2020</v>
      </c>
      <c r="J80" s="310">
        <f t="shared" si="12"/>
        <v>44834</v>
      </c>
      <c r="K80" s="311"/>
      <c r="L80" s="311"/>
      <c r="M80" s="311">
        <f>VLOOKUP(F80,NAV!$B$9:$D$39,3,0)</f>
        <v>136.63999999999999</v>
      </c>
      <c r="N80" s="311">
        <f t="shared" si="6"/>
        <v>136.63999999999999</v>
      </c>
      <c r="O80" s="367"/>
      <c r="P80" s="367">
        <f t="shared" si="7"/>
        <v>1</v>
      </c>
      <c r="Q80" s="308" t="s">
        <v>11</v>
      </c>
      <c r="R80" s="311">
        <f t="shared" si="8"/>
        <v>0</v>
      </c>
      <c r="S80" s="311">
        <f t="shared" si="9"/>
        <v>0</v>
      </c>
      <c r="T80" s="311">
        <f t="shared" si="10"/>
        <v>136.63999999999999</v>
      </c>
      <c r="U80" s="311">
        <f t="shared" si="11"/>
        <v>136.63999999999999</v>
      </c>
    </row>
    <row r="81" spans="6:21" ht="12.75" x14ac:dyDescent="0.2">
      <c r="F81" s="308" t="s">
        <v>24</v>
      </c>
      <c r="G81" s="309"/>
      <c r="H81" s="309" t="str">
        <f>VLOOKUP(F81,'5. Geo'!$B$3:$F$26,5,0)</f>
        <v>Rest of Asia</v>
      </c>
      <c r="I81" s="388">
        <f>VLOOKUP(F81,'5. Geo'!$B$3:$F$26,2,0)</f>
        <v>2021</v>
      </c>
      <c r="J81" s="310">
        <f t="shared" si="12"/>
        <v>44834</v>
      </c>
      <c r="K81" s="311"/>
      <c r="L81" s="311"/>
      <c r="M81" s="311">
        <f>VLOOKUP(F81,NAV!$B$9:$D$39,3,0)</f>
        <v>20</v>
      </c>
      <c r="N81" s="311">
        <f t="shared" si="6"/>
        <v>20</v>
      </c>
      <c r="O81" s="367"/>
      <c r="P81" s="367">
        <f t="shared" si="7"/>
        <v>0</v>
      </c>
      <c r="Q81" s="308" t="s">
        <v>24</v>
      </c>
      <c r="R81" s="311">
        <f t="shared" si="8"/>
        <v>0</v>
      </c>
      <c r="S81" s="311">
        <f t="shared" si="9"/>
        <v>0</v>
      </c>
      <c r="T81" s="311">
        <f t="shared" si="10"/>
        <v>0</v>
      </c>
      <c r="U81" s="311">
        <f t="shared" si="11"/>
        <v>0</v>
      </c>
    </row>
    <row r="82" spans="6:21" ht="12.75" x14ac:dyDescent="0.2">
      <c r="F82" s="308" t="s">
        <v>52</v>
      </c>
      <c r="G82" s="309"/>
      <c r="H82" s="309" t="str">
        <f>VLOOKUP(F82,'5. Geo'!$B$3:$F$26,5,0)</f>
        <v>USA</v>
      </c>
      <c r="I82" s="388">
        <f>VLOOKUP(F82,'5. Geo'!$B$3:$F$26,2,0)</f>
        <v>2021</v>
      </c>
      <c r="J82" s="310">
        <f t="shared" si="12"/>
        <v>44834</v>
      </c>
      <c r="K82" s="311"/>
      <c r="L82" s="311"/>
      <c r="M82" s="311">
        <f>VLOOKUP(F82,NAV!$B$9:$D$39,3,0)</f>
        <v>39.999983359999995</v>
      </c>
      <c r="N82" s="311">
        <f t="shared" si="6"/>
        <v>39.999983359999995</v>
      </c>
      <c r="O82" s="367"/>
      <c r="P82" s="367">
        <f t="shared" si="7"/>
        <v>0</v>
      </c>
      <c r="Q82" s="308" t="s">
        <v>52</v>
      </c>
      <c r="R82" s="311">
        <f t="shared" si="8"/>
        <v>0</v>
      </c>
      <c r="S82" s="311">
        <f t="shared" si="9"/>
        <v>0</v>
      </c>
      <c r="T82" s="311">
        <f t="shared" si="10"/>
        <v>0</v>
      </c>
      <c r="U82" s="311">
        <f t="shared" si="11"/>
        <v>0</v>
      </c>
    </row>
    <row r="83" spans="6:21" ht="12.75" x14ac:dyDescent="0.2">
      <c r="F83" s="308" t="s">
        <v>53</v>
      </c>
      <c r="G83" s="309"/>
      <c r="H83" s="309" t="str">
        <f>VLOOKUP(F83,'5. Geo'!$B$3:$F$26,5,0)</f>
        <v>USA</v>
      </c>
      <c r="I83" s="388">
        <f>VLOOKUP(F83,'5. Geo'!$B$3:$F$26,2,0)</f>
        <v>2021</v>
      </c>
      <c r="J83" s="310">
        <f t="shared" si="12"/>
        <v>44834</v>
      </c>
      <c r="K83" s="311"/>
      <c r="L83" s="311"/>
      <c r="M83" s="311">
        <f>VLOOKUP(F83,NAV!$B$9:$D$39,3,0)</f>
        <v>3</v>
      </c>
      <c r="N83" s="311">
        <f t="shared" si="6"/>
        <v>3</v>
      </c>
      <c r="O83" s="367"/>
      <c r="P83" s="367">
        <f t="shared" si="7"/>
        <v>0</v>
      </c>
      <c r="Q83" s="308" t="s">
        <v>53</v>
      </c>
      <c r="R83" s="311">
        <f t="shared" si="8"/>
        <v>0</v>
      </c>
      <c r="S83" s="311">
        <f t="shared" si="9"/>
        <v>0</v>
      </c>
      <c r="T83" s="311">
        <f t="shared" si="10"/>
        <v>0</v>
      </c>
      <c r="U83" s="311">
        <f t="shared" si="11"/>
        <v>0</v>
      </c>
    </row>
    <row r="84" spans="6:21" ht="12.75" x14ac:dyDescent="0.2">
      <c r="F84" s="308" t="s">
        <v>54</v>
      </c>
      <c r="G84" s="309"/>
      <c r="H84" s="309" t="str">
        <f>VLOOKUP(F84,'5. Geo'!$B$3:$F$26,5,0)</f>
        <v>Europe</v>
      </c>
      <c r="I84" s="388">
        <f>VLOOKUP(F84,'5. Geo'!$B$3:$F$26,2,0)</f>
        <v>2021</v>
      </c>
      <c r="J84" s="310">
        <f t="shared" si="12"/>
        <v>44834</v>
      </c>
      <c r="K84" s="311"/>
      <c r="L84" s="311"/>
      <c r="M84" s="311">
        <f>VLOOKUP(F84,NAV!$B$9:$D$39,3,0)</f>
        <v>5.0237201984774336</v>
      </c>
      <c r="N84" s="311">
        <f t="shared" si="6"/>
        <v>5.0237201984774336</v>
      </c>
      <c r="O84" s="367"/>
      <c r="P84" s="367">
        <f t="shared" si="7"/>
        <v>0</v>
      </c>
      <c r="Q84" s="308" t="s">
        <v>54</v>
      </c>
      <c r="R84" s="311">
        <f t="shared" si="8"/>
        <v>0</v>
      </c>
      <c r="S84" s="311">
        <f t="shared" si="9"/>
        <v>0</v>
      </c>
      <c r="T84" s="311">
        <f t="shared" si="10"/>
        <v>0</v>
      </c>
      <c r="U84" s="311">
        <f t="shared" si="11"/>
        <v>0</v>
      </c>
    </row>
    <row r="85" spans="6:21" ht="12.75" x14ac:dyDescent="0.2">
      <c r="F85" s="308" t="s">
        <v>120</v>
      </c>
      <c r="G85" s="309"/>
      <c r="H85" s="309" t="str">
        <f>VLOOKUP(F85,'5. Geo'!$B$3:$F$26,5,0)</f>
        <v>Asia-China</v>
      </c>
      <c r="I85" s="388">
        <f>VLOOKUP(F85,'5. Geo'!$B$3:$F$26,2,0)</f>
        <v>2022</v>
      </c>
      <c r="J85" s="310">
        <f t="shared" si="12"/>
        <v>44834</v>
      </c>
      <c r="K85" s="311"/>
      <c r="L85" s="311"/>
      <c r="M85" s="311">
        <f>VLOOKUP(F85,NAV!$B$9:$D$39,3,0)</f>
        <v>493.50095619999996</v>
      </c>
      <c r="N85" s="311">
        <f t="shared" si="6"/>
        <v>493.50095619999996</v>
      </c>
      <c r="O85" s="367"/>
      <c r="P85" s="367">
        <f t="shared" si="7"/>
        <v>1</v>
      </c>
      <c r="Q85" s="308" t="s">
        <v>120</v>
      </c>
      <c r="R85" s="311">
        <f t="shared" si="8"/>
        <v>0</v>
      </c>
      <c r="S85" s="311">
        <f t="shared" si="9"/>
        <v>0</v>
      </c>
      <c r="T85" s="311">
        <f t="shared" si="10"/>
        <v>493.50095619999996</v>
      </c>
      <c r="U85" s="311">
        <f t="shared" si="11"/>
        <v>493.50095619999996</v>
      </c>
    </row>
    <row r="86" spans="6:21" ht="12.75" x14ac:dyDescent="0.2">
      <c r="F86" s="308" t="s">
        <v>25</v>
      </c>
      <c r="G86" s="309"/>
      <c r="H86" s="309" t="str">
        <f>VLOOKUP(F86,'5. Geo'!$B$3:$F$26,5,0)</f>
        <v>MiddleEast</v>
      </c>
      <c r="I86" s="388">
        <f>VLOOKUP(F86,'5. Geo'!$B$3:$F$26,2,0)</f>
        <v>2022</v>
      </c>
      <c r="J86" s="310">
        <f t="shared" si="12"/>
        <v>44834</v>
      </c>
      <c r="K86" s="311"/>
      <c r="L86" s="311"/>
      <c r="M86" s="311">
        <f>VLOOKUP(F86,NAV!$B$9:$D$39,3,0)</f>
        <v>300</v>
      </c>
      <c r="N86" s="311">
        <f t="shared" si="6"/>
        <v>300</v>
      </c>
      <c r="O86" s="367"/>
      <c r="P86" s="367">
        <f t="shared" si="7"/>
        <v>0</v>
      </c>
      <c r="Q86" s="308" t="s">
        <v>25</v>
      </c>
      <c r="R86" s="311">
        <f t="shared" si="8"/>
        <v>0</v>
      </c>
      <c r="S86" s="311">
        <f t="shared" si="9"/>
        <v>0</v>
      </c>
      <c r="T86" s="311">
        <f t="shared" si="10"/>
        <v>0</v>
      </c>
      <c r="U86" s="311">
        <f t="shared" si="11"/>
        <v>0</v>
      </c>
    </row>
    <row r="87" spans="6:21" ht="12.75" x14ac:dyDescent="0.2">
      <c r="F87" s="308" t="s">
        <v>143</v>
      </c>
      <c r="G87" s="309"/>
      <c r="H87" s="309" t="str">
        <f>VLOOKUP(F87,'5. Geo'!$B$3:$F$26,5,0)</f>
        <v>USA</v>
      </c>
      <c r="I87" s="388">
        <f>VLOOKUP(F87,'5. Geo'!$B$3:$F$26,2,0)</f>
        <v>2022</v>
      </c>
      <c r="J87" s="310">
        <f t="shared" si="12"/>
        <v>44834</v>
      </c>
      <c r="K87" s="311"/>
      <c r="L87" s="311"/>
      <c r="M87" s="311">
        <f>VLOOKUP(F87,NAV!$B$9:$D$39,3,0)</f>
        <v>-2.4253142200000006</v>
      </c>
      <c r="N87" s="311">
        <f t="shared" si="6"/>
        <v>-2.4253142200000006</v>
      </c>
      <c r="O87" s="367"/>
      <c r="P87" s="367">
        <f t="shared" si="7"/>
        <v>0</v>
      </c>
      <c r="Q87" s="308" t="s">
        <v>143</v>
      </c>
      <c r="R87" s="311">
        <f t="shared" si="8"/>
        <v>0</v>
      </c>
      <c r="S87" s="311">
        <f t="shared" si="9"/>
        <v>0</v>
      </c>
      <c r="T87" s="311">
        <f t="shared" si="10"/>
        <v>0</v>
      </c>
      <c r="U87" s="311">
        <f t="shared" si="11"/>
        <v>0</v>
      </c>
    </row>
    <row r="88" spans="6:21" ht="12.75" x14ac:dyDescent="0.2">
      <c r="F88" s="308" t="s">
        <v>46</v>
      </c>
      <c r="G88" s="309"/>
      <c r="H88" s="309" t="str">
        <f>VLOOKUP(F88,'5. Geo'!$B$3:$F$26,5,0)</f>
        <v>Asia-China</v>
      </c>
      <c r="I88" s="388">
        <f>VLOOKUP(F88,'5. Geo'!$B$3:$F$26,2,0)</f>
        <v>2022</v>
      </c>
      <c r="J88" s="310">
        <f t="shared" si="12"/>
        <v>44834</v>
      </c>
      <c r="K88" s="311"/>
      <c r="L88" s="311"/>
      <c r="M88" s="311">
        <f>VLOOKUP(F88,NAV!$B$9:$D$39,3,0)</f>
        <v>860.46271279030282</v>
      </c>
      <c r="N88" s="311">
        <f t="shared" si="6"/>
        <v>860.46271279030282</v>
      </c>
      <c r="O88" s="367"/>
      <c r="P88" s="367">
        <f t="shared" si="7"/>
        <v>1</v>
      </c>
      <c r="Q88" s="308" t="s">
        <v>46</v>
      </c>
      <c r="R88" s="311">
        <f t="shared" si="8"/>
        <v>0</v>
      </c>
      <c r="S88" s="311">
        <f t="shared" si="9"/>
        <v>0</v>
      </c>
      <c r="T88" s="311">
        <f t="shared" si="10"/>
        <v>860.46271279030282</v>
      </c>
      <c r="U88" s="311">
        <f t="shared" si="11"/>
        <v>860.46271279030282</v>
      </c>
    </row>
    <row r="89" spans="6:21" ht="12.75" x14ac:dyDescent="0.2">
      <c r="F89" s="308" t="s">
        <v>60</v>
      </c>
      <c r="G89" s="309"/>
      <c r="H89" s="309" t="str">
        <f>VLOOKUP(F89,'5. Geo'!$B$3:$F$26,5,0)</f>
        <v>USA</v>
      </c>
      <c r="I89" s="388">
        <f>VLOOKUP(F89,'5. Geo'!$B$3:$F$26,2,0)</f>
        <v>2019</v>
      </c>
      <c r="J89" s="310">
        <f t="shared" si="12"/>
        <v>44834</v>
      </c>
      <c r="K89" s="311"/>
      <c r="L89" s="311"/>
      <c r="M89" s="311">
        <f>VLOOKUP(F89,NAV!$B$9:$D$39,3,0)</f>
        <v>0</v>
      </c>
      <c r="N89" s="311">
        <f t="shared" si="6"/>
        <v>0</v>
      </c>
      <c r="O89" s="367"/>
      <c r="P89" s="367">
        <f t="shared" si="7"/>
        <v>0</v>
      </c>
      <c r="Q89" s="308" t="s">
        <v>60</v>
      </c>
      <c r="R89" s="311">
        <f t="shared" si="8"/>
        <v>0</v>
      </c>
      <c r="S89" s="311">
        <f t="shared" si="9"/>
        <v>0</v>
      </c>
      <c r="T89" s="311">
        <f t="shared" si="10"/>
        <v>0</v>
      </c>
      <c r="U89" s="311">
        <f t="shared" si="11"/>
        <v>0</v>
      </c>
    </row>
    <row r="90" spans="6:21" ht="12.75" x14ac:dyDescent="0.2">
      <c r="F90" s="308" t="s">
        <v>0</v>
      </c>
      <c r="G90" s="309"/>
      <c r="H90" s="309" t="str">
        <f>VLOOKUP(F90,'5. Geo'!$B$3:$F$26,5,0)</f>
        <v>Asia-China</v>
      </c>
      <c r="I90" s="388">
        <f>VLOOKUP(F90,'5. Geo'!$B$3:$F$26,2,0)</f>
        <v>2019</v>
      </c>
      <c r="J90" s="310">
        <f t="shared" si="12"/>
        <v>44834</v>
      </c>
      <c r="K90" s="311"/>
      <c r="L90" s="311"/>
      <c r="M90" s="311">
        <f>VLOOKUP(F90,NAV!$B$9:$D$39,3,0)</f>
        <v>3.1</v>
      </c>
      <c r="N90" s="311">
        <f t="shared" si="6"/>
        <v>3.1</v>
      </c>
      <c r="O90" s="367"/>
      <c r="P90" s="367">
        <f t="shared" si="7"/>
        <v>1</v>
      </c>
      <c r="Q90" s="308" t="s">
        <v>0</v>
      </c>
      <c r="R90" s="311">
        <f t="shared" si="8"/>
        <v>0</v>
      </c>
      <c r="S90" s="311">
        <f t="shared" si="9"/>
        <v>0</v>
      </c>
      <c r="T90" s="311">
        <f t="shared" si="10"/>
        <v>3.1</v>
      </c>
      <c r="U90" s="311">
        <f t="shared" si="11"/>
        <v>3.1</v>
      </c>
    </row>
    <row r="91" spans="6:21" ht="12.75" x14ac:dyDescent="0.2">
      <c r="F91" s="308" t="s">
        <v>51</v>
      </c>
      <c r="G91" s="309"/>
      <c r="H91" s="309" t="str">
        <f>VLOOKUP(F91,'5. Geo'!$B$3:$F$26,5,0)</f>
        <v>Rest of Asia</v>
      </c>
      <c r="I91" s="388">
        <f>VLOOKUP(F91,'5. Geo'!$B$3:$F$26,2,0)</f>
        <v>2020</v>
      </c>
      <c r="J91" s="310">
        <f t="shared" si="12"/>
        <v>44834</v>
      </c>
      <c r="K91" s="311"/>
      <c r="L91" s="311"/>
      <c r="M91" s="311">
        <f>VLOOKUP(F91,NAV!$B$9:$D$39,3,0)</f>
        <v>0</v>
      </c>
      <c r="N91" s="311">
        <f t="shared" si="6"/>
        <v>0</v>
      </c>
      <c r="O91" s="367"/>
      <c r="P91" s="367">
        <f t="shared" si="7"/>
        <v>0</v>
      </c>
      <c r="Q91" s="308" t="s">
        <v>51</v>
      </c>
      <c r="R91" s="311">
        <f t="shared" si="8"/>
        <v>0</v>
      </c>
      <c r="S91" s="311">
        <f t="shared" si="9"/>
        <v>0</v>
      </c>
      <c r="T91" s="311">
        <f t="shared" si="10"/>
        <v>0</v>
      </c>
      <c r="U91" s="311">
        <f t="shared" si="11"/>
        <v>0</v>
      </c>
    </row>
    <row r="92" spans="6:21" ht="12.75" x14ac:dyDescent="0.2">
      <c r="F92" s="308" t="s">
        <v>186</v>
      </c>
      <c r="G92" s="309"/>
      <c r="H92" s="309" t="str">
        <f>VLOOKUP(F92,'5. Geo'!$B$3:$F$26,5,0)</f>
        <v>Europe</v>
      </c>
      <c r="I92" s="388">
        <f>VLOOKUP(F92,'5. Geo'!$B$3:$F$26,2,0)</f>
        <v>2020</v>
      </c>
      <c r="J92" s="310">
        <f t="shared" si="12"/>
        <v>44834</v>
      </c>
      <c r="K92" s="311"/>
      <c r="L92" s="311"/>
      <c r="M92" s="311">
        <f>VLOOKUP(F92,NAV!$B$9:$D$39,3,0)</f>
        <v>31.952799285000001</v>
      </c>
      <c r="N92" s="311">
        <f t="shared" si="6"/>
        <v>31.952799285000001</v>
      </c>
      <c r="O92" s="367"/>
      <c r="P92" s="367">
        <f t="shared" si="7"/>
        <v>0</v>
      </c>
      <c r="Q92" s="308" t="s">
        <v>33</v>
      </c>
      <c r="R92" s="311">
        <f t="shared" si="8"/>
        <v>0</v>
      </c>
      <c r="S92" s="311">
        <f t="shared" si="9"/>
        <v>0</v>
      </c>
      <c r="T92" s="311">
        <f t="shared" si="10"/>
        <v>0</v>
      </c>
      <c r="U92" s="311">
        <f t="shared" si="11"/>
        <v>0</v>
      </c>
    </row>
    <row r="93" spans="6:21" ht="12.75" x14ac:dyDescent="0.2">
      <c r="F93" s="308" t="s">
        <v>168</v>
      </c>
      <c r="G93" s="309"/>
      <c r="H93" s="309" t="str">
        <f>VLOOKUP(F93,'5. Geo'!$B$3:$F$26,5,0)</f>
        <v>Europe</v>
      </c>
      <c r="I93" s="388">
        <f>VLOOKUP(F93,'5. Geo'!$B$3:$F$26,2,0)</f>
        <v>2020</v>
      </c>
      <c r="J93" s="310">
        <f t="shared" si="12"/>
        <v>44834</v>
      </c>
      <c r="K93" s="311"/>
      <c r="L93" s="311"/>
      <c r="M93" s="311">
        <f>VLOOKUP(F93,NAV!$B$9:$D$39,3,0)</f>
        <v>2.7058823529411762</v>
      </c>
      <c r="N93" s="311">
        <f t="shared" si="6"/>
        <v>2.7058823529411762</v>
      </c>
      <c r="O93" s="367"/>
      <c r="P93" s="367">
        <f t="shared" si="7"/>
        <v>0</v>
      </c>
      <c r="Q93" s="308" t="s">
        <v>33</v>
      </c>
      <c r="R93" s="311">
        <f t="shared" si="8"/>
        <v>0</v>
      </c>
      <c r="S93" s="311">
        <f t="shared" si="9"/>
        <v>0</v>
      </c>
      <c r="T93" s="311">
        <f t="shared" si="10"/>
        <v>0</v>
      </c>
      <c r="U93" s="311">
        <f t="shared" si="11"/>
        <v>0</v>
      </c>
    </row>
    <row r="94" spans="6:21" ht="12.75" x14ac:dyDescent="0.2">
      <c r="F94" s="308" t="s">
        <v>1</v>
      </c>
      <c r="G94" s="309"/>
      <c r="H94" s="309" t="str">
        <f>VLOOKUP(F94,'5. Geo'!$B$3:$F$26,5,0)</f>
        <v>Asia-China</v>
      </c>
      <c r="I94" s="388">
        <f>VLOOKUP(F94,'5. Geo'!$B$3:$F$26,2,0)</f>
        <v>2020</v>
      </c>
      <c r="J94" s="310">
        <f t="shared" si="12"/>
        <v>44834</v>
      </c>
      <c r="K94" s="311"/>
      <c r="L94" s="311"/>
      <c r="M94" s="311">
        <f>VLOOKUP(F94,NAV!$B$9:$D$39,3,0)</f>
        <v>79.319999999999993</v>
      </c>
      <c r="N94" s="311">
        <f t="shared" si="6"/>
        <v>79.319999999999993</v>
      </c>
      <c r="O94" s="367"/>
      <c r="P94" s="367">
        <f t="shared" si="7"/>
        <v>1</v>
      </c>
      <c r="Q94" s="308" t="s">
        <v>1</v>
      </c>
      <c r="R94" s="311">
        <f t="shared" si="8"/>
        <v>0</v>
      </c>
      <c r="S94" s="311">
        <f t="shared" si="9"/>
        <v>0</v>
      </c>
      <c r="T94" s="311">
        <f t="shared" si="10"/>
        <v>79.319999999999993</v>
      </c>
      <c r="U94" s="311">
        <f t="shared" si="11"/>
        <v>79.319999999999993</v>
      </c>
    </row>
    <row r="95" spans="6:21" ht="12.75" x14ac:dyDescent="0.2">
      <c r="F95" s="308" t="s">
        <v>15</v>
      </c>
      <c r="G95" s="309"/>
      <c r="H95" s="309" t="str">
        <f>VLOOKUP(F95,'5. Geo'!$B$3:$F$26,5,0)</f>
        <v>Asia-China</v>
      </c>
      <c r="I95" s="388">
        <f>VLOOKUP(F95,'5. Geo'!$B$3:$F$26,2,0)</f>
        <v>2020</v>
      </c>
      <c r="J95" s="310">
        <f t="shared" si="12"/>
        <v>44834</v>
      </c>
      <c r="K95" s="311"/>
      <c r="L95" s="311"/>
      <c r="M95" s="311">
        <f>VLOOKUP(F95,NAV!$B$9:$D$39,3,0)</f>
        <v>15.875237</v>
      </c>
      <c r="N95" s="311">
        <f t="shared" si="6"/>
        <v>15.875237</v>
      </c>
      <c r="O95" s="367"/>
      <c r="P95" s="367">
        <f t="shared" si="7"/>
        <v>1</v>
      </c>
      <c r="Q95" s="308" t="s">
        <v>15</v>
      </c>
      <c r="R95" s="311">
        <f t="shared" si="8"/>
        <v>0</v>
      </c>
      <c r="S95" s="311">
        <f t="shared" si="9"/>
        <v>0</v>
      </c>
      <c r="T95" s="311">
        <f t="shared" si="10"/>
        <v>15.875237</v>
      </c>
      <c r="U95" s="311">
        <f t="shared" si="11"/>
        <v>15.875237</v>
      </c>
    </row>
    <row r="96" spans="6:21" ht="12.75" x14ac:dyDescent="0.2">
      <c r="F96" s="308" t="s">
        <v>263</v>
      </c>
      <c r="G96" s="309"/>
      <c r="H96" s="309" t="str">
        <f>VLOOKUP(F96,'5. Geo'!$B$3:$F$26,5,0)</f>
        <v>USA</v>
      </c>
      <c r="I96" s="388">
        <f>VLOOKUP(F96,'5. Geo'!$B$3:$F$26,2,0)</f>
        <v>2021</v>
      </c>
      <c r="J96" s="310">
        <f t="shared" si="12"/>
        <v>44834</v>
      </c>
      <c r="K96" s="311"/>
      <c r="L96" s="311"/>
      <c r="M96" s="311">
        <f>VLOOKUP(F96,NAV!$B$9:$D$39,3,0)</f>
        <v>10.343446999999999</v>
      </c>
      <c r="N96" s="311">
        <f t="shared" si="6"/>
        <v>10.343446999999999</v>
      </c>
      <c r="O96" s="367"/>
      <c r="P96" s="367">
        <f t="shared" si="7"/>
        <v>0</v>
      </c>
      <c r="Q96" s="308" t="s">
        <v>263</v>
      </c>
      <c r="R96" s="311">
        <f t="shared" si="8"/>
        <v>0</v>
      </c>
      <c r="S96" s="311">
        <f t="shared" si="9"/>
        <v>0</v>
      </c>
      <c r="T96" s="311">
        <f t="shared" si="10"/>
        <v>0</v>
      </c>
      <c r="U96" s="311">
        <f t="shared" si="11"/>
        <v>0</v>
      </c>
    </row>
  </sheetData>
  <pageMargins left="0.7" right="0.7" top="0.75" bottom="0.75" header="0.3" footer="0.3"/>
  <pageSetup paperSize="9" orientation="portrait" verticalDpi="0" r:id="rId1"/>
  <ignoredErrors>
    <ignoredError sqref="N8:N17 N18:N96" formulaRange="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0AFE9-A873-478F-BECB-80E3560CF201}">
  <dimension ref="C2:F68"/>
  <sheetViews>
    <sheetView topLeftCell="A22" workbookViewId="0">
      <selection activeCell="F68" sqref="F68"/>
    </sheetView>
  </sheetViews>
  <sheetFormatPr defaultRowHeight="15" x14ac:dyDescent="0.25"/>
  <cols>
    <col min="3" max="3" width="20.85546875" customWidth="1"/>
    <col min="4" max="4" width="21.85546875" customWidth="1"/>
    <col min="5" max="5" width="21.85546875" style="112" customWidth="1"/>
    <col min="6" max="6" width="12.42578125" customWidth="1"/>
  </cols>
  <sheetData>
    <row r="2" spans="3:6" s="492" customFormat="1" ht="21.75" customHeight="1" x14ac:dyDescent="0.25">
      <c r="C2" s="488" t="s">
        <v>6</v>
      </c>
      <c r="D2" s="489" t="s">
        <v>7</v>
      </c>
      <c r="E2" s="490" t="s">
        <v>389</v>
      </c>
      <c r="F2" s="491" t="s">
        <v>251</v>
      </c>
    </row>
    <row r="3" spans="3:6" x14ac:dyDescent="0.25">
      <c r="C3" s="445" t="s">
        <v>59</v>
      </c>
      <c r="D3" s="446">
        <v>43470</v>
      </c>
      <c r="E3" s="446" t="str">
        <f>"Q"&amp;ROUNDUP(MONTH(D3)/3,0)&amp;" "&amp;YEAR(D3)</f>
        <v>Q1 2019</v>
      </c>
      <c r="F3" s="447">
        <v>-30</v>
      </c>
    </row>
    <row r="4" spans="3:6" x14ac:dyDescent="0.25">
      <c r="C4" s="448" t="s">
        <v>0</v>
      </c>
      <c r="D4" s="449">
        <v>43563</v>
      </c>
      <c r="E4" s="449" t="str">
        <f>"Q"&amp;ROUNDUP(MONTH(D4)/3,0)&amp;" "&amp;YEAR(D4)</f>
        <v>Q2 2019</v>
      </c>
      <c r="F4" s="450">
        <v>-8</v>
      </c>
    </row>
    <row r="5" spans="3:6" x14ac:dyDescent="0.25">
      <c r="C5" s="451" t="s">
        <v>50</v>
      </c>
      <c r="D5" s="452">
        <v>43570</v>
      </c>
      <c r="E5" s="452" t="str">
        <f>"Q"&amp;ROUNDUP(MONTH(D5)/3,0)&amp;" "&amp;YEAR(D5)</f>
        <v>Q2 2019</v>
      </c>
      <c r="F5" s="453">
        <v>-4.9999980900000001</v>
      </c>
    </row>
    <row r="6" spans="3:6" x14ac:dyDescent="0.25">
      <c r="C6" s="454" t="s">
        <v>60</v>
      </c>
      <c r="D6" s="455">
        <v>43635</v>
      </c>
      <c r="E6" s="456" t="str">
        <f>"Q"&amp;ROUNDUP(MONTH(D6)/3,0)&amp;" "&amp;YEAR(D6)</f>
        <v>Q2 2019</v>
      </c>
      <c r="F6" s="457">
        <v>-8</v>
      </c>
    </row>
    <row r="7" spans="3:6" x14ac:dyDescent="0.25">
      <c r="C7" s="458" t="s">
        <v>1</v>
      </c>
      <c r="D7" s="459">
        <v>43665</v>
      </c>
      <c r="E7" s="493" t="str">
        <f>"Q"&amp;ROUNDUP(MONTH(D7)/3,0)&amp;" "&amp;YEAR(D7)</f>
        <v>Q3 2019</v>
      </c>
      <c r="F7" s="460">
        <v>-3</v>
      </c>
    </row>
    <row r="8" spans="3:6" x14ac:dyDescent="0.25">
      <c r="C8" s="451" t="s">
        <v>59</v>
      </c>
      <c r="D8" s="452">
        <v>43724</v>
      </c>
      <c r="E8" s="452" t="str">
        <f>"Q"&amp;ROUNDUP(MONTH(D8)/3,0)&amp;" "&amp;YEAR(D8)</f>
        <v>Q3 2019</v>
      </c>
      <c r="F8" s="453">
        <v>-20</v>
      </c>
    </row>
    <row r="9" spans="3:6" x14ac:dyDescent="0.25">
      <c r="C9" s="461" t="s">
        <v>59</v>
      </c>
      <c r="D9" s="462">
        <v>43724</v>
      </c>
      <c r="E9" s="462" t="str">
        <f>"Q"&amp;ROUNDUP(MONTH(D9)/3,0)&amp;" "&amp;YEAR(D9)</f>
        <v>Q3 2019</v>
      </c>
      <c r="F9" s="463">
        <v>-15</v>
      </c>
    </row>
    <row r="10" spans="3:6" x14ac:dyDescent="0.25">
      <c r="C10" s="448" t="s">
        <v>142</v>
      </c>
      <c r="D10" s="449">
        <v>43837</v>
      </c>
      <c r="E10" s="449" t="str">
        <f>"Q"&amp;ROUNDUP(MONTH(D10)/3,0)&amp;" "&amp;YEAR(D10)</f>
        <v>Q1 2020</v>
      </c>
      <c r="F10" s="450">
        <v>-18.109441299619355</v>
      </c>
    </row>
    <row r="11" spans="3:6" x14ac:dyDescent="0.25">
      <c r="C11" s="464" t="s">
        <v>51</v>
      </c>
      <c r="D11" s="465">
        <v>43870</v>
      </c>
      <c r="E11" s="465" t="str">
        <f>"Q"&amp;ROUNDUP(MONTH(D11)/3,0)&amp;" "&amp;YEAR(D11)</f>
        <v>Q1 2020</v>
      </c>
      <c r="F11" s="466">
        <v>-2.5</v>
      </c>
    </row>
    <row r="12" spans="3:6" x14ac:dyDescent="0.25">
      <c r="C12" s="451" t="s">
        <v>49</v>
      </c>
      <c r="D12" s="452">
        <v>43879</v>
      </c>
      <c r="E12" s="452" t="str">
        <f>"Q"&amp;ROUNDUP(MONTH(D12)/3,0)&amp;" "&amp;YEAR(D12)</f>
        <v>Q1 2020</v>
      </c>
      <c r="F12" s="453">
        <v>-20</v>
      </c>
    </row>
    <row r="13" spans="3:6" x14ac:dyDescent="0.25">
      <c r="C13" s="467" t="s">
        <v>1</v>
      </c>
      <c r="D13" s="468">
        <v>43879</v>
      </c>
      <c r="E13" s="494" t="str">
        <f>"Q"&amp;ROUNDUP(MONTH(D13)/3,0)&amp;" "&amp;YEAR(D13)</f>
        <v>Q1 2020</v>
      </c>
      <c r="F13" s="469">
        <v>-9.5097500000000004</v>
      </c>
    </row>
    <row r="14" spans="3:6" x14ac:dyDescent="0.25">
      <c r="C14" s="451" t="s">
        <v>50</v>
      </c>
      <c r="D14" s="452">
        <v>43915</v>
      </c>
      <c r="E14" s="452" t="str">
        <f>"Q"&amp;ROUNDUP(MONTH(D14)/3,0)&amp;" "&amp;YEAR(D14)</f>
        <v>Q1 2020</v>
      </c>
      <c r="F14" s="453">
        <v>-5.0000019099999999</v>
      </c>
    </row>
    <row r="15" spans="3:6" x14ac:dyDescent="0.25">
      <c r="C15" s="461" t="s">
        <v>49</v>
      </c>
      <c r="D15" s="462">
        <v>43921</v>
      </c>
      <c r="E15" s="462" t="str">
        <f>"Q"&amp;ROUNDUP(MONTH(D15)/3,0)&amp;" "&amp;YEAR(D15)</f>
        <v>Q1 2020</v>
      </c>
      <c r="F15" s="463">
        <v>-30</v>
      </c>
    </row>
    <row r="16" spans="3:6" x14ac:dyDescent="0.25">
      <c r="C16" s="458" t="s">
        <v>1</v>
      </c>
      <c r="D16" s="459">
        <v>43934</v>
      </c>
      <c r="E16" s="493" t="str">
        <f>"Q"&amp;ROUNDUP(MONTH(D16)/3,0)&amp;" "&amp;YEAR(D16)</f>
        <v>Q2 2020</v>
      </c>
      <c r="F16" s="460">
        <v>-41.3</v>
      </c>
    </row>
    <row r="17" spans="3:6" x14ac:dyDescent="0.25">
      <c r="C17" s="464" t="s">
        <v>142</v>
      </c>
      <c r="D17" s="465">
        <v>43968</v>
      </c>
      <c r="E17" s="465" t="str">
        <f>"Q"&amp;ROUNDUP(MONTH(D17)/3,0)&amp;" "&amp;YEAR(D17)</f>
        <v>Q2 2020</v>
      </c>
      <c r="F17" s="466">
        <v>-50</v>
      </c>
    </row>
    <row r="18" spans="3:6" x14ac:dyDescent="0.25">
      <c r="C18" s="467" t="s">
        <v>1</v>
      </c>
      <c r="D18" s="468">
        <v>43983</v>
      </c>
      <c r="E18" s="494" t="str">
        <f>"Q"&amp;ROUNDUP(MONTH(D18)/3,0)&amp;" "&amp;YEAR(D18)</f>
        <v>Q2 2020</v>
      </c>
      <c r="F18" s="469">
        <v>-4.4849999999999994</v>
      </c>
    </row>
    <row r="19" spans="3:6" x14ac:dyDescent="0.25">
      <c r="C19" s="451" t="s">
        <v>49</v>
      </c>
      <c r="D19" s="452">
        <v>43989</v>
      </c>
      <c r="E19" s="452" t="str">
        <f>"Q"&amp;ROUNDUP(MONTH(D19)/3,0)&amp;" "&amp;YEAR(D19)</f>
        <v>Q2 2020</v>
      </c>
      <c r="F19" s="453">
        <v>-30</v>
      </c>
    </row>
    <row r="20" spans="3:6" x14ac:dyDescent="0.25">
      <c r="C20" s="464" t="s">
        <v>142</v>
      </c>
      <c r="D20" s="465">
        <v>43990</v>
      </c>
      <c r="E20" s="465" t="str">
        <f>"Q"&amp;ROUNDUP(MONTH(D20)/3,0)&amp;" "&amp;YEAR(D20)</f>
        <v>Q2 2020</v>
      </c>
      <c r="F20" s="466">
        <v>-34.851687094159864</v>
      </c>
    </row>
    <row r="21" spans="3:6" x14ac:dyDescent="0.25">
      <c r="C21" s="470" t="s">
        <v>142</v>
      </c>
      <c r="D21" s="471">
        <v>44006</v>
      </c>
      <c r="E21" s="471" t="str">
        <f>"Q"&amp;ROUNDUP(MONTH(D21)/3,0)&amp;" "&amp;YEAR(D21)</f>
        <v>Q2 2020</v>
      </c>
      <c r="F21" s="472">
        <v>-27.268350856443721</v>
      </c>
    </row>
    <row r="22" spans="3:6" x14ac:dyDescent="0.25">
      <c r="C22" s="473" t="s">
        <v>186</v>
      </c>
      <c r="D22" s="474">
        <v>44087</v>
      </c>
      <c r="E22" s="495" t="str">
        <f>"Q"&amp;ROUNDUP(MONTH(D22)/3,0)&amp;" "&amp;YEAR(D22)</f>
        <v>Q3 2020</v>
      </c>
      <c r="F22" s="475">
        <v>-20.917552997000001</v>
      </c>
    </row>
    <row r="23" spans="3:6" x14ac:dyDescent="0.25">
      <c r="C23" s="476" t="s">
        <v>168</v>
      </c>
      <c r="D23" s="477">
        <v>44087</v>
      </c>
      <c r="E23" s="496" t="str">
        <f>"Q"&amp;ROUNDUP(MONTH(D23)/3,0)&amp;" "&amp;YEAR(D23)</f>
        <v>Q3 2020</v>
      </c>
      <c r="F23" s="479">
        <v>-2.7058823529411762</v>
      </c>
    </row>
    <row r="24" spans="3:6" x14ac:dyDescent="0.25">
      <c r="C24" s="461" t="s">
        <v>49</v>
      </c>
      <c r="D24" s="462">
        <v>44103</v>
      </c>
      <c r="E24" s="462" t="str">
        <f>"Q"&amp;ROUNDUP(MONTH(D24)/3,0)&amp;" "&amp;YEAR(D24)</f>
        <v>Q3 2020</v>
      </c>
      <c r="F24" s="463">
        <v>-10</v>
      </c>
    </row>
    <row r="25" spans="3:6" x14ac:dyDescent="0.25">
      <c r="C25" s="458" t="s">
        <v>1</v>
      </c>
      <c r="D25" s="459">
        <v>44151</v>
      </c>
      <c r="E25" s="493" t="str">
        <f>"Q"&amp;ROUNDUP(MONTH(D25)/3,0)&amp;" "&amp;YEAR(D25)</f>
        <v>Q4 2020</v>
      </c>
      <c r="F25" s="460">
        <v>9.9499999999999993</v>
      </c>
    </row>
    <row r="26" spans="3:6" x14ac:dyDescent="0.25">
      <c r="C26" s="467" t="s">
        <v>1</v>
      </c>
      <c r="D26" s="468">
        <v>44151</v>
      </c>
      <c r="E26" s="494" t="str">
        <f>"Q"&amp;ROUNDUP(MONTH(D26)/3,0)&amp;" "&amp;YEAR(D26)</f>
        <v>Q4 2020</v>
      </c>
      <c r="F26" s="469">
        <v>-10.455</v>
      </c>
    </row>
    <row r="27" spans="3:6" x14ac:dyDescent="0.25">
      <c r="C27" s="476" t="s">
        <v>15</v>
      </c>
      <c r="D27" s="477">
        <v>44153</v>
      </c>
      <c r="E27" s="478" t="str">
        <f>"Q"&amp;ROUNDUP(MONTH(D27)/3,0)&amp;" "&amp;YEAR(D27)</f>
        <v>Q4 2020</v>
      </c>
      <c r="F27" s="479">
        <v>-10.5</v>
      </c>
    </row>
    <row r="28" spans="3:6" x14ac:dyDescent="0.25">
      <c r="C28" s="451" t="s">
        <v>11</v>
      </c>
      <c r="D28" s="452">
        <v>44166</v>
      </c>
      <c r="E28" s="452" t="str">
        <f>"Q"&amp;ROUNDUP(MONTH(D28)/3,0)&amp;" "&amp;YEAR(D28)</f>
        <v>Q4 2020</v>
      </c>
      <c r="F28" s="453">
        <v>-60</v>
      </c>
    </row>
    <row r="29" spans="3:6" x14ac:dyDescent="0.25">
      <c r="C29" s="467" t="s">
        <v>1</v>
      </c>
      <c r="D29" s="468">
        <v>44196</v>
      </c>
      <c r="E29" s="494" t="str">
        <f>"Q"&amp;ROUNDUP(MONTH(D29)/3,0)&amp;" "&amp;YEAR(D29)</f>
        <v>Q4 2020</v>
      </c>
      <c r="F29" s="469">
        <v>4.9749999999999996</v>
      </c>
    </row>
    <row r="30" spans="3:6" x14ac:dyDescent="0.25">
      <c r="C30" s="467" t="s">
        <v>1</v>
      </c>
      <c r="D30" s="468">
        <v>44196</v>
      </c>
      <c r="E30" s="494" t="str">
        <f>"Q"&amp;ROUNDUP(MONTH(D30)/3,0)&amp;" "&amp;YEAR(D30)</f>
        <v>Q4 2020</v>
      </c>
      <c r="F30" s="469">
        <v>-3.4522930000000001</v>
      </c>
    </row>
    <row r="31" spans="3:6" x14ac:dyDescent="0.25">
      <c r="C31" s="480" t="s">
        <v>1</v>
      </c>
      <c r="D31" s="481">
        <v>44196</v>
      </c>
      <c r="E31" s="497" t="str">
        <f>"Q"&amp;ROUNDUP(MONTH(D31)/3,0)&amp;" "&amp;YEAR(D31)</f>
        <v>Q4 2020</v>
      </c>
      <c r="F31" s="482">
        <v>0.58290199999999992</v>
      </c>
    </row>
    <row r="32" spans="3:6" x14ac:dyDescent="0.25">
      <c r="C32" s="473" t="s">
        <v>15</v>
      </c>
      <c r="D32" s="474">
        <v>44238</v>
      </c>
      <c r="E32" s="495" t="str">
        <f>"Q"&amp;ROUNDUP(MONTH(D32)/3,0)&amp;" "&amp;YEAR(D32)</f>
        <v>Q1 2021</v>
      </c>
      <c r="F32" s="475">
        <v>4.2140269999999997</v>
      </c>
    </row>
    <row r="33" spans="3:6" x14ac:dyDescent="0.25">
      <c r="C33" s="476" t="s">
        <v>15</v>
      </c>
      <c r="D33" s="477">
        <v>44238</v>
      </c>
      <c r="E33" s="496" t="str">
        <f>"Q"&amp;ROUNDUP(MONTH(D33)/3,0)&amp;" "&amp;YEAR(D33)</f>
        <v>Q1 2021</v>
      </c>
      <c r="F33" s="479">
        <v>5.0448349999999996E-2</v>
      </c>
    </row>
    <row r="34" spans="3:6" x14ac:dyDescent="0.25">
      <c r="C34" s="476" t="s">
        <v>15</v>
      </c>
      <c r="D34" s="477">
        <v>44269</v>
      </c>
      <c r="E34" s="496" t="str">
        <f>"Q"&amp;ROUNDUP(MONTH(D34)/3,0)&amp;" "&amp;YEAR(D34)</f>
        <v>Q1 2021</v>
      </c>
      <c r="F34" s="479">
        <v>1.1352073899999999</v>
      </c>
    </row>
    <row r="35" spans="3:6" x14ac:dyDescent="0.25">
      <c r="C35" s="476" t="s">
        <v>15</v>
      </c>
      <c r="D35" s="477">
        <v>44269</v>
      </c>
      <c r="E35" s="496" t="str">
        <f>"Q"&amp;ROUNDUP(MONTH(D35)/3,0)&amp;" "&amp;YEAR(D35)</f>
        <v>Q1 2021</v>
      </c>
      <c r="F35" s="479">
        <v>2.5899999999999999E-2</v>
      </c>
    </row>
    <row r="36" spans="3:6" x14ac:dyDescent="0.25">
      <c r="C36" s="483" t="s">
        <v>15</v>
      </c>
      <c r="D36" s="455">
        <v>44285</v>
      </c>
      <c r="E36" s="456" t="str">
        <f>"Q"&amp;ROUNDUP(MONTH(D36)/3,0)&amp;" "&amp;YEAR(D36)</f>
        <v>Q1 2021</v>
      </c>
      <c r="F36" s="457">
        <v>-6.4337459999999993</v>
      </c>
    </row>
    <row r="37" spans="3:6" x14ac:dyDescent="0.25">
      <c r="C37" s="473" t="s">
        <v>186</v>
      </c>
      <c r="D37" s="474">
        <v>44287</v>
      </c>
      <c r="E37" s="495" t="str">
        <f>"Q"&amp;ROUNDUP(MONTH(D37)/3,0)&amp;" "&amp;YEAR(D37)</f>
        <v>Q2 2021</v>
      </c>
      <c r="F37" s="475">
        <v>-0.21103182000000001</v>
      </c>
    </row>
    <row r="38" spans="3:6" x14ac:dyDescent="0.25">
      <c r="C38" s="476" t="s">
        <v>0</v>
      </c>
      <c r="D38" s="477">
        <v>44293</v>
      </c>
      <c r="E38" s="496" t="str">
        <f>"Q"&amp;ROUNDUP(MONTH(D38)/3,0)&amp;" "&amp;YEAR(D38)</f>
        <v>Q2 2021</v>
      </c>
      <c r="F38" s="479">
        <v>-2.3539819999999998</v>
      </c>
    </row>
    <row r="39" spans="3:6" x14ac:dyDescent="0.25">
      <c r="C39" s="464" t="s">
        <v>142</v>
      </c>
      <c r="D39" s="465">
        <v>44315</v>
      </c>
      <c r="E39" s="465" t="str">
        <f>"Q"&amp;ROUNDUP(MONTH(D39)/3,0)&amp;" "&amp;YEAR(D39)</f>
        <v>Q2 2021</v>
      </c>
      <c r="F39" s="466">
        <v>-11.240780424143557</v>
      </c>
    </row>
    <row r="40" spans="3:6" x14ac:dyDescent="0.25">
      <c r="C40" s="464" t="s">
        <v>24</v>
      </c>
      <c r="D40" s="465">
        <v>44363</v>
      </c>
      <c r="E40" s="465" t="str">
        <f>"Q"&amp;ROUNDUP(MONTH(D40)/3,0)&amp;" "&amp;YEAR(D40)</f>
        <v>Q2 2021</v>
      </c>
      <c r="F40" s="466">
        <v>-20</v>
      </c>
    </row>
    <row r="41" spans="3:6" x14ac:dyDescent="0.25">
      <c r="C41" s="480" t="s">
        <v>1</v>
      </c>
      <c r="D41" s="481">
        <v>44370</v>
      </c>
      <c r="E41" s="497" t="str">
        <f>"Q"&amp;ROUNDUP(MONTH(D41)/3,0)&amp;" "&amp;YEAR(D41)</f>
        <v>Q2 2021</v>
      </c>
      <c r="F41" s="482">
        <v>-5.97</v>
      </c>
    </row>
    <row r="42" spans="3:6" x14ac:dyDescent="0.25">
      <c r="C42" s="473" t="s">
        <v>51</v>
      </c>
      <c r="D42" s="474">
        <v>44384</v>
      </c>
      <c r="E42" s="495" t="str">
        <f>"Q"&amp;ROUNDUP(MONTH(D42)/3,0)&amp;" "&amp;YEAR(D42)</f>
        <v>Q3 2021</v>
      </c>
      <c r="F42" s="475">
        <v>-0.41176499999999999</v>
      </c>
    </row>
    <row r="43" spans="3:6" x14ac:dyDescent="0.25">
      <c r="C43" s="467" t="s">
        <v>1</v>
      </c>
      <c r="D43" s="468">
        <v>44400</v>
      </c>
      <c r="E43" s="494" t="str">
        <f>"Q"&amp;ROUNDUP(MONTH(D43)/3,0)&amp;" "&amp;YEAR(D43)</f>
        <v>Q3 2021</v>
      </c>
      <c r="F43" s="469">
        <v>-0.75</v>
      </c>
    </row>
    <row r="44" spans="3:6" x14ac:dyDescent="0.25">
      <c r="C44" s="467" t="s">
        <v>1</v>
      </c>
      <c r="D44" s="468">
        <v>44400</v>
      </c>
      <c r="E44" s="494" t="str">
        <f>"Q"&amp;ROUNDUP(MONTH(D44)/3,0)&amp;" "&amp;YEAR(D44)</f>
        <v>Q3 2021</v>
      </c>
      <c r="F44" s="469">
        <v>0.44505899999999998</v>
      </c>
    </row>
    <row r="45" spans="3:6" x14ac:dyDescent="0.25">
      <c r="C45" s="483" t="s">
        <v>186</v>
      </c>
      <c r="D45" s="455">
        <v>44442</v>
      </c>
      <c r="E45" s="456" t="str">
        <f>"Q"&amp;ROUNDUP(MONTH(D45)/3,0)&amp;" "&amp;YEAR(D45)</f>
        <v>Q3 2021</v>
      </c>
      <c r="F45" s="457">
        <v>-0.23965473139999999</v>
      </c>
    </row>
    <row r="46" spans="3:6" x14ac:dyDescent="0.25">
      <c r="C46" s="473" t="s">
        <v>15</v>
      </c>
      <c r="D46" s="474">
        <v>44483</v>
      </c>
      <c r="E46" s="495" t="str">
        <f>"Q"&amp;ROUNDUP(MONTH(D46)/3,0)&amp;" "&amp;YEAR(D46)</f>
        <v>Q4 2021</v>
      </c>
      <c r="F46" s="475">
        <v>-7.5671379999999999</v>
      </c>
    </row>
    <row r="47" spans="3:6" x14ac:dyDescent="0.25">
      <c r="C47" s="451" t="s">
        <v>52</v>
      </c>
      <c r="D47" s="452">
        <v>44488</v>
      </c>
      <c r="E47" s="452" t="str">
        <f>"Q"&amp;ROUNDUP(MONTH(D47)/3,0)&amp;" "&amp;YEAR(D47)</f>
        <v>Q4 2021</v>
      </c>
      <c r="F47" s="453">
        <v>-39.999983359999995</v>
      </c>
    </row>
    <row r="48" spans="3:6" x14ac:dyDescent="0.25">
      <c r="C48" s="464" t="s">
        <v>53</v>
      </c>
      <c r="D48" s="465">
        <v>44494</v>
      </c>
      <c r="E48" s="465" t="str">
        <f>"Q"&amp;ROUNDUP(MONTH(D48)/3,0)&amp;" "&amp;YEAR(D48)</f>
        <v>Q4 2021</v>
      </c>
      <c r="F48" s="466">
        <v>-3</v>
      </c>
    </row>
    <row r="49" spans="3:6" x14ac:dyDescent="0.25">
      <c r="C49" s="467" t="s">
        <v>263</v>
      </c>
      <c r="D49" s="468">
        <v>44540</v>
      </c>
      <c r="E49" s="494" t="str">
        <f>"Q"&amp;ROUNDUP(MONTH(D49)/3,0)&amp;" "&amp;YEAR(D49)</f>
        <v>Q4 2021</v>
      </c>
      <c r="F49" s="469">
        <v>-2.8053124999999999</v>
      </c>
    </row>
    <row r="50" spans="3:6" x14ac:dyDescent="0.25">
      <c r="C50" s="451" t="s">
        <v>54</v>
      </c>
      <c r="D50" s="452">
        <v>44550</v>
      </c>
      <c r="E50" s="452" t="str">
        <f>"Q"&amp;ROUNDUP(MONTH(D50)/3,0)&amp;" "&amp;YEAR(D50)</f>
        <v>Q4 2021</v>
      </c>
      <c r="F50" s="453">
        <v>-5.0237201984774336</v>
      </c>
    </row>
    <row r="51" spans="3:6" x14ac:dyDescent="0.25">
      <c r="C51" s="476" t="s">
        <v>15</v>
      </c>
      <c r="D51" s="477">
        <v>44554</v>
      </c>
      <c r="E51" s="496" t="str">
        <f>"Q"&amp;ROUNDUP(MONTH(D51)/3,0)&amp;" "&amp;YEAR(D51)</f>
        <v>Q4 2021</v>
      </c>
      <c r="F51" s="479">
        <v>-7.3850159999999994</v>
      </c>
    </row>
    <row r="52" spans="3:6" x14ac:dyDescent="0.25">
      <c r="C52" s="476" t="s">
        <v>15</v>
      </c>
      <c r="D52" s="477">
        <v>44554</v>
      </c>
      <c r="E52" s="496" t="str">
        <f>"Q"&amp;ROUNDUP(MONTH(D52)/3,0)&amp;" "&amp;YEAR(D52)</f>
        <v>Q4 2021</v>
      </c>
      <c r="F52" s="479">
        <v>4.0733456099999996</v>
      </c>
    </row>
    <row r="53" spans="3:6" x14ac:dyDescent="0.25">
      <c r="C53" s="476" t="s">
        <v>15</v>
      </c>
      <c r="D53" s="477">
        <v>44554</v>
      </c>
      <c r="E53" s="496" t="str">
        <f>"Q"&amp;ROUNDUP(MONTH(D53)/3,0)&amp;" "&amp;YEAR(D53)</f>
        <v>Q4 2021</v>
      </c>
      <c r="F53" s="479">
        <v>0.13969399999999998</v>
      </c>
    </row>
    <row r="54" spans="3:6" x14ac:dyDescent="0.25">
      <c r="C54" s="480" t="s">
        <v>1</v>
      </c>
      <c r="D54" s="481">
        <v>44554</v>
      </c>
      <c r="E54" s="497" t="str">
        <f>"Q"&amp;ROUNDUP(MONTH(D54)/3,0)&amp;" "&amp;YEAR(D54)</f>
        <v>Q4 2021</v>
      </c>
      <c r="F54" s="482">
        <v>1.7823899999999999</v>
      </c>
    </row>
    <row r="55" spans="3:6" x14ac:dyDescent="0.25">
      <c r="C55" s="448" t="s">
        <v>120</v>
      </c>
      <c r="D55" s="449">
        <v>44574</v>
      </c>
      <c r="E55" s="449" t="str">
        <f>"Q"&amp;ROUNDUP(MONTH(D55)/3,0)&amp;" "&amp;YEAR(D55)</f>
        <v>Q1 2022</v>
      </c>
      <c r="F55" s="450">
        <v>-493.50095619999996</v>
      </c>
    </row>
    <row r="56" spans="3:6" x14ac:dyDescent="0.25">
      <c r="C56" s="467" t="s">
        <v>263</v>
      </c>
      <c r="D56" s="468">
        <v>44602</v>
      </c>
      <c r="E56" s="494" t="str">
        <f>"Q"&amp;ROUNDUP(MONTH(D56)/3,0)&amp;" "&amp;YEAR(D56)</f>
        <v>Q1 2022</v>
      </c>
      <c r="F56" s="469">
        <v>-3.4074999999999998</v>
      </c>
    </row>
    <row r="57" spans="3:6" x14ac:dyDescent="0.25">
      <c r="C57" s="476" t="s">
        <v>186</v>
      </c>
      <c r="D57" s="477">
        <v>44623</v>
      </c>
      <c r="E57" s="496" t="str">
        <f>"Q"&amp;ROUNDUP(MONTH(D57)/3,0)&amp;" "&amp;YEAR(D57)</f>
        <v>Q1 2022</v>
      </c>
      <c r="F57" s="479">
        <v>-0.25893584940000003</v>
      </c>
    </row>
    <row r="58" spans="3:6" x14ac:dyDescent="0.25">
      <c r="C58" s="461" t="s">
        <v>25</v>
      </c>
      <c r="D58" s="462">
        <v>44643</v>
      </c>
      <c r="E58" s="462" t="str">
        <f>"Q"&amp;ROUNDUP(MONTH(D58)/3,0)&amp;" "&amp;YEAR(D58)</f>
        <v>Q1 2022</v>
      </c>
      <c r="F58" s="463">
        <v>-200</v>
      </c>
    </row>
    <row r="59" spans="3:6" x14ac:dyDescent="0.25">
      <c r="C59" s="458" t="s">
        <v>1</v>
      </c>
      <c r="D59" s="459">
        <v>44676</v>
      </c>
      <c r="E59" s="493" t="str">
        <f>"Q"&amp;ROUNDUP(MONTH(D59)/3,0)&amp;" "&amp;YEAR(D59)</f>
        <v>Q2 2022</v>
      </c>
      <c r="F59" s="460">
        <v>-21</v>
      </c>
    </row>
    <row r="60" spans="3:6" x14ac:dyDescent="0.25">
      <c r="C60" s="451" t="s">
        <v>25</v>
      </c>
      <c r="D60" s="452">
        <v>44680</v>
      </c>
      <c r="E60" s="452" t="str">
        <f>"Q"&amp;ROUNDUP(MONTH(D60)/3,0)&amp;" "&amp;YEAR(D60)</f>
        <v>Q2 2022</v>
      </c>
      <c r="F60" s="453">
        <v>-100</v>
      </c>
    </row>
    <row r="61" spans="3:6" x14ac:dyDescent="0.25">
      <c r="C61" s="467" t="s">
        <v>263</v>
      </c>
      <c r="D61" s="468">
        <v>44683</v>
      </c>
      <c r="E61" s="494" t="str">
        <f>"Q"&amp;ROUNDUP(MONTH(D61)/3,0)&amp;" "&amp;YEAR(D61)</f>
        <v>Q2 2022</v>
      </c>
      <c r="F61" s="469">
        <v>-1.0257749999999999</v>
      </c>
    </row>
    <row r="62" spans="3:6" x14ac:dyDescent="0.25">
      <c r="C62" s="464" t="s">
        <v>51</v>
      </c>
      <c r="D62" s="465">
        <v>44691</v>
      </c>
      <c r="E62" s="465" t="str">
        <f>"Q"&amp;ROUNDUP(MONTH(D62)/3,0)&amp;" "&amp;YEAR(D62)</f>
        <v>Q2 2022</v>
      </c>
      <c r="F62" s="466">
        <v>5</v>
      </c>
    </row>
    <row r="63" spans="3:6" x14ac:dyDescent="0.25">
      <c r="C63" s="476" t="s">
        <v>15</v>
      </c>
      <c r="D63" s="477">
        <v>44703</v>
      </c>
      <c r="E63" s="496" t="str">
        <f>"Q"&amp;ROUNDUP(MONTH(D63)/3,0)&amp;" "&amp;YEAR(D63)</f>
        <v>Q2 2022</v>
      </c>
      <c r="F63" s="479">
        <v>5.6730739999999997</v>
      </c>
    </row>
    <row r="64" spans="3:6" x14ac:dyDescent="0.25">
      <c r="C64" s="476" t="s">
        <v>15</v>
      </c>
      <c r="D64" s="477">
        <v>44703</v>
      </c>
      <c r="E64" s="496" t="str">
        <f>"Q"&amp;ROUNDUP(MONTH(D64)/3,0)&amp;" "&amp;YEAR(D64)</f>
        <v>Q2 2022</v>
      </c>
      <c r="F64" s="479">
        <v>0.22778599999999999</v>
      </c>
    </row>
    <row r="65" spans="3:6" x14ac:dyDescent="0.25">
      <c r="C65" s="467" t="s">
        <v>263</v>
      </c>
      <c r="D65" s="468">
        <v>44707</v>
      </c>
      <c r="E65" s="494" t="str">
        <f>"Q"&amp;ROUNDUP(MONTH(D65)/3,0)&amp;" "&amp;YEAR(D65)</f>
        <v>Q2 2022</v>
      </c>
      <c r="F65" s="469">
        <v>-3.3882749999999997</v>
      </c>
    </row>
    <row r="66" spans="3:6" x14ac:dyDescent="0.25">
      <c r="C66" s="470" t="s">
        <v>143</v>
      </c>
      <c r="D66" s="471">
        <v>44712</v>
      </c>
      <c r="E66" s="471" t="str">
        <f>"Q"&amp;ROUNDUP(MONTH(D66)/3,0)&amp;" "&amp;YEAR(D66)</f>
        <v>Q2 2022</v>
      </c>
      <c r="F66" s="472">
        <v>-12.5</v>
      </c>
    </row>
    <row r="67" spans="3:6" x14ac:dyDescent="0.25">
      <c r="C67" s="484" t="s">
        <v>46</v>
      </c>
      <c r="D67" s="485">
        <v>44769</v>
      </c>
      <c r="E67" s="485" t="str">
        <f>"Q"&amp;ROUNDUP(MONTH(D67)/3,0)&amp;" "&amp;YEAR(D67)</f>
        <v>Q3 2022</v>
      </c>
      <c r="F67" s="486">
        <v>-800</v>
      </c>
    </row>
    <row r="68" spans="3:6" x14ac:dyDescent="0.25">
      <c r="C68" s="483" t="s">
        <v>186</v>
      </c>
      <c r="D68" s="455">
        <v>44784</v>
      </c>
      <c r="E68" s="456" t="str">
        <f>"Q"&amp;ROUNDUP(MONTH(D68)/3,0)&amp;" "&amp;YEAR(D68)</f>
        <v>Q3 2022</v>
      </c>
      <c r="F68" s="457">
        <v>1.5224656599999999E-2</v>
      </c>
    </row>
  </sheetData>
  <sortState ref="C3:F68">
    <sortCondition ref="D3:D68"/>
  </sortState>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F96AA-80A9-4140-9FE3-6B94C8495225}">
  <sheetPr>
    <tabColor theme="4" tint="-0.499984740745262"/>
  </sheetPr>
  <dimension ref="B2:R53"/>
  <sheetViews>
    <sheetView workbookViewId="0">
      <selection activeCell="N5" sqref="N5"/>
    </sheetView>
  </sheetViews>
  <sheetFormatPr defaultRowHeight="12.75" x14ac:dyDescent="0.2"/>
  <cols>
    <col min="1" max="1" width="9.140625" style="138"/>
    <col min="2" max="2" width="22.28515625" style="138" bestFit="1" customWidth="1"/>
    <col min="3" max="3" width="9" style="151" customWidth="1"/>
    <col min="4" max="4" width="9.5703125" style="151" customWidth="1"/>
    <col min="5" max="5" width="22.7109375" style="151" customWidth="1"/>
    <col min="6" max="6" width="21.42578125" style="151" customWidth="1"/>
    <col min="7" max="8" width="16.42578125" style="138" customWidth="1"/>
    <col min="9" max="10" width="14" style="138" customWidth="1"/>
    <col min="11" max="12" width="9.140625" style="138"/>
    <col min="13" max="13" width="19" style="396" customWidth="1"/>
    <col min="14" max="17" width="16.140625" style="138" customWidth="1"/>
    <col min="18" max="16384" width="9.140625" style="138"/>
  </cols>
  <sheetData>
    <row r="2" spans="2:18" ht="15" x14ac:dyDescent="0.25">
      <c r="M2" s="79"/>
    </row>
    <row r="3" spans="2:18" s="385" customFormat="1" ht="29.25" customHeight="1" x14ac:dyDescent="0.25">
      <c r="B3" s="394" t="s">
        <v>6</v>
      </c>
      <c r="C3" s="395" t="s">
        <v>58</v>
      </c>
      <c r="D3" s="395" t="s">
        <v>247</v>
      </c>
      <c r="E3" s="395" t="s">
        <v>226</v>
      </c>
      <c r="F3" s="395" t="s">
        <v>131</v>
      </c>
      <c r="G3" s="395" t="s">
        <v>43</v>
      </c>
      <c r="H3" s="395" t="s">
        <v>2</v>
      </c>
      <c r="I3" s="395" t="s">
        <v>62</v>
      </c>
      <c r="J3" s="395" t="s">
        <v>44</v>
      </c>
      <c r="K3" s="395" t="s">
        <v>38</v>
      </c>
      <c r="M3" s="79"/>
      <c r="N3" s="138"/>
      <c r="O3" s="138"/>
      <c r="P3" s="138"/>
      <c r="Q3" s="138"/>
      <c r="R3" s="138"/>
    </row>
    <row r="4" spans="2:18" ht="15" x14ac:dyDescent="0.25">
      <c r="B4" s="117" t="s">
        <v>59</v>
      </c>
      <c r="C4" s="116">
        <v>2019</v>
      </c>
      <c r="D4" s="116" t="s">
        <v>246</v>
      </c>
      <c r="E4" s="116" t="s">
        <v>346</v>
      </c>
      <c r="F4" s="116" t="s">
        <v>336</v>
      </c>
      <c r="G4" s="393">
        <v>65</v>
      </c>
      <c r="H4" s="393">
        <v>65</v>
      </c>
      <c r="I4" s="393">
        <v>0</v>
      </c>
      <c r="J4" s="393">
        <v>0</v>
      </c>
      <c r="K4" s="393">
        <v>0</v>
      </c>
      <c r="M4" s="79"/>
    </row>
    <row r="5" spans="2:18" x14ac:dyDescent="0.2">
      <c r="B5" s="117" t="s">
        <v>0</v>
      </c>
      <c r="C5" s="116">
        <v>2019</v>
      </c>
      <c r="D5" s="116" t="s">
        <v>246</v>
      </c>
      <c r="E5" s="116" t="s">
        <v>340</v>
      </c>
      <c r="F5" s="116" t="s">
        <v>336</v>
      </c>
      <c r="G5" s="393">
        <v>8</v>
      </c>
      <c r="H5" s="393">
        <v>8</v>
      </c>
      <c r="I5" s="393">
        <v>0</v>
      </c>
      <c r="J5" s="393">
        <v>0</v>
      </c>
      <c r="K5" s="393">
        <v>3.1</v>
      </c>
      <c r="M5" s="116" t="s">
        <v>336</v>
      </c>
      <c r="N5" s="138">
        <f ca="1">SUMIF(F3:K26,$M$5,G3:G26)</f>
        <v>2578.8539820000001</v>
      </c>
    </row>
    <row r="6" spans="2:18" ht="15" x14ac:dyDescent="0.25">
      <c r="B6" s="117" t="s">
        <v>50</v>
      </c>
      <c r="C6" s="116">
        <v>2019</v>
      </c>
      <c r="D6" s="116" t="s">
        <v>246</v>
      </c>
      <c r="E6" s="116" t="s">
        <v>352</v>
      </c>
      <c r="F6" s="116" t="s">
        <v>334</v>
      </c>
      <c r="G6" s="393">
        <v>10</v>
      </c>
      <c r="H6" s="393">
        <v>10</v>
      </c>
      <c r="I6" s="393">
        <v>0</v>
      </c>
      <c r="J6" s="393">
        <v>0</v>
      </c>
      <c r="K6" s="393">
        <v>78.082229999999996</v>
      </c>
      <c r="M6" s="79"/>
    </row>
    <row r="7" spans="2:18" ht="15" x14ac:dyDescent="0.25">
      <c r="B7" s="117" t="s">
        <v>51</v>
      </c>
      <c r="C7" s="116">
        <v>2020</v>
      </c>
      <c r="D7" s="116" t="s">
        <v>246</v>
      </c>
      <c r="E7" s="116" t="s">
        <v>341</v>
      </c>
      <c r="F7" s="116" t="s">
        <v>338</v>
      </c>
      <c r="G7" s="393">
        <v>2.5</v>
      </c>
      <c r="H7" s="393">
        <v>2.5</v>
      </c>
      <c r="I7" s="393">
        <v>0</v>
      </c>
      <c r="J7" s="393">
        <v>5</v>
      </c>
      <c r="K7" s="393">
        <v>0</v>
      </c>
      <c r="M7" s="79"/>
    </row>
    <row r="8" spans="2:18" ht="15" x14ac:dyDescent="0.25">
      <c r="B8" s="117" t="s">
        <v>49</v>
      </c>
      <c r="C8" s="116">
        <v>2020</v>
      </c>
      <c r="D8" s="116" t="s">
        <v>246</v>
      </c>
      <c r="E8" s="116" t="s">
        <v>347</v>
      </c>
      <c r="F8" s="116" t="s">
        <v>334</v>
      </c>
      <c r="G8" s="393">
        <v>90</v>
      </c>
      <c r="H8" s="393">
        <v>90</v>
      </c>
      <c r="I8" s="393">
        <v>0</v>
      </c>
      <c r="J8" s="393">
        <v>0</v>
      </c>
      <c r="K8" s="393">
        <v>91.001540300000002</v>
      </c>
      <c r="M8" s="79"/>
    </row>
    <row r="9" spans="2:18" ht="15" x14ac:dyDescent="0.25">
      <c r="B9" s="117" t="s">
        <v>142</v>
      </c>
      <c r="C9" s="116">
        <v>2020</v>
      </c>
      <c r="D9" s="116" t="s">
        <v>246</v>
      </c>
      <c r="E9" s="116" t="s">
        <v>350</v>
      </c>
      <c r="F9" s="116" t="s">
        <v>339</v>
      </c>
      <c r="G9" s="393">
        <v>141.4702596743665</v>
      </c>
      <c r="H9" s="393">
        <v>141.4702596743665</v>
      </c>
      <c r="I9" s="393">
        <v>0</v>
      </c>
      <c r="J9" s="393">
        <v>0</v>
      </c>
      <c r="K9" s="393">
        <v>149.58080812799997</v>
      </c>
      <c r="M9" s="79"/>
    </row>
    <row r="10" spans="2:18" ht="15" x14ac:dyDescent="0.25">
      <c r="B10" s="117" t="s">
        <v>11</v>
      </c>
      <c r="C10" s="116">
        <v>2020</v>
      </c>
      <c r="D10" s="116" t="s">
        <v>246</v>
      </c>
      <c r="E10" s="116" t="s">
        <v>342</v>
      </c>
      <c r="F10" s="116" t="s">
        <v>336</v>
      </c>
      <c r="G10" s="393">
        <v>60</v>
      </c>
      <c r="H10" s="393">
        <v>60</v>
      </c>
      <c r="I10" s="393">
        <v>0</v>
      </c>
      <c r="J10" s="393">
        <v>0</v>
      </c>
      <c r="K10" s="393">
        <v>136.63999999999999</v>
      </c>
      <c r="M10" s="79"/>
    </row>
    <row r="11" spans="2:18" ht="15" x14ac:dyDescent="0.25">
      <c r="B11" s="117" t="s">
        <v>24</v>
      </c>
      <c r="C11" s="116">
        <v>2021</v>
      </c>
      <c r="D11" s="116" t="s">
        <v>246</v>
      </c>
      <c r="E11" s="116" t="s">
        <v>343</v>
      </c>
      <c r="F11" s="116" t="s">
        <v>338</v>
      </c>
      <c r="G11" s="393">
        <v>20</v>
      </c>
      <c r="H11" s="393">
        <v>20</v>
      </c>
      <c r="I11" s="393">
        <v>0</v>
      </c>
      <c r="J11" s="393">
        <v>0</v>
      </c>
      <c r="K11" s="393">
        <v>20</v>
      </c>
      <c r="M11" s="79"/>
    </row>
    <row r="12" spans="2:18" ht="15" x14ac:dyDescent="0.25">
      <c r="B12" s="117" t="s">
        <v>52</v>
      </c>
      <c r="C12" s="116">
        <v>2021</v>
      </c>
      <c r="D12" s="116" t="s">
        <v>246</v>
      </c>
      <c r="E12" s="116" t="s">
        <v>344</v>
      </c>
      <c r="F12" s="116" t="s">
        <v>334</v>
      </c>
      <c r="G12" s="393">
        <v>40</v>
      </c>
      <c r="H12" s="393">
        <v>40</v>
      </c>
      <c r="I12" s="393">
        <v>0</v>
      </c>
      <c r="J12" s="393">
        <v>0</v>
      </c>
      <c r="K12" s="393">
        <v>39.999983359999995</v>
      </c>
      <c r="M12" s="79"/>
    </row>
    <row r="13" spans="2:18" ht="15" x14ac:dyDescent="0.25">
      <c r="B13" s="117" t="s">
        <v>53</v>
      </c>
      <c r="C13" s="116">
        <v>2021</v>
      </c>
      <c r="D13" s="116" t="s">
        <v>246</v>
      </c>
      <c r="E13" s="116" t="s">
        <v>351</v>
      </c>
      <c r="F13" s="116" t="s">
        <v>334</v>
      </c>
      <c r="G13" s="393">
        <v>3</v>
      </c>
      <c r="H13" s="393">
        <v>3</v>
      </c>
      <c r="I13" s="393">
        <v>0</v>
      </c>
      <c r="J13" s="393">
        <v>0</v>
      </c>
      <c r="K13" s="393">
        <v>3</v>
      </c>
      <c r="M13" s="79"/>
    </row>
    <row r="14" spans="2:18" ht="15" x14ac:dyDescent="0.25">
      <c r="B14" s="117" t="s">
        <v>54</v>
      </c>
      <c r="C14" s="116">
        <v>2021</v>
      </c>
      <c r="D14" s="116" t="s">
        <v>246</v>
      </c>
      <c r="E14" s="116" t="s">
        <v>352</v>
      </c>
      <c r="F14" s="116" t="s">
        <v>339</v>
      </c>
      <c r="G14" s="393">
        <v>5.0278211945578235</v>
      </c>
      <c r="H14" s="393">
        <v>5.0278211945578235</v>
      </c>
      <c r="I14" s="393">
        <v>0</v>
      </c>
      <c r="J14" s="393">
        <v>0</v>
      </c>
      <c r="K14" s="393">
        <v>5.0237201984774336</v>
      </c>
      <c r="M14" s="79"/>
    </row>
    <row r="15" spans="2:18" ht="15" x14ac:dyDescent="0.25">
      <c r="B15" s="117" t="s">
        <v>120</v>
      </c>
      <c r="C15" s="116">
        <v>2022</v>
      </c>
      <c r="D15" s="116" t="s">
        <v>246</v>
      </c>
      <c r="E15" s="116" t="s">
        <v>348</v>
      </c>
      <c r="F15" s="116" t="s">
        <v>336</v>
      </c>
      <c r="G15" s="393">
        <v>493.5</v>
      </c>
      <c r="H15" s="393">
        <v>493.5</v>
      </c>
      <c r="I15" s="393">
        <v>0</v>
      </c>
      <c r="J15" s="393">
        <v>0</v>
      </c>
      <c r="K15" s="393">
        <v>493.5</v>
      </c>
      <c r="M15" s="79"/>
    </row>
    <row r="16" spans="2:18" ht="15" x14ac:dyDescent="0.25">
      <c r="B16" s="117" t="s">
        <v>25</v>
      </c>
      <c r="C16" s="116">
        <v>2022</v>
      </c>
      <c r="D16" s="116" t="s">
        <v>246</v>
      </c>
      <c r="E16" s="116" t="s">
        <v>349</v>
      </c>
      <c r="F16" s="116" t="s">
        <v>337</v>
      </c>
      <c r="G16" s="393">
        <v>300</v>
      </c>
      <c r="H16" s="393">
        <v>300</v>
      </c>
      <c r="I16" s="393">
        <v>0</v>
      </c>
      <c r="J16" s="393">
        <v>0</v>
      </c>
      <c r="K16" s="393">
        <v>300</v>
      </c>
      <c r="M16" s="79"/>
    </row>
    <row r="17" spans="2:13" ht="15" x14ac:dyDescent="0.25">
      <c r="B17" s="117" t="s">
        <v>143</v>
      </c>
      <c r="C17" s="116">
        <v>2022</v>
      </c>
      <c r="D17" s="116" t="s">
        <v>246</v>
      </c>
      <c r="E17" s="116" t="s">
        <v>350</v>
      </c>
      <c r="F17" s="116" t="s">
        <v>334</v>
      </c>
      <c r="G17" s="393">
        <v>25</v>
      </c>
      <c r="H17" s="393">
        <v>12.5</v>
      </c>
      <c r="I17" s="393">
        <v>12.5</v>
      </c>
      <c r="J17" s="393">
        <v>0</v>
      </c>
      <c r="K17" s="393">
        <v>-0.5557849000000008</v>
      </c>
      <c r="M17" s="79"/>
    </row>
    <row r="18" spans="2:13" ht="15" x14ac:dyDescent="0.25">
      <c r="B18" s="117" t="s">
        <v>46</v>
      </c>
      <c r="C18" s="116">
        <v>2022</v>
      </c>
      <c r="D18" s="116" t="s">
        <v>246</v>
      </c>
      <c r="E18" s="116" t="s">
        <v>345</v>
      </c>
      <c r="F18" s="116" t="s">
        <v>336</v>
      </c>
      <c r="G18" s="393">
        <v>1600</v>
      </c>
      <c r="H18" s="393">
        <v>800</v>
      </c>
      <c r="I18" s="393">
        <v>800</v>
      </c>
      <c r="J18" s="393">
        <v>0</v>
      </c>
      <c r="K18" s="393">
        <f>1075.57839098788*0.8</f>
        <v>860.46271279030407</v>
      </c>
      <c r="M18" s="79"/>
    </row>
    <row r="19" spans="2:13" ht="15" x14ac:dyDescent="0.25">
      <c r="B19" s="117" t="s">
        <v>60</v>
      </c>
      <c r="C19" s="116">
        <v>2019</v>
      </c>
      <c r="D19" s="116" t="s">
        <v>55</v>
      </c>
      <c r="E19" s="116" t="s">
        <v>353</v>
      </c>
      <c r="F19" s="116" t="s">
        <v>334</v>
      </c>
      <c r="G19" s="393">
        <v>8</v>
      </c>
      <c r="H19" s="393">
        <v>8</v>
      </c>
      <c r="I19" s="393">
        <v>0</v>
      </c>
      <c r="J19" s="393">
        <v>0</v>
      </c>
      <c r="K19" s="393">
        <v>0</v>
      </c>
      <c r="M19" s="79"/>
    </row>
    <row r="20" spans="2:13" ht="15" x14ac:dyDescent="0.25">
      <c r="B20" s="117" t="s">
        <v>0</v>
      </c>
      <c r="C20" s="116">
        <v>2021</v>
      </c>
      <c r="D20" s="116" t="s">
        <v>55</v>
      </c>
      <c r="E20" s="116" t="s">
        <v>340</v>
      </c>
      <c r="F20" s="116" t="s">
        <v>336</v>
      </c>
      <c r="G20" s="393">
        <v>2.3539819999999998</v>
      </c>
      <c r="H20" s="393">
        <v>2.3539819999999998</v>
      </c>
      <c r="I20" s="393">
        <v>0</v>
      </c>
      <c r="J20" s="393">
        <v>0</v>
      </c>
      <c r="K20" s="393">
        <v>2.3539819999999998</v>
      </c>
      <c r="M20" s="79"/>
    </row>
    <row r="21" spans="2:13" ht="15" x14ac:dyDescent="0.25">
      <c r="B21" s="117" t="s">
        <v>51</v>
      </c>
      <c r="C21" s="116">
        <v>2021</v>
      </c>
      <c r="D21" s="116" t="s">
        <v>55</v>
      </c>
      <c r="E21" s="116" t="s">
        <v>341</v>
      </c>
      <c r="F21" s="116" t="s">
        <v>338</v>
      </c>
      <c r="G21" s="393">
        <v>0.41176499999999999</v>
      </c>
      <c r="H21" s="393">
        <v>0.41176499999999999</v>
      </c>
      <c r="I21" s="393">
        <v>0</v>
      </c>
      <c r="J21" s="393">
        <v>0</v>
      </c>
      <c r="K21" s="393">
        <v>0.45643868219178102</v>
      </c>
      <c r="M21" s="79"/>
    </row>
    <row r="22" spans="2:13" ht="15" x14ac:dyDescent="0.25">
      <c r="B22" s="117" t="s">
        <v>186</v>
      </c>
      <c r="C22" s="116">
        <v>2020</v>
      </c>
      <c r="D22" s="116" t="s">
        <v>65</v>
      </c>
      <c r="E22" s="116" t="s">
        <v>65</v>
      </c>
      <c r="F22" s="116" t="s">
        <v>339</v>
      </c>
      <c r="G22" s="393">
        <v>25.557908058353444</v>
      </c>
      <c r="H22" s="393">
        <v>21.611950741200001</v>
      </c>
      <c r="I22" s="393">
        <v>3.945957317153443</v>
      </c>
      <c r="J22" s="393">
        <v>0</v>
      </c>
      <c r="K22" s="393">
        <v>31.952799285000001</v>
      </c>
      <c r="M22" s="79"/>
    </row>
    <row r="23" spans="2:13" ht="15" x14ac:dyDescent="0.25">
      <c r="B23" s="117" t="s">
        <v>168</v>
      </c>
      <c r="C23" s="116">
        <v>2020</v>
      </c>
      <c r="D23" s="116" t="s">
        <v>65</v>
      </c>
      <c r="E23" s="116" t="s">
        <v>65</v>
      </c>
      <c r="F23" s="116" t="s">
        <v>339</v>
      </c>
      <c r="G23" s="393">
        <v>2.7058823529411762</v>
      </c>
      <c r="H23" s="393">
        <v>2.7058823529411762</v>
      </c>
      <c r="I23" s="393">
        <v>0</v>
      </c>
      <c r="J23" s="393">
        <v>0</v>
      </c>
      <c r="K23" s="393">
        <v>2.7058823529411762</v>
      </c>
      <c r="M23" s="79"/>
    </row>
    <row r="24" spans="2:13" ht="15" x14ac:dyDescent="0.25">
      <c r="B24" s="117" t="s">
        <v>1</v>
      </c>
      <c r="C24" s="116">
        <v>2020</v>
      </c>
      <c r="D24" s="116" t="s">
        <v>65</v>
      </c>
      <c r="E24" s="116" t="s">
        <v>65</v>
      </c>
      <c r="F24" s="116" t="s">
        <v>336</v>
      </c>
      <c r="G24" s="393">
        <v>300</v>
      </c>
      <c r="H24" s="393">
        <v>83.214652999999984</v>
      </c>
      <c r="I24" s="393">
        <v>217.81330800000001</v>
      </c>
      <c r="J24" s="393">
        <v>1.0279609999999999</v>
      </c>
      <c r="K24" s="393">
        <v>79.319999999999993</v>
      </c>
      <c r="M24" s="79"/>
    </row>
    <row r="25" spans="2:13" ht="15" x14ac:dyDescent="0.25">
      <c r="B25" s="117" t="s">
        <v>15</v>
      </c>
      <c r="C25" s="116">
        <v>2020</v>
      </c>
      <c r="D25" s="116" t="s">
        <v>65</v>
      </c>
      <c r="E25" s="116" t="s">
        <v>65</v>
      </c>
      <c r="F25" s="116" t="s">
        <v>336</v>
      </c>
      <c r="G25" s="393">
        <v>50</v>
      </c>
      <c r="H25" s="393">
        <v>16.790246</v>
      </c>
      <c r="I25" s="393">
        <v>33.209754000000004</v>
      </c>
      <c r="J25" s="393">
        <v>0.44382834999999998</v>
      </c>
      <c r="K25" s="393">
        <v>15.875237</v>
      </c>
      <c r="M25" s="79"/>
    </row>
    <row r="26" spans="2:13" ht="15" x14ac:dyDescent="0.25">
      <c r="B26" s="117" t="s">
        <v>263</v>
      </c>
      <c r="C26" s="116">
        <v>2021</v>
      </c>
      <c r="D26" s="116" t="s">
        <v>65</v>
      </c>
      <c r="E26" s="116" t="s">
        <v>65</v>
      </c>
      <c r="F26" s="116" t="s">
        <v>334</v>
      </c>
      <c r="G26" s="393">
        <v>17.112500000000001</v>
      </c>
      <c r="H26" s="393">
        <v>10.6268625</v>
      </c>
      <c r="I26" s="393">
        <v>6.4856375000000011</v>
      </c>
      <c r="J26" s="393">
        <v>0</v>
      </c>
      <c r="K26" s="393">
        <v>10.343446999999999</v>
      </c>
      <c r="M26" s="79"/>
    </row>
    <row r="27" spans="2:13" ht="15" x14ac:dyDescent="0.25">
      <c r="G27" s="392"/>
      <c r="H27" s="392"/>
      <c r="I27" s="392"/>
      <c r="J27" s="392"/>
      <c r="M27" s="79"/>
    </row>
    <row r="28" spans="2:13" ht="15" x14ac:dyDescent="0.25">
      <c r="G28" s="397">
        <f>SUM(G4:G26)</f>
        <v>3269.6401182802188</v>
      </c>
      <c r="H28" s="397">
        <f>SUM(H4:H26)</f>
        <v>2196.7134224630649</v>
      </c>
      <c r="I28" s="397">
        <f>SUM(I4:I26)</f>
        <v>1073.9546568171534</v>
      </c>
      <c r="J28" s="397">
        <f t="shared" ref="J28:K28" si="0">SUM(J4:J26)</f>
        <v>6.4717893499999999</v>
      </c>
      <c r="K28" s="397">
        <f t="shared" si="0"/>
        <v>2322.842996196915</v>
      </c>
      <c r="M28" s="79"/>
    </row>
    <row r="29" spans="2:13" ht="15" x14ac:dyDescent="0.25">
      <c r="M29" s="79"/>
    </row>
    <row r="30" spans="2:13" ht="15" x14ac:dyDescent="0.25">
      <c r="M30" s="79"/>
    </row>
    <row r="31" spans="2:13" ht="15" x14ac:dyDescent="0.25">
      <c r="M31" s="79"/>
    </row>
    <row r="32" spans="2:13" ht="15" x14ac:dyDescent="0.25">
      <c r="M32" s="79"/>
    </row>
    <row r="33" spans="13:13" ht="15" x14ac:dyDescent="0.25">
      <c r="M33" s="79"/>
    </row>
    <row r="34" spans="13:13" ht="15" x14ac:dyDescent="0.25">
      <c r="M34" s="79"/>
    </row>
    <row r="35" spans="13:13" ht="15" x14ac:dyDescent="0.25">
      <c r="M35" s="79"/>
    </row>
    <row r="36" spans="13:13" ht="15" x14ac:dyDescent="0.25">
      <c r="M36" s="79"/>
    </row>
    <row r="37" spans="13:13" ht="15" x14ac:dyDescent="0.25">
      <c r="M37" s="79"/>
    </row>
    <row r="38" spans="13:13" ht="15" x14ac:dyDescent="0.25">
      <c r="M38" s="79"/>
    </row>
    <row r="39" spans="13:13" ht="15" x14ac:dyDescent="0.25">
      <c r="M39" s="79"/>
    </row>
    <row r="40" spans="13:13" ht="15" x14ac:dyDescent="0.25">
      <c r="M40" s="79"/>
    </row>
    <row r="41" spans="13:13" ht="15" x14ac:dyDescent="0.25">
      <c r="M41" s="79"/>
    </row>
    <row r="42" spans="13:13" ht="15" x14ac:dyDescent="0.25">
      <c r="M42" s="79"/>
    </row>
    <row r="43" spans="13:13" ht="15" x14ac:dyDescent="0.25">
      <c r="M43" s="79"/>
    </row>
    <row r="44" spans="13:13" ht="15" x14ac:dyDescent="0.25">
      <c r="M44" s="79"/>
    </row>
    <row r="45" spans="13:13" ht="15" x14ac:dyDescent="0.25">
      <c r="M45" s="79"/>
    </row>
    <row r="46" spans="13:13" ht="15" x14ac:dyDescent="0.25">
      <c r="M46" s="79"/>
    </row>
    <row r="47" spans="13:13" ht="15" x14ac:dyDescent="0.25">
      <c r="M47" s="79"/>
    </row>
    <row r="48" spans="13:13" ht="15" x14ac:dyDescent="0.25">
      <c r="M48" s="79"/>
    </row>
    <row r="49" spans="13:13" ht="15" x14ac:dyDescent="0.25">
      <c r="M49" s="79"/>
    </row>
    <row r="50" spans="13:13" ht="15" x14ac:dyDescent="0.25">
      <c r="M50" s="79"/>
    </row>
    <row r="51" spans="13:13" ht="15" x14ac:dyDescent="0.25">
      <c r="M51" s="79"/>
    </row>
    <row r="52" spans="13:13" ht="15" x14ac:dyDescent="0.25">
      <c r="M52" s="79"/>
    </row>
    <row r="53" spans="13:13" ht="15" x14ac:dyDescent="0.25">
      <c r="M53" s="79"/>
    </row>
  </sheetData>
  <pageMargins left="0.7" right="0.7" top="0.75" bottom="0.75" header="0.3" footer="0.3"/>
  <pageSetup paperSize="9"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0A821-1F81-492C-95B8-3FF280FE01C0}">
  <sheetPr>
    <tabColor theme="4" tint="0.39997558519241921"/>
  </sheetPr>
  <dimension ref="B2:S71"/>
  <sheetViews>
    <sheetView zoomScale="90" zoomScaleNormal="90" workbookViewId="0">
      <selection activeCell="E6" sqref="E6"/>
    </sheetView>
  </sheetViews>
  <sheetFormatPr defaultRowHeight="12" x14ac:dyDescent="0.2"/>
  <cols>
    <col min="1" max="1" width="9.140625" style="83"/>
    <col min="2" max="2" width="29.42578125" style="83" customWidth="1"/>
    <col min="3" max="3" width="12.5703125" style="88" customWidth="1"/>
    <col min="4" max="7" width="12.5703125" style="83" customWidth="1"/>
    <col min="8" max="8" width="9.140625" style="83"/>
    <col min="9" max="9" width="12" style="83" customWidth="1"/>
    <col min="10" max="10" width="12.7109375" style="83" customWidth="1"/>
    <col min="11" max="11" width="11.28515625" style="83" customWidth="1"/>
    <col min="12" max="12" width="12.28515625" style="83" bestFit="1" customWidth="1"/>
    <col min="13" max="14" width="11.7109375" style="83" customWidth="1"/>
    <col min="15" max="18" width="12.140625" style="83" customWidth="1"/>
    <col min="19" max="16384" width="9.140625" style="83"/>
  </cols>
  <sheetData>
    <row r="2" spans="2:19" s="166" customFormat="1" ht="43.5" customHeight="1" x14ac:dyDescent="0.45">
      <c r="B2" s="352" t="s">
        <v>312</v>
      </c>
      <c r="C2" s="353"/>
      <c r="D2" s="353"/>
      <c r="E2" s="353"/>
      <c r="F2" s="361"/>
      <c r="G2" s="361"/>
      <c r="H2" s="361"/>
      <c r="I2" s="361"/>
      <c r="J2" s="354"/>
      <c r="K2" s="355"/>
      <c r="L2" s="354"/>
    </row>
    <row r="5" spans="2:19" x14ac:dyDescent="0.2">
      <c r="B5" s="95" t="s">
        <v>6</v>
      </c>
      <c r="C5" s="97" t="s">
        <v>247</v>
      </c>
      <c r="D5" s="96" t="s">
        <v>7</v>
      </c>
      <c r="E5" s="96" t="s">
        <v>277</v>
      </c>
      <c r="F5" s="96" t="s">
        <v>151</v>
      </c>
      <c r="G5" s="96" t="s">
        <v>260</v>
      </c>
      <c r="I5" s="317" t="s">
        <v>151</v>
      </c>
      <c r="J5" s="318" t="s">
        <v>246</v>
      </c>
      <c r="K5" s="318" t="s">
        <v>55</v>
      </c>
      <c r="L5" s="318" t="s">
        <v>65</v>
      </c>
      <c r="M5" s="318" t="s">
        <v>79</v>
      </c>
      <c r="O5" s="317" t="s">
        <v>260</v>
      </c>
      <c r="P5" s="318" t="s">
        <v>246</v>
      </c>
      <c r="Q5" s="318" t="s">
        <v>55</v>
      </c>
      <c r="R5" s="318" t="s">
        <v>65</v>
      </c>
      <c r="S5" s="318" t="s">
        <v>79</v>
      </c>
    </row>
    <row r="6" spans="2:19" x14ac:dyDescent="0.2">
      <c r="B6" s="84" t="s">
        <v>59</v>
      </c>
      <c r="C6" s="89" t="s">
        <v>246</v>
      </c>
      <c r="D6" s="85">
        <v>43470</v>
      </c>
      <c r="E6" s="85" t="str">
        <f>"Q"&amp;ROUNDUP(MONTH(D6)/3,0)&amp;" "&amp;YEAR(D6)</f>
        <v>Q1 2019</v>
      </c>
      <c r="F6" s="93">
        <v>-30</v>
      </c>
      <c r="G6" s="93">
        <v>0</v>
      </c>
      <c r="J6" s="88"/>
      <c r="K6" s="88"/>
      <c r="L6" s="88"/>
      <c r="M6" s="88"/>
      <c r="P6" s="88"/>
      <c r="Q6" s="88"/>
      <c r="R6" s="88"/>
    </row>
    <row r="7" spans="2:19" x14ac:dyDescent="0.2">
      <c r="B7" s="84" t="s">
        <v>59</v>
      </c>
      <c r="C7" s="89" t="s">
        <v>246</v>
      </c>
      <c r="D7" s="85">
        <v>43724</v>
      </c>
      <c r="E7" s="85" t="str">
        <f t="shared" ref="E7:E70" si="0">"Q"&amp;ROUNDUP(MONTH(D7)/3,0)&amp;" "&amp;YEAR(D7)</f>
        <v>Q3 2019</v>
      </c>
      <c r="F7" s="93">
        <v>-20</v>
      </c>
      <c r="G7" s="93">
        <v>0</v>
      </c>
      <c r="I7" s="83" t="s">
        <v>276</v>
      </c>
      <c r="J7" s="311">
        <f t="shared" ref="J7:J21" si="1">-SUMIFS($F$5:$F$103,$C$5:$C$103,$J$5,$E$5:$E$103,I7)</f>
        <v>30</v>
      </c>
      <c r="K7" s="311">
        <f t="shared" ref="K7:K21" si="2">-SUMIFS($F$5:$F$103,$C$5:$C$103,$K$5,$E$5:$E$103,I7)</f>
        <v>0</v>
      </c>
      <c r="L7" s="311">
        <f>-SUMIFS($F$5:$F$103,$C$5:$C$103,"Fund",$E$5:$E$103,I7)</f>
        <v>0</v>
      </c>
      <c r="M7" s="311">
        <f t="shared" ref="M7:M21" ca="1" si="3">-SUMIF($E$5:$G$103,$I7,$F$5:$F$103)</f>
        <v>30</v>
      </c>
      <c r="O7" s="83" t="s">
        <v>276</v>
      </c>
      <c r="P7" s="311">
        <f t="shared" ref="P7:P21" si="4">SUMIFS($G$5:$G$103,$C$5:$C$103,$P$5,$E$5:$E$103,I7)</f>
        <v>0</v>
      </c>
      <c r="Q7" s="311">
        <f t="shared" ref="Q7:Q21" si="5">SUMIFS($G$5:$G$103,$C$5:$C$103,$Q$5,$E$5:$E$103,I7)</f>
        <v>0</v>
      </c>
      <c r="R7" s="311">
        <f t="shared" ref="R7:R21" si="6">SUMIFS($G$5:$G$103,$C$5:$C$103,$R$5,$E$5:$E$103,I7)</f>
        <v>0</v>
      </c>
      <c r="S7" s="311">
        <f t="shared" ref="S7:S21" ca="1" si="7">SUMIF($E$5:$G$103,$I7,$G$5:$G$103)</f>
        <v>0</v>
      </c>
    </row>
    <row r="8" spans="2:19" x14ac:dyDescent="0.2">
      <c r="B8" s="84" t="s">
        <v>59</v>
      </c>
      <c r="C8" s="89" t="s">
        <v>246</v>
      </c>
      <c r="D8" s="85">
        <v>43724</v>
      </c>
      <c r="E8" s="85" t="str">
        <f t="shared" si="0"/>
        <v>Q3 2019</v>
      </c>
      <c r="F8" s="93">
        <v>-15</v>
      </c>
      <c r="G8" s="93">
        <v>0</v>
      </c>
      <c r="I8" s="83" t="s">
        <v>278</v>
      </c>
      <c r="J8" s="311">
        <f t="shared" si="1"/>
        <v>12.99999809</v>
      </c>
      <c r="K8" s="311">
        <f t="shared" si="2"/>
        <v>8</v>
      </c>
      <c r="L8" s="311">
        <f t="shared" ref="L8:L21" si="8">-SUMIFS($F$5:$F$103,$C$5:$C$103,"Fund",$E$5:$E$103,I8)</f>
        <v>0</v>
      </c>
      <c r="M8" s="311">
        <f t="shared" ca="1" si="3"/>
        <v>20.999998089999998</v>
      </c>
      <c r="O8" s="83" t="s">
        <v>278</v>
      </c>
      <c r="P8" s="311">
        <f t="shared" si="4"/>
        <v>0</v>
      </c>
      <c r="Q8" s="311">
        <f t="shared" si="5"/>
        <v>0</v>
      </c>
      <c r="R8" s="311">
        <f t="shared" si="6"/>
        <v>0</v>
      </c>
      <c r="S8" s="311">
        <f t="shared" ca="1" si="7"/>
        <v>0</v>
      </c>
    </row>
    <row r="9" spans="2:19" x14ac:dyDescent="0.2">
      <c r="B9" s="86" t="s">
        <v>0</v>
      </c>
      <c r="C9" s="90" t="s">
        <v>246</v>
      </c>
      <c r="D9" s="87">
        <v>43563</v>
      </c>
      <c r="E9" s="87" t="str">
        <f t="shared" si="0"/>
        <v>Q2 2019</v>
      </c>
      <c r="F9" s="94">
        <v>-8</v>
      </c>
      <c r="G9" s="94">
        <v>0</v>
      </c>
      <c r="I9" s="83" t="s">
        <v>279</v>
      </c>
      <c r="J9" s="311">
        <f t="shared" si="1"/>
        <v>35</v>
      </c>
      <c r="K9" s="311">
        <f t="shared" si="2"/>
        <v>0</v>
      </c>
      <c r="L9" s="311">
        <f t="shared" si="8"/>
        <v>3</v>
      </c>
      <c r="M9" s="311">
        <f t="shared" ca="1" si="3"/>
        <v>38</v>
      </c>
      <c r="O9" s="83" t="s">
        <v>279</v>
      </c>
      <c r="P9" s="311">
        <f t="shared" si="4"/>
        <v>0</v>
      </c>
      <c r="Q9" s="311">
        <f t="shared" si="5"/>
        <v>0</v>
      </c>
      <c r="R9" s="311">
        <f t="shared" si="6"/>
        <v>0</v>
      </c>
      <c r="S9" s="311">
        <f t="shared" ca="1" si="7"/>
        <v>0</v>
      </c>
    </row>
    <row r="10" spans="2:19" x14ac:dyDescent="0.2">
      <c r="B10" s="84" t="s">
        <v>50</v>
      </c>
      <c r="C10" s="89" t="s">
        <v>246</v>
      </c>
      <c r="D10" s="85">
        <v>43570</v>
      </c>
      <c r="E10" s="85" t="str">
        <f t="shared" si="0"/>
        <v>Q2 2019</v>
      </c>
      <c r="F10" s="93">
        <v>-4.9999980900000001</v>
      </c>
      <c r="G10" s="93">
        <v>0</v>
      </c>
      <c r="I10" s="83" t="s">
        <v>280</v>
      </c>
      <c r="J10" s="311">
        <f t="shared" si="1"/>
        <v>0</v>
      </c>
      <c r="K10" s="311">
        <f t="shared" si="2"/>
        <v>0</v>
      </c>
      <c r="L10" s="311">
        <f t="shared" si="8"/>
        <v>0</v>
      </c>
      <c r="M10" s="311">
        <f t="shared" ca="1" si="3"/>
        <v>0</v>
      </c>
      <c r="O10" s="83" t="s">
        <v>280</v>
      </c>
      <c r="P10" s="311">
        <f t="shared" si="4"/>
        <v>0</v>
      </c>
      <c r="Q10" s="311">
        <f t="shared" si="5"/>
        <v>0</v>
      </c>
      <c r="R10" s="311">
        <f t="shared" si="6"/>
        <v>0</v>
      </c>
      <c r="S10" s="311">
        <f t="shared" ca="1" si="7"/>
        <v>0</v>
      </c>
    </row>
    <row r="11" spans="2:19" x14ac:dyDescent="0.2">
      <c r="B11" s="84" t="s">
        <v>50</v>
      </c>
      <c r="C11" s="89" t="s">
        <v>246</v>
      </c>
      <c r="D11" s="85">
        <v>43915</v>
      </c>
      <c r="E11" s="85" t="str">
        <f t="shared" si="0"/>
        <v>Q1 2020</v>
      </c>
      <c r="F11" s="93">
        <v>-5.0000019099999999</v>
      </c>
      <c r="G11" s="93">
        <v>0</v>
      </c>
      <c r="I11" s="83" t="s">
        <v>281</v>
      </c>
      <c r="J11" s="311">
        <f t="shared" si="1"/>
        <v>75.609443209619357</v>
      </c>
      <c r="K11" s="311">
        <f t="shared" si="2"/>
        <v>0</v>
      </c>
      <c r="L11" s="311">
        <f t="shared" si="8"/>
        <v>9.5097500000000004</v>
      </c>
      <c r="M11" s="311">
        <f t="shared" ca="1" si="3"/>
        <v>85.119193209619354</v>
      </c>
      <c r="O11" s="83" t="s">
        <v>281</v>
      </c>
      <c r="P11" s="311">
        <f t="shared" si="4"/>
        <v>0</v>
      </c>
      <c r="Q11" s="311">
        <f t="shared" si="5"/>
        <v>0</v>
      </c>
      <c r="R11" s="311">
        <f t="shared" si="6"/>
        <v>0</v>
      </c>
      <c r="S11" s="311">
        <f t="shared" ca="1" si="7"/>
        <v>0</v>
      </c>
    </row>
    <row r="12" spans="2:19" x14ac:dyDescent="0.2">
      <c r="B12" s="86" t="s">
        <v>51</v>
      </c>
      <c r="C12" s="90" t="s">
        <v>246</v>
      </c>
      <c r="D12" s="87">
        <v>43870</v>
      </c>
      <c r="E12" s="87" t="str">
        <f t="shared" si="0"/>
        <v>Q1 2020</v>
      </c>
      <c r="F12" s="94">
        <v>-2.5</v>
      </c>
      <c r="G12" s="94">
        <v>0</v>
      </c>
      <c r="I12" s="83" t="s">
        <v>282</v>
      </c>
      <c r="J12" s="311">
        <f t="shared" si="1"/>
        <v>142.12003795060357</v>
      </c>
      <c r="K12" s="311">
        <f t="shared" si="2"/>
        <v>0</v>
      </c>
      <c r="L12" s="311">
        <f t="shared" si="8"/>
        <v>45.784999999999997</v>
      </c>
      <c r="M12" s="311">
        <f t="shared" ca="1" si="3"/>
        <v>187.90503795060357</v>
      </c>
      <c r="O12" s="83" t="s">
        <v>282</v>
      </c>
      <c r="P12" s="311">
        <f t="shared" si="4"/>
        <v>0</v>
      </c>
      <c r="Q12" s="311">
        <f t="shared" si="5"/>
        <v>0</v>
      </c>
      <c r="R12" s="311">
        <f t="shared" si="6"/>
        <v>0</v>
      </c>
      <c r="S12" s="311">
        <f t="shared" ca="1" si="7"/>
        <v>0</v>
      </c>
    </row>
    <row r="13" spans="2:19" x14ac:dyDescent="0.2">
      <c r="B13" s="84" t="s">
        <v>49</v>
      </c>
      <c r="C13" s="89" t="s">
        <v>246</v>
      </c>
      <c r="D13" s="85">
        <v>43879</v>
      </c>
      <c r="E13" s="85" t="str">
        <f t="shared" si="0"/>
        <v>Q1 2020</v>
      </c>
      <c r="F13" s="93">
        <v>-20</v>
      </c>
      <c r="G13" s="93">
        <v>0</v>
      </c>
      <c r="I13" s="83" t="s">
        <v>283</v>
      </c>
      <c r="J13" s="311">
        <f t="shared" si="1"/>
        <v>10</v>
      </c>
      <c r="K13" s="311">
        <f t="shared" si="2"/>
        <v>0</v>
      </c>
      <c r="L13" s="311">
        <f t="shared" si="8"/>
        <v>23.623435349941179</v>
      </c>
      <c r="M13" s="311">
        <f t="shared" ca="1" si="3"/>
        <v>33.623435349941175</v>
      </c>
      <c r="O13" s="83" t="s">
        <v>283</v>
      </c>
      <c r="P13" s="311">
        <f t="shared" si="4"/>
        <v>0</v>
      </c>
      <c r="Q13" s="311">
        <f t="shared" si="5"/>
        <v>0</v>
      </c>
      <c r="R13" s="311">
        <f t="shared" si="6"/>
        <v>0</v>
      </c>
      <c r="S13" s="311">
        <f t="shared" ca="1" si="7"/>
        <v>0</v>
      </c>
    </row>
    <row r="14" spans="2:19" x14ac:dyDescent="0.2">
      <c r="B14" s="84" t="s">
        <v>49</v>
      </c>
      <c r="C14" s="89" t="s">
        <v>246</v>
      </c>
      <c r="D14" s="85">
        <v>43921</v>
      </c>
      <c r="E14" s="85" t="str">
        <f t="shared" si="0"/>
        <v>Q1 2020</v>
      </c>
      <c r="F14" s="93">
        <v>-30</v>
      </c>
      <c r="G14" s="93">
        <v>0</v>
      </c>
      <c r="I14" s="83" t="s">
        <v>284</v>
      </c>
      <c r="J14" s="311">
        <f t="shared" si="1"/>
        <v>60</v>
      </c>
      <c r="K14" s="311">
        <f t="shared" si="2"/>
        <v>0</v>
      </c>
      <c r="L14" s="311">
        <f t="shared" si="8"/>
        <v>9.4822930000000021</v>
      </c>
      <c r="M14" s="311">
        <f t="shared" ca="1" si="3"/>
        <v>69.482292999999999</v>
      </c>
      <c r="O14" s="83" t="s">
        <v>284</v>
      </c>
      <c r="P14" s="311">
        <f t="shared" si="4"/>
        <v>0</v>
      </c>
      <c r="Q14" s="311">
        <f t="shared" si="5"/>
        <v>0</v>
      </c>
      <c r="R14" s="311">
        <f t="shared" si="6"/>
        <v>0.58290199999999992</v>
      </c>
      <c r="S14" s="311">
        <f t="shared" ca="1" si="7"/>
        <v>0.58290199999999992</v>
      </c>
    </row>
    <row r="15" spans="2:19" x14ac:dyDescent="0.2">
      <c r="B15" s="84" t="s">
        <v>49</v>
      </c>
      <c r="C15" s="89" t="s">
        <v>246</v>
      </c>
      <c r="D15" s="85">
        <v>43989</v>
      </c>
      <c r="E15" s="85" t="str">
        <f t="shared" si="0"/>
        <v>Q2 2020</v>
      </c>
      <c r="F15" s="93">
        <v>-30</v>
      </c>
      <c r="G15" s="93">
        <v>0</v>
      </c>
      <c r="I15" s="83" t="s">
        <v>285</v>
      </c>
      <c r="J15" s="311">
        <f t="shared" si="1"/>
        <v>0</v>
      </c>
      <c r="K15" s="311">
        <f t="shared" si="2"/>
        <v>0</v>
      </c>
      <c r="L15" s="311">
        <f t="shared" si="8"/>
        <v>1.0845116099999996</v>
      </c>
      <c r="M15" s="311">
        <f t="shared" ca="1" si="3"/>
        <v>1.0845116099999996</v>
      </c>
      <c r="O15" s="83" t="s">
        <v>285</v>
      </c>
      <c r="P15" s="311">
        <f t="shared" si="4"/>
        <v>0</v>
      </c>
      <c r="Q15" s="311">
        <f t="shared" si="5"/>
        <v>0</v>
      </c>
      <c r="R15" s="311">
        <f t="shared" si="6"/>
        <v>7.6348349999999995E-2</v>
      </c>
      <c r="S15" s="311">
        <f t="shared" ca="1" si="7"/>
        <v>7.6348349999999995E-2</v>
      </c>
    </row>
    <row r="16" spans="2:19" x14ac:dyDescent="0.2">
      <c r="B16" s="84" t="s">
        <v>49</v>
      </c>
      <c r="C16" s="89" t="s">
        <v>246</v>
      </c>
      <c r="D16" s="85">
        <v>44103</v>
      </c>
      <c r="E16" s="85" t="str">
        <f t="shared" si="0"/>
        <v>Q3 2020</v>
      </c>
      <c r="F16" s="93">
        <v>-10</v>
      </c>
      <c r="G16" s="93">
        <v>0</v>
      </c>
      <c r="I16" s="83" t="s">
        <v>286</v>
      </c>
      <c r="J16" s="311">
        <f t="shared" si="1"/>
        <v>31.240780424143558</v>
      </c>
      <c r="K16" s="311">
        <f t="shared" si="2"/>
        <v>2.3539819999999998</v>
      </c>
      <c r="L16" s="311">
        <f t="shared" si="8"/>
        <v>6.1810318199999994</v>
      </c>
      <c r="M16" s="311">
        <f t="shared" ca="1" si="3"/>
        <v>39.775794244143562</v>
      </c>
      <c r="O16" s="83" t="s">
        <v>286</v>
      </c>
      <c r="P16" s="311">
        <f t="shared" si="4"/>
        <v>0</v>
      </c>
      <c r="Q16" s="311">
        <f t="shared" si="5"/>
        <v>0</v>
      </c>
      <c r="R16" s="311">
        <f t="shared" si="6"/>
        <v>0</v>
      </c>
      <c r="S16" s="311">
        <f t="shared" ca="1" si="7"/>
        <v>0</v>
      </c>
    </row>
    <row r="17" spans="2:19" x14ac:dyDescent="0.2">
      <c r="B17" s="86" t="s">
        <v>142</v>
      </c>
      <c r="C17" s="90" t="s">
        <v>246</v>
      </c>
      <c r="D17" s="87">
        <v>43968</v>
      </c>
      <c r="E17" s="87" t="str">
        <f t="shared" si="0"/>
        <v>Q2 2020</v>
      </c>
      <c r="F17" s="94">
        <v>-50</v>
      </c>
      <c r="G17" s="94">
        <v>0</v>
      </c>
      <c r="I17" s="83" t="s">
        <v>287</v>
      </c>
      <c r="J17" s="311">
        <f t="shared" si="1"/>
        <v>0</v>
      </c>
      <c r="K17" s="311">
        <f t="shared" si="2"/>
        <v>0.41176499999999999</v>
      </c>
      <c r="L17" s="311">
        <f t="shared" si="8"/>
        <v>0.98965473139999993</v>
      </c>
      <c r="M17" s="311">
        <f t="shared" ca="1" si="3"/>
        <v>1.4014197313999999</v>
      </c>
      <c r="O17" s="83" t="s">
        <v>287</v>
      </c>
      <c r="P17" s="311">
        <f t="shared" si="4"/>
        <v>0</v>
      </c>
      <c r="Q17" s="311">
        <f t="shared" si="5"/>
        <v>0</v>
      </c>
      <c r="R17" s="311">
        <f t="shared" si="6"/>
        <v>0.44505899999999998</v>
      </c>
      <c r="S17" s="311">
        <f t="shared" ca="1" si="7"/>
        <v>0.44505899999999998</v>
      </c>
    </row>
    <row r="18" spans="2:19" x14ac:dyDescent="0.2">
      <c r="B18" s="86" t="s">
        <v>142</v>
      </c>
      <c r="C18" s="90" t="s">
        <v>246</v>
      </c>
      <c r="D18" s="87">
        <v>44006</v>
      </c>
      <c r="E18" s="87" t="str">
        <f t="shared" si="0"/>
        <v>Q2 2020</v>
      </c>
      <c r="F18" s="94">
        <v>-27.268350856443721</v>
      </c>
      <c r="G18" s="94">
        <v>0</v>
      </c>
      <c r="I18" s="83" t="s">
        <v>288</v>
      </c>
      <c r="J18" s="311">
        <f t="shared" si="1"/>
        <v>48.023703558477429</v>
      </c>
      <c r="K18" s="311">
        <f t="shared" si="2"/>
        <v>0</v>
      </c>
      <c r="L18" s="311">
        <f t="shared" si="8"/>
        <v>11.90173089</v>
      </c>
      <c r="M18" s="311">
        <f t="shared" ca="1" si="3"/>
        <v>59.925434448477432</v>
      </c>
      <c r="O18" s="83" t="s">
        <v>288</v>
      </c>
      <c r="P18" s="311">
        <f t="shared" si="4"/>
        <v>0</v>
      </c>
      <c r="Q18" s="311">
        <f t="shared" si="5"/>
        <v>0</v>
      </c>
      <c r="R18" s="311">
        <f t="shared" si="6"/>
        <v>0.13969399999999998</v>
      </c>
      <c r="S18" s="311">
        <f t="shared" ca="1" si="7"/>
        <v>0.13969399999999998</v>
      </c>
    </row>
    <row r="19" spans="2:19" x14ac:dyDescent="0.2">
      <c r="B19" s="86" t="s">
        <v>142</v>
      </c>
      <c r="C19" s="90" t="s">
        <v>246</v>
      </c>
      <c r="D19" s="87">
        <v>43837</v>
      </c>
      <c r="E19" s="87" t="str">
        <f t="shared" si="0"/>
        <v>Q1 2020</v>
      </c>
      <c r="F19" s="94">
        <v>-18.109441299619355</v>
      </c>
      <c r="G19" s="94">
        <v>0</v>
      </c>
      <c r="I19" s="83" t="s">
        <v>289</v>
      </c>
      <c r="J19" s="311">
        <f t="shared" si="1"/>
        <v>693.50095620000002</v>
      </c>
      <c r="K19" s="311">
        <f t="shared" si="2"/>
        <v>0</v>
      </c>
      <c r="L19" s="311">
        <f t="shared" si="8"/>
        <v>3.6664358494</v>
      </c>
      <c r="M19" s="311">
        <f t="shared" ca="1" si="3"/>
        <v>697.16739204940006</v>
      </c>
      <c r="O19" s="83" t="s">
        <v>289</v>
      </c>
      <c r="P19" s="311">
        <f t="shared" si="4"/>
        <v>0</v>
      </c>
      <c r="Q19" s="311">
        <f t="shared" si="5"/>
        <v>0</v>
      </c>
      <c r="R19" s="311">
        <f t="shared" si="6"/>
        <v>0</v>
      </c>
      <c r="S19" s="311">
        <f t="shared" ca="1" si="7"/>
        <v>0</v>
      </c>
    </row>
    <row r="20" spans="2:19" x14ac:dyDescent="0.2">
      <c r="B20" s="86" t="s">
        <v>142</v>
      </c>
      <c r="C20" s="90" t="s">
        <v>246</v>
      </c>
      <c r="D20" s="87">
        <v>43990</v>
      </c>
      <c r="E20" s="87" t="str">
        <f t="shared" si="0"/>
        <v>Q2 2020</v>
      </c>
      <c r="F20" s="94">
        <v>-34.851687094159864</v>
      </c>
      <c r="G20" s="94">
        <v>0</v>
      </c>
      <c r="I20" s="83" t="s">
        <v>290</v>
      </c>
      <c r="J20" s="311">
        <f t="shared" si="1"/>
        <v>112.5</v>
      </c>
      <c r="K20" s="311">
        <f t="shared" si="2"/>
        <v>0</v>
      </c>
      <c r="L20" s="311">
        <f t="shared" si="8"/>
        <v>19.740976</v>
      </c>
      <c r="M20" s="311">
        <f t="shared" ca="1" si="3"/>
        <v>132.24097599999999</v>
      </c>
      <c r="O20" s="83" t="s">
        <v>290</v>
      </c>
      <c r="P20" s="311">
        <f t="shared" si="4"/>
        <v>5</v>
      </c>
      <c r="Q20" s="311">
        <f t="shared" si="5"/>
        <v>0</v>
      </c>
      <c r="R20" s="311">
        <f t="shared" si="6"/>
        <v>0.22778599999999999</v>
      </c>
      <c r="S20" s="311">
        <f t="shared" ca="1" si="7"/>
        <v>5.227786</v>
      </c>
    </row>
    <row r="21" spans="2:19" x14ac:dyDescent="0.2">
      <c r="B21" s="86" t="s">
        <v>142</v>
      </c>
      <c r="C21" s="90" t="s">
        <v>246</v>
      </c>
      <c r="D21" s="87">
        <v>44315</v>
      </c>
      <c r="E21" s="87" t="str">
        <f t="shared" si="0"/>
        <v>Q2 2021</v>
      </c>
      <c r="F21" s="94">
        <v>-11.240780424143557</v>
      </c>
      <c r="G21" s="94">
        <v>0</v>
      </c>
      <c r="I21" s="83" t="s">
        <v>291</v>
      </c>
      <c r="J21" s="311">
        <f t="shared" si="1"/>
        <v>800</v>
      </c>
      <c r="K21" s="311">
        <f t="shared" si="2"/>
        <v>0</v>
      </c>
      <c r="L21" s="311">
        <f t="shared" si="8"/>
        <v>-1.5224656599999999E-2</v>
      </c>
      <c r="M21" s="311">
        <f t="shared" ca="1" si="3"/>
        <v>799.98477534339997</v>
      </c>
      <c r="O21" s="83" t="s">
        <v>291</v>
      </c>
      <c r="P21" s="311">
        <f t="shared" si="4"/>
        <v>0</v>
      </c>
      <c r="Q21" s="311">
        <f t="shared" si="5"/>
        <v>0</v>
      </c>
      <c r="R21" s="311">
        <f t="shared" si="6"/>
        <v>0</v>
      </c>
      <c r="S21" s="311">
        <f t="shared" ca="1" si="7"/>
        <v>0</v>
      </c>
    </row>
    <row r="22" spans="2:19" x14ac:dyDescent="0.2">
      <c r="B22" s="84" t="s">
        <v>11</v>
      </c>
      <c r="C22" s="89" t="s">
        <v>246</v>
      </c>
      <c r="D22" s="85">
        <v>44166</v>
      </c>
      <c r="E22" s="85" t="str">
        <f t="shared" si="0"/>
        <v>Q4 2020</v>
      </c>
      <c r="F22" s="93">
        <v>-60</v>
      </c>
      <c r="G22" s="93">
        <v>0</v>
      </c>
      <c r="I22" s="319" t="s">
        <v>79</v>
      </c>
      <c r="J22" s="320">
        <f>SUM(J7:J21)</f>
        <v>2050.9949194328437</v>
      </c>
      <c r="K22" s="320">
        <f>SUM(K7:K21)</f>
        <v>10.765747000000001</v>
      </c>
      <c r="L22" s="320">
        <f>SUM(L7:L21)</f>
        <v>134.94959459414116</v>
      </c>
      <c r="M22" s="320">
        <f ca="1">SUM(M7:M21)</f>
        <v>2196.7102610269853</v>
      </c>
      <c r="O22" s="319" t="s">
        <v>79</v>
      </c>
      <c r="P22" s="320">
        <f>SUM(P7:P21)</f>
        <v>5</v>
      </c>
      <c r="Q22" s="320">
        <f>SUM(Q7:Q21)</f>
        <v>0</v>
      </c>
      <c r="R22" s="320">
        <f>SUM(R7:R21)</f>
        <v>1.4717893499999999</v>
      </c>
      <c r="S22" s="320">
        <f ca="1">SUM(S7:S21)</f>
        <v>6.4717893499999999</v>
      </c>
    </row>
    <row r="23" spans="2:19" x14ac:dyDescent="0.2">
      <c r="B23" s="86" t="s">
        <v>24</v>
      </c>
      <c r="C23" s="90" t="s">
        <v>246</v>
      </c>
      <c r="D23" s="87">
        <v>44363</v>
      </c>
      <c r="E23" s="87" t="str">
        <f t="shared" si="0"/>
        <v>Q2 2021</v>
      </c>
      <c r="F23" s="94">
        <v>-20</v>
      </c>
      <c r="G23" s="94">
        <v>0</v>
      </c>
      <c r="I23" s="88"/>
      <c r="J23" s="88"/>
      <c r="K23" s="88"/>
      <c r="P23" s="88"/>
      <c r="Q23" s="88"/>
      <c r="R23" s="88"/>
    </row>
    <row r="24" spans="2:19" x14ac:dyDescent="0.2">
      <c r="B24" s="84" t="s">
        <v>52</v>
      </c>
      <c r="C24" s="89" t="s">
        <v>246</v>
      </c>
      <c r="D24" s="85">
        <v>44488</v>
      </c>
      <c r="E24" s="85" t="str">
        <f t="shared" si="0"/>
        <v>Q4 2021</v>
      </c>
      <c r="F24" s="93">
        <v>-39.999983359999995</v>
      </c>
      <c r="G24" s="93">
        <v>0</v>
      </c>
      <c r="J24" s="83" t="b">
        <f>J21=0</f>
        <v>0</v>
      </c>
      <c r="K24" s="83" t="b">
        <f>K21=0</f>
        <v>1</v>
      </c>
      <c r="L24" s="83" t="b">
        <f>L21=0</f>
        <v>0</v>
      </c>
      <c r="M24" s="83" t="b">
        <f ca="1">M21=0</f>
        <v>0</v>
      </c>
      <c r="P24" s="83" t="b">
        <f>P21=0</f>
        <v>1</v>
      </c>
      <c r="Q24" s="83" t="b">
        <f>Q21=0</f>
        <v>1</v>
      </c>
      <c r="R24" s="83" t="b">
        <f>R21=0</f>
        <v>1</v>
      </c>
      <c r="S24" s="83" t="b">
        <f ca="1">S21=0</f>
        <v>1</v>
      </c>
    </row>
    <row r="25" spans="2:19" x14ac:dyDescent="0.2">
      <c r="B25" s="86" t="s">
        <v>53</v>
      </c>
      <c r="C25" s="90" t="s">
        <v>246</v>
      </c>
      <c r="D25" s="87">
        <v>44494</v>
      </c>
      <c r="E25" s="87" t="str">
        <f t="shared" si="0"/>
        <v>Q4 2021</v>
      </c>
      <c r="F25" s="94">
        <v>-3</v>
      </c>
      <c r="G25" s="94">
        <v>0</v>
      </c>
    </row>
    <row r="26" spans="2:19" x14ac:dyDescent="0.2">
      <c r="B26" s="84" t="s">
        <v>54</v>
      </c>
      <c r="C26" s="89" t="s">
        <v>246</v>
      </c>
      <c r="D26" s="85">
        <v>44550</v>
      </c>
      <c r="E26" s="85" t="str">
        <f t="shared" si="0"/>
        <v>Q4 2021</v>
      </c>
      <c r="F26" s="93">
        <v>-5.0237201984774336</v>
      </c>
      <c r="G26" s="93">
        <v>0</v>
      </c>
    </row>
    <row r="27" spans="2:19" x14ac:dyDescent="0.2">
      <c r="B27" s="86" t="s">
        <v>120</v>
      </c>
      <c r="C27" s="90" t="s">
        <v>246</v>
      </c>
      <c r="D27" s="87">
        <v>44574</v>
      </c>
      <c r="E27" s="87" t="str">
        <f t="shared" si="0"/>
        <v>Q1 2022</v>
      </c>
      <c r="F27" s="94">
        <v>-493.50095619999996</v>
      </c>
      <c r="G27" s="94">
        <v>0</v>
      </c>
    </row>
    <row r="28" spans="2:19" x14ac:dyDescent="0.2">
      <c r="B28" s="84" t="s">
        <v>25</v>
      </c>
      <c r="C28" s="89" t="s">
        <v>246</v>
      </c>
      <c r="D28" s="85">
        <v>44643</v>
      </c>
      <c r="E28" s="85" t="str">
        <f t="shared" si="0"/>
        <v>Q1 2022</v>
      </c>
      <c r="F28" s="93">
        <v>-200</v>
      </c>
      <c r="G28" s="93">
        <v>0</v>
      </c>
    </row>
    <row r="29" spans="2:19" x14ac:dyDescent="0.2">
      <c r="B29" s="84" t="s">
        <v>25</v>
      </c>
      <c r="C29" s="89" t="s">
        <v>246</v>
      </c>
      <c r="D29" s="85">
        <v>44680</v>
      </c>
      <c r="E29" s="85" t="str">
        <f t="shared" si="0"/>
        <v>Q2 2022</v>
      </c>
      <c r="F29" s="93">
        <v>-100</v>
      </c>
      <c r="G29" s="93">
        <v>0</v>
      </c>
    </row>
    <row r="30" spans="2:19" x14ac:dyDescent="0.2">
      <c r="B30" s="86" t="s">
        <v>51</v>
      </c>
      <c r="C30" s="90" t="s">
        <v>246</v>
      </c>
      <c r="D30" s="87">
        <v>44691</v>
      </c>
      <c r="E30" s="87" t="str">
        <f t="shared" si="0"/>
        <v>Q2 2022</v>
      </c>
      <c r="F30" s="94">
        <v>0</v>
      </c>
      <c r="G30" s="94">
        <v>5</v>
      </c>
    </row>
    <row r="31" spans="2:19" x14ac:dyDescent="0.2">
      <c r="B31" s="86" t="s">
        <v>143</v>
      </c>
      <c r="C31" s="90" t="s">
        <v>246</v>
      </c>
      <c r="D31" s="87">
        <v>44712</v>
      </c>
      <c r="E31" s="87" t="str">
        <f t="shared" si="0"/>
        <v>Q2 2022</v>
      </c>
      <c r="F31" s="94">
        <v>-12.5</v>
      </c>
      <c r="G31" s="94">
        <v>0</v>
      </c>
    </row>
    <row r="32" spans="2:19" x14ac:dyDescent="0.2">
      <c r="B32" s="84" t="s">
        <v>46</v>
      </c>
      <c r="C32" s="89" t="s">
        <v>246</v>
      </c>
      <c r="D32" s="85">
        <v>44769</v>
      </c>
      <c r="E32" s="85" t="str">
        <f t="shared" si="0"/>
        <v>Q3 2022</v>
      </c>
      <c r="F32" s="93">
        <v>-800</v>
      </c>
      <c r="G32" s="93">
        <v>0</v>
      </c>
    </row>
    <row r="33" spans="2:7" x14ac:dyDescent="0.2">
      <c r="B33" s="308" t="s">
        <v>60</v>
      </c>
      <c r="C33" s="309" t="s">
        <v>55</v>
      </c>
      <c r="D33" s="310">
        <v>43635</v>
      </c>
      <c r="E33" s="310" t="str">
        <f t="shared" si="0"/>
        <v>Q2 2019</v>
      </c>
      <c r="F33" s="311">
        <v>-8</v>
      </c>
      <c r="G33" s="311">
        <v>0</v>
      </c>
    </row>
    <row r="34" spans="2:7" x14ac:dyDescent="0.2">
      <c r="B34" s="308" t="s">
        <v>0</v>
      </c>
      <c r="C34" s="309" t="s">
        <v>55</v>
      </c>
      <c r="D34" s="310">
        <v>44293</v>
      </c>
      <c r="E34" s="310" t="str">
        <f t="shared" si="0"/>
        <v>Q2 2021</v>
      </c>
      <c r="F34" s="311">
        <v>-2.3539819999999998</v>
      </c>
      <c r="G34" s="311">
        <v>0</v>
      </c>
    </row>
    <row r="35" spans="2:7" x14ac:dyDescent="0.2">
      <c r="B35" s="308" t="s">
        <v>51</v>
      </c>
      <c r="C35" s="309" t="s">
        <v>55</v>
      </c>
      <c r="D35" s="310">
        <v>44384</v>
      </c>
      <c r="E35" s="310" t="str">
        <f t="shared" si="0"/>
        <v>Q3 2021</v>
      </c>
      <c r="F35" s="311">
        <v>-0.41176499999999999</v>
      </c>
      <c r="G35" s="311">
        <v>0</v>
      </c>
    </row>
    <row r="36" spans="2:7" x14ac:dyDescent="0.2">
      <c r="B36" s="308" t="s">
        <v>15</v>
      </c>
      <c r="C36" s="309" t="s">
        <v>65</v>
      </c>
      <c r="D36" s="309" t="s">
        <v>16</v>
      </c>
      <c r="E36" s="309" t="str">
        <f t="shared" si="0"/>
        <v>Q4 2020</v>
      </c>
      <c r="F36" s="311">
        <v>-10.5</v>
      </c>
      <c r="G36" s="311">
        <v>0</v>
      </c>
    </row>
    <row r="37" spans="2:7" x14ac:dyDescent="0.2">
      <c r="B37" s="308" t="s">
        <v>15</v>
      </c>
      <c r="C37" s="309" t="s">
        <v>65</v>
      </c>
      <c r="D37" s="310">
        <v>44238</v>
      </c>
      <c r="E37" s="310" t="str">
        <f t="shared" si="0"/>
        <v>Q1 2021</v>
      </c>
      <c r="F37" s="311">
        <v>4.2140269999999997</v>
      </c>
      <c r="G37" s="311">
        <v>0</v>
      </c>
    </row>
    <row r="38" spans="2:7" x14ac:dyDescent="0.2">
      <c r="B38" s="308" t="s">
        <v>15</v>
      </c>
      <c r="C38" s="309" t="s">
        <v>65</v>
      </c>
      <c r="D38" s="310">
        <v>44238</v>
      </c>
      <c r="E38" s="310" t="str">
        <f t="shared" si="0"/>
        <v>Q1 2021</v>
      </c>
      <c r="F38" s="311">
        <v>0</v>
      </c>
      <c r="G38" s="311">
        <v>5.0448349999999996E-2</v>
      </c>
    </row>
    <row r="39" spans="2:7" x14ac:dyDescent="0.2">
      <c r="B39" s="308" t="s">
        <v>15</v>
      </c>
      <c r="C39" s="309" t="s">
        <v>65</v>
      </c>
      <c r="D39" s="310">
        <v>44285</v>
      </c>
      <c r="E39" s="310" t="str">
        <f t="shared" si="0"/>
        <v>Q1 2021</v>
      </c>
      <c r="F39" s="311">
        <v>-6.4337459999999993</v>
      </c>
      <c r="G39" s="311">
        <v>0</v>
      </c>
    </row>
    <row r="40" spans="2:7" x14ac:dyDescent="0.2">
      <c r="B40" s="308" t="s">
        <v>15</v>
      </c>
      <c r="C40" s="309" t="s">
        <v>65</v>
      </c>
      <c r="D40" s="310">
        <v>44269</v>
      </c>
      <c r="E40" s="310" t="str">
        <f t="shared" si="0"/>
        <v>Q1 2021</v>
      </c>
      <c r="F40" s="311">
        <v>1.1352073899999999</v>
      </c>
      <c r="G40" s="311">
        <v>0</v>
      </c>
    </row>
    <row r="41" spans="2:7" x14ac:dyDescent="0.2">
      <c r="B41" s="308" t="s">
        <v>15</v>
      </c>
      <c r="C41" s="309" t="s">
        <v>65</v>
      </c>
      <c r="D41" s="310">
        <v>44269</v>
      </c>
      <c r="E41" s="310" t="str">
        <f t="shared" si="0"/>
        <v>Q1 2021</v>
      </c>
      <c r="F41" s="311">
        <v>0</v>
      </c>
      <c r="G41" s="311">
        <v>2.5899999999999999E-2</v>
      </c>
    </row>
    <row r="42" spans="2:7" x14ac:dyDescent="0.2">
      <c r="B42" s="308" t="s">
        <v>15</v>
      </c>
      <c r="C42" s="309" t="s">
        <v>65</v>
      </c>
      <c r="D42" s="310">
        <v>44483</v>
      </c>
      <c r="E42" s="310" t="str">
        <f t="shared" si="0"/>
        <v>Q4 2021</v>
      </c>
      <c r="F42" s="311">
        <v>-7.5671379999999999</v>
      </c>
      <c r="G42" s="311">
        <v>0</v>
      </c>
    </row>
    <row r="43" spans="2:7" x14ac:dyDescent="0.2">
      <c r="B43" s="308" t="s">
        <v>15</v>
      </c>
      <c r="C43" s="309" t="s">
        <v>65</v>
      </c>
      <c r="D43" s="310">
        <v>44554</v>
      </c>
      <c r="E43" s="310" t="str">
        <f t="shared" si="0"/>
        <v>Q4 2021</v>
      </c>
      <c r="F43" s="311">
        <v>-7.3850159999999994</v>
      </c>
      <c r="G43" s="311">
        <v>0</v>
      </c>
    </row>
    <row r="44" spans="2:7" x14ac:dyDescent="0.2">
      <c r="B44" s="308" t="s">
        <v>15</v>
      </c>
      <c r="C44" s="309" t="s">
        <v>65</v>
      </c>
      <c r="D44" s="310">
        <v>44554</v>
      </c>
      <c r="E44" s="310" t="str">
        <f t="shared" si="0"/>
        <v>Q4 2021</v>
      </c>
      <c r="F44" s="311">
        <v>4.0733456099999996</v>
      </c>
      <c r="G44" s="311">
        <v>0</v>
      </c>
    </row>
    <row r="45" spans="2:7" x14ac:dyDescent="0.2">
      <c r="B45" s="308" t="s">
        <v>15</v>
      </c>
      <c r="C45" s="309" t="s">
        <v>65</v>
      </c>
      <c r="D45" s="310">
        <v>44554</v>
      </c>
      <c r="E45" s="310" t="str">
        <f t="shared" si="0"/>
        <v>Q4 2021</v>
      </c>
      <c r="F45" s="311">
        <v>0</v>
      </c>
      <c r="G45" s="311">
        <v>0.13969399999999998</v>
      </c>
    </row>
    <row r="46" spans="2:7" x14ac:dyDescent="0.2">
      <c r="B46" s="308" t="s">
        <v>15</v>
      </c>
      <c r="C46" s="309" t="s">
        <v>65</v>
      </c>
      <c r="D46" s="310">
        <v>44703</v>
      </c>
      <c r="E46" s="310" t="str">
        <f t="shared" si="0"/>
        <v>Q2 2022</v>
      </c>
      <c r="F46" s="311">
        <v>5.6730739999999997</v>
      </c>
      <c r="G46" s="311">
        <v>0</v>
      </c>
    </row>
    <row r="47" spans="2:7" x14ac:dyDescent="0.2">
      <c r="B47" s="308" t="s">
        <v>15</v>
      </c>
      <c r="C47" s="309" t="s">
        <v>65</v>
      </c>
      <c r="D47" s="310">
        <v>44703</v>
      </c>
      <c r="E47" s="310" t="str">
        <f t="shared" si="0"/>
        <v>Q2 2022</v>
      </c>
      <c r="F47" s="311">
        <v>0</v>
      </c>
      <c r="G47" s="311">
        <v>0.22778599999999999</v>
      </c>
    </row>
    <row r="48" spans="2:7" x14ac:dyDescent="0.2">
      <c r="B48" s="312" t="s">
        <v>1</v>
      </c>
      <c r="C48" s="313" t="s">
        <v>65</v>
      </c>
      <c r="D48" s="314" t="s">
        <v>22</v>
      </c>
      <c r="E48" s="314" t="str">
        <f t="shared" si="0"/>
        <v>Q3 2019</v>
      </c>
      <c r="F48" s="315">
        <v>-3</v>
      </c>
      <c r="G48" s="315">
        <v>0</v>
      </c>
    </row>
    <row r="49" spans="2:7" x14ac:dyDescent="0.2">
      <c r="B49" s="312" t="s">
        <v>1</v>
      </c>
      <c r="C49" s="313" t="s">
        <v>65</v>
      </c>
      <c r="D49" s="314">
        <v>43983</v>
      </c>
      <c r="E49" s="314" t="str">
        <f t="shared" si="0"/>
        <v>Q2 2020</v>
      </c>
      <c r="F49" s="315">
        <v>-4.4849999999999994</v>
      </c>
      <c r="G49" s="315">
        <v>0</v>
      </c>
    </row>
    <row r="50" spans="2:7" x14ac:dyDescent="0.2">
      <c r="B50" s="312" t="s">
        <v>1</v>
      </c>
      <c r="C50" s="313" t="s">
        <v>65</v>
      </c>
      <c r="D50" s="314" t="s">
        <v>10</v>
      </c>
      <c r="E50" s="314" t="str">
        <f t="shared" si="0"/>
        <v>Q1 2020</v>
      </c>
      <c r="F50" s="315">
        <v>-9.5097500000000004</v>
      </c>
      <c r="G50" s="315">
        <v>0</v>
      </c>
    </row>
    <row r="51" spans="2:7" x14ac:dyDescent="0.2">
      <c r="B51" s="312" t="s">
        <v>1</v>
      </c>
      <c r="C51" s="313" t="s">
        <v>65</v>
      </c>
      <c r="D51" s="314" t="s">
        <v>23</v>
      </c>
      <c r="E51" s="314" t="str">
        <f t="shared" si="0"/>
        <v>Q2 2020</v>
      </c>
      <c r="F51" s="315">
        <v>-41.3</v>
      </c>
      <c r="G51" s="315">
        <v>0</v>
      </c>
    </row>
    <row r="52" spans="2:7" x14ac:dyDescent="0.2">
      <c r="B52" s="312" t="s">
        <v>1</v>
      </c>
      <c r="C52" s="313" t="s">
        <v>65</v>
      </c>
      <c r="D52" s="314" t="s">
        <v>172</v>
      </c>
      <c r="E52" s="314" t="str">
        <f t="shared" si="0"/>
        <v>Q4 2020</v>
      </c>
      <c r="F52" s="315">
        <v>9.9499999999999993</v>
      </c>
      <c r="G52" s="315">
        <v>0</v>
      </c>
    </row>
    <row r="53" spans="2:7" x14ac:dyDescent="0.2">
      <c r="B53" s="312" t="s">
        <v>1</v>
      </c>
      <c r="C53" s="313" t="s">
        <v>65</v>
      </c>
      <c r="D53" s="314" t="s">
        <v>172</v>
      </c>
      <c r="E53" s="314" t="str">
        <f t="shared" si="0"/>
        <v>Q4 2020</v>
      </c>
      <c r="F53" s="315">
        <v>-10.455</v>
      </c>
      <c r="G53" s="315">
        <v>0</v>
      </c>
    </row>
    <row r="54" spans="2:7" x14ac:dyDescent="0.2">
      <c r="B54" s="312" t="s">
        <v>1</v>
      </c>
      <c r="C54" s="313" t="s">
        <v>65</v>
      </c>
      <c r="D54" s="314" t="s">
        <v>28</v>
      </c>
      <c r="E54" s="314" t="str">
        <f t="shared" si="0"/>
        <v>Q4 2020</v>
      </c>
      <c r="F54" s="315">
        <v>4.9749999999999996</v>
      </c>
      <c r="G54" s="315">
        <v>0</v>
      </c>
    </row>
    <row r="55" spans="2:7" x14ac:dyDescent="0.2">
      <c r="B55" s="312" t="s">
        <v>1</v>
      </c>
      <c r="C55" s="313" t="s">
        <v>65</v>
      </c>
      <c r="D55" s="314" t="s">
        <v>28</v>
      </c>
      <c r="E55" s="314" t="str">
        <f t="shared" si="0"/>
        <v>Q4 2020</v>
      </c>
      <c r="F55" s="315">
        <v>-3.4522930000000001</v>
      </c>
      <c r="G55" s="315">
        <v>0</v>
      </c>
    </row>
    <row r="56" spans="2:7" x14ac:dyDescent="0.2">
      <c r="B56" s="312" t="s">
        <v>1</v>
      </c>
      <c r="C56" s="313" t="s">
        <v>65</v>
      </c>
      <c r="D56" s="314" t="s">
        <v>28</v>
      </c>
      <c r="E56" s="314" t="str">
        <f t="shared" si="0"/>
        <v>Q4 2020</v>
      </c>
      <c r="F56" s="315">
        <v>0</v>
      </c>
      <c r="G56" s="315">
        <v>0.58290199999999992</v>
      </c>
    </row>
    <row r="57" spans="2:7" x14ac:dyDescent="0.2">
      <c r="B57" s="312" t="s">
        <v>1</v>
      </c>
      <c r="C57" s="313" t="s">
        <v>65</v>
      </c>
      <c r="D57" s="314">
        <v>44370</v>
      </c>
      <c r="E57" s="314" t="str">
        <f t="shared" si="0"/>
        <v>Q2 2021</v>
      </c>
      <c r="F57" s="315">
        <v>-5.97</v>
      </c>
      <c r="G57" s="315">
        <v>0</v>
      </c>
    </row>
    <row r="58" spans="2:7" x14ac:dyDescent="0.2">
      <c r="B58" s="312" t="s">
        <v>1</v>
      </c>
      <c r="C58" s="313" t="s">
        <v>65</v>
      </c>
      <c r="D58" s="314">
        <v>44400</v>
      </c>
      <c r="E58" s="314" t="str">
        <f t="shared" si="0"/>
        <v>Q3 2021</v>
      </c>
      <c r="F58" s="315">
        <v>-0.75</v>
      </c>
      <c r="G58" s="315">
        <v>0</v>
      </c>
    </row>
    <row r="59" spans="2:7" x14ac:dyDescent="0.2">
      <c r="B59" s="312" t="s">
        <v>1</v>
      </c>
      <c r="C59" s="313" t="s">
        <v>65</v>
      </c>
      <c r="D59" s="314">
        <v>44400</v>
      </c>
      <c r="E59" s="314" t="str">
        <f t="shared" si="0"/>
        <v>Q3 2021</v>
      </c>
      <c r="F59" s="315">
        <v>0</v>
      </c>
      <c r="G59" s="315">
        <v>0.44505899999999998</v>
      </c>
    </row>
    <row r="60" spans="2:7" x14ac:dyDescent="0.2">
      <c r="B60" s="312" t="s">
        <v>1</v>
      </c>
      <c r="C60" s="313" t="s">
        <v>65</v>
      </c>
      <c r="D60" s="314">
        <v>44554</v>
      </c>
      <c r="E60" s="314" t="str">
        <f t="shared" si="0"/>
        <v>Q4 2021</v>
      </c>
      <c r="F60" s="315">
        <v>1.7823899999999999</v>
      </c>
      <c r="G60" s="315">
        <v>0</v>
      </c>
    </row>
    <row r="61" spans="2:7" x14ac:dyDescent="0.2">
      <c r="B61" s="312" t="s">
        <v>1</v>
      </c>
      <c r="C61" s="313" t="s">
        <v>65</v>
      </c>
      <c r="D61" s="314">
        <v>44676</v>
      </c>
      <c r="E61" s="314" t="str">
        <f t="shared" si="0"/>
        <v>Q2 2022</v>
      </c>
      <c r="F61" s="315">
        <v>-21</v>
      </c>
      <c r="G61" s="315">
        <v>0</v>
      </c>
    </row>
    <row r="62" spans="2:7" x14ac:dyDescent="0.2">
      <c r="B62" s="308" t="s">
        <v>186</v>
      </c>
      <c r="C62" s="309" t="s">
        <v>65</v>
      </c>
      <c r="D62" s="310">
        <v>44087</v>
      </c>
      <c r="E62" s="310" t="str">
        <f t="shared" si="0"/>
        <v>Q3 2020</v>
      </c>
      <c r="F62" s="311">
        <v>-20.917552997000001</v>
      </c>
      <c r="G62" s="311">
        <v>0</v>
      </c>
    </row>
    <row r="63" spans="2:7" x14ac:dyDescent="0.2">
      <c r="B63" s="308" t="s">
        <v>186</v>
      </c>
      <c r="C63" s="309" t="s">
        <v>65</v>
      </c>
      <c r="D63" s="310">
        <v>44287</v>
      </c>
      <c r="E63" s="310" t="str">
        <f t="shared" si="0"/>
        <v>Q2 2021</v>
      </c>
      <c r="F63" s="311">
        <v>-0.21103182000000001</v>
      </c>
      <c r="G63" s="311">
        <v>0</v>
      </c>
    </row>
    <row r="64" spans="2:7" x14ac:dyDescent="0.2">
      <c r="B64" s="308" t="s">
        <v>186</v>
      </c>
      <c r="C64" s="309" t="s">
        <v>65</v>
      </c>
      <c r="D64" s="310">
        <v>44442</v>
      </c>
      <c r="E64" s="310" t="str">
        <f t="shared" si="0"/>
        <v>Q3 2021</v>
      </c>
      <c r="F64" s="311">
        <v>-0.23965473139999999</v>
      </c>
      <c r="G64" s="311">
        <v>0</v>
      </c>
    </row>
    <row r="65" spans="2:9" x14ac:dyDescent="0.2">
      <c r="B65" s="308" t="s">
        <v>186</v>
      </c>
      <c r="C65" s="309" t="s">
        <v>65</v>
      </c>
      <c r="D65" s="310">
        <v>44623</v>
      </c>
      <c r="E65" s="310" t="str">
        <f t="shared" si="0"/>
        <v>Q1 2022</v>
      </c>
      <c r="F65" s="311">
        <v>-0.25893584940000003</v>
      </c>
      <c r="G65" s="311">
        <v>0</v>
      </c>
      <c r="I65" s="311"/>
    </row>
    <row r="66" spans="2:9" x14ac:dyDescent="0.2">
      <c r="B66" s="308" t="s">
        <v>186</v>
      </c>
      <c r="C66" s="309" t="s">
        <v>65</v>
      </c>
      <c r="D66" s="310">
        <v>44784</v>
      </c>
      <c r="E66" s="310" t="str">
        <f t="shared" si="0"/>
        <v>Q3 2022</v>
      </c>
      <c r="F66" s="311">
        <v>1.5224656599999999E-2</v>
      </c>
      <c r="G66" s="311">
        <v>0</v>
      </c>
      <c r="I66" s="311"/>
    </row>
    <row r="67" spans="2:9" x14ac:dyDescent="0.2">
      <c r="B67" s="308" t="s">
        <v>168</v>
      </c>
      <c r="C67" s="309" t="s">
        <v>65</v>
      </c>
      <c r="D67" s="310">
        <v>44087</v>
      </c>
      <c r="E67" s="310" t="str">
        <f t="shared" si="0"/>
        <v>Q3 2020</v>
      </c>
      <c r="F67" s="311">
        <v>-2.7058823529411762</v>
      </c>
      <c r="G67" s="311">
        <v>0</v>
      </c>
      <c r="I67" s="311"/>
    </row>
    <row r="68" spans="2:9" x14ac:dyDescent="0.2">
      <c r="B68" s="312" t="s">
        <v>263</v>
      </c>
      <c r="C68" s="313" t="s">
        <v>65</v>
      </c>
      <c r="D68" s="314">
        <v>44540</v>
      </c>
      <c r="E68" s="314" t="str">
        <f t="shared" si="0"/>
        <v>Q4 2021</v>
      </c>
      <c r="F68" s="315">
        <v>-2.8053124999999999</v>
      </c>
      <c r="G68" s="315">
        <v>0</v>
      </c>
    </row>
    <row r="69" spans="2:9" x14ac:dyDescent="0.2">
      <c r="B69" s="312" t="s">
        <v>263</v>
      </c>
      <c r="C69" s="313" t="s">
        <v>65</v>
      </c>
      <c r="D69" s="314">
        <v>44602</v>
      </c>
      <c r="E69" s="314" t="str">
        <f t="shared" si="0"/>
        <v>Q1 2022</v>
      </c>
      <c r="F69" s="315">
        <v>-3.4074999999999998</v>
      </c>
      <c r="G69" s="315">
        <v>0</v>
      </c>
    </row>
    <row r="70" spans="2:9" x14ac:dyDescent="0.2">
      <c r="B70" s="312" t="s">
        <v>263</v>
      </c>
      <c r="C70" s="313" t="s">
        <v>65</v>
      </c>
      <c r="D70" s="314">
        <v>44683</v>
      </c>
      <c r="E70" s="314" t="str">
        <f t="shared" si="0"/>
        <v>Q2 2022</v>
      </c>
      <c r="F70" s="315">
        <v>-1.0257749999999999</v>
      </c>
      <c r="G70" s="315">
        <v>0</v>
      </c>
    </row>
    <row r="71" spans="2:9" x14ac:dyDescent="0.2">
      <c r="B71" s="312" t="s">
        <v>263</v>
      </c>
      <c r="C71" s="313" t="s">
        <v>65</v>
      </c>
      <c r="D71" s="314">
        <v>44707</v>
      </c>
      <c r="E71" s="314" t="str">
        <f t="shared" ref="E71" si="9">"Q"&amp;ROUNDUP(MONTH(D71)/3,0)&amp;" "&amp;YEAR(D71)</f>
        <v>Q2 2022</v>
      </c>
      <c r="F71" s="315">
        <v>-3.3882749999999997</v>
      </c>
      <c r="G71" s="315">
        <v>0</v>
      </c>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A9F76-2CD2-47DD-ABD8-C4F1ADB57918}">
  <sheetPr>
    <tabColor theme="4" tint="0.39997558519241921"/>
  </sheetPr>
  <dimension ref="B2:AD20"/>
  <sheetViews>
    <sheetView zoomScaleNormal="100" workbookViewId="0">
      <selection activeCell="V41" sqref="V41"/>
    </sheetView>
  </sheetViews>
  <sheetFormatPr defaultRowHeight="15" x14ac:dyDescent="0.25"/>
  <cols>
    <col min="2" max="2" width="29.7109375" customWidth="1"/>
    <col min="3" max="3" width="10.85546875" style="112" customWidth="1"/>
    <col min="4" max="4" width="23.140625" customWidth="1"/>
    <col min="5" max="10" width="12.5703125" customWidth="1"/>
  </cols>
  <sheetData>
    <row r="2" spans="2:30" s="166" customFormat="1" ht="29.25" thickBot="1" x14ac:dyDescent="0.5">
      <c r="B2" s="352" t="s">
        <v>311</v>
      </c>
      <c r="C2" s="353"/>
      <c r="D2" s="352"/>
      <c r="F2" s="354"/>
      <c r="G2" s="354"/>
      <c r="H2" s="354"/>
      <c r="I2" s="354"/>
      <c r="J2" s="354"/>
      <c r="K2" s="355"/>
      <c r="L2" s="354"/>
    </row>
    <row r="3" spans="2:30" s="138" customFormat="1" ht="29.25" thickBot="1" x14ac:dyDescent="0.5">
      <c r="B3" s="277" t="s">
        <v>261</v>
      </c>
      <c r="C3" s="291">
        <f>D!D2</f>
        <v>44834</v>
      </c>
      <c r="D3" s="352"/>
      <c r="J3" s="112"/>
      <c r="K3" s="112"/>
      <c r="L3" s="112"/>
      <c r="M3" s="112"/>
      <c r="N3" s="129"/>
      <c r="Y3" s="295" t="s">
        <v>265</v>
      </c>
      <c r="Z3" s="296"/>
      <c r="AA3" s="296"/>
      <c r="AB3" s="296"/>
      <c r="AC3" s="296"/>
      <c r="AD3" s="296"/>
    </row>
    <row r="4" spans="2:30" x14ac:dyDescent="0.25">
      <c r="J4" s="112"/>
      <c r="K4" s="112"/>
      <c r="L4" s="112"/>
      <c r="M4" s="112"/>
    </row>
    <row r="6" spans="2:30" ht="21" customHeight="1" x14ac:dyDescent="0.25">
      <c r="B6" s="57" t="s">
        <v>64</v>
      </c>
      <c r="C6" s="57"/>
      <c r="D6" s="1" t="s">
        <v>298</v>
      </c>
      <c r="E6" s="1" t="s">
        <v>292</v>
      </c>
      <c r="F6" s="1" t="s">
        <v>293</v>
      </c>
      <c r="G6" s="1" t="s">
        <v>294</v>
      </c>
      <c r="H6" s="1" t="s">
        <v>295</v>
      </c>
      <c r="I6" s="1" t="s">
        <v>296</v>
      </c>
      <c r="J6" s="1" t="s">
        <v>297</v>
      </c>
    </row>
    <row r="7" spans="2:30" x14ac:dyDescent="0.25">
      <c r="B7" s="59"/>
      <c r="C7" s="59"/>
      <c r="D7" s="62"/>
      <c r="E7" s="62"/>
      <c r="F7" s="62"/>
      <c r="G7" s="62"/>
      <c r="H7" s="62"/>
      <c r="I7" s="62"/>
      <c r="J7" s="62"/>
    </row>
    <row r="8" spans="2:30" x14ac:dyDescent="0.25">
      <c r="C8" s="321"/>
      <c r="D8" s="56"/>
      <c r="E8" s="56"/>
      <c r="F8" s="56"/>
      <c r="G8" s="56"/>
      <c r="H8" s="56"/>
      <c r="I8" s="56"/>
      <c r="J8" s="56"/>
    </row>
    <row r="9" spans="2:30" x14ac:dyDescent="0.25">
      <c r="B9" s="58" t="s">
        <v>143</v>
      </c>
      <c r="C9" s="56" t="s">
        <v>246</v>
      </c>
      <c r="D9" s="71">
        <v>12.5</v>
      </c>
      <c r="E9" s="71"/>
      <c r="F9" s="71"/>
      <c r="G9" s="71"/>
      <c r="H9" s="71">
        <f>D9</f>
        <v>12.5</v>
      </c>
      <c r="I9" s="71"/>
      <c r="J9" s="71"/>
    </row>
    <row r="10" spans="2:30" x14ac:dyDescent="0.25">
      <c r="B10" s="58" t="s">
        <v>46</v>
      </c>
      <c r="C10" s="56" t="s">
        <v>246</v>
      </c>
      <c r="D10" s="71">
        <v>1000</v>
      </c>
      <c r="E10" s="71"/>
      <c r="F10" s="71">
        <f>D10</f>
        <v>1000</v>
      </c>
      <c r="G10" s="71"/>
      <c r="H10" s="71"/>
      <c r="I10" s="71"/>
      <c r="J10" s="71"/>
    </row>
    <row r="11" spans="2:30" x14ac:dyDescent="0.25">
      <c r="B11" s="70"/>
      <c r="C11" s="251"/>
      <c r="D11" s="71"/>
      <c r="E11" s="71"/>
      <c r="F11" s="71"/>
      <c r="G11" s="71"/>
      <c r="H11" s="71"/>
      <c r="I11" s="71"/>
      <c r="J11" s="71"/>
    </row>
    <row r="12" spans="2:30" x14ac:dyDescent="0.25">
      <c r="B12" s="58" t="s">
        <v>186</v>
      </c>
      <c r="C12" s="56" t="s">
        <v>65</v>
      </c>
      <c r="D12" s="71">
        <v>3.945957317153443</v>
      </c>
      <c r="E12" s="71"/>
      <c r="F12" s="71">
        <v>1</v>
      </c>
      <c r="G12" s="71">
        <f>D12-F12</f>
        <v>2.945957317153443</v>
      </c>
      <c r="H12" s="71"/>
      <c r="I12" s="71"/>
      <c r="J12" s="71"/>
    </row>
    <row r="13" spans="2:30" x14ac:dyDescent="0.25">
      <c r="B13" s="58" t="s">
        <v>1</v>
      </c>
      <c r="C13" s="56" t="s">
        <v>65</v>
      </c>
      <c r="D13" s="71">
        <v>217.81330800000001</v>
      </c>
      <c r="E13" s="71"/>
      <c r="F13" s="71"/>
      <c r="G13" s="71"/>
      <c r="H13" s="71"/>
      <c r="I13" s="71"/>
      <c r="J13" s="71"/>
    </row>
    <row r="14" spans="2:30" x14ac:dyDescent="0.25">
      <c r="B14" s="58" t="s">
        <v>15</v>
      </c>
      <c r="C14" s="56" t="s">
        <v>65</v>
      </c>
      <c r="D14" s="71">
        <v>33.209754000000004</v>
      </c>
      <c r="E14" s="71"/>
      <c r="F14" s="71">
        <v>10</v>
      </c>
      <c r="G14" s="71">
        <v>10</v>
      </c>
      <c r="H14" s="71">
        <f>D14-SUM(F14:G14)</f>
        <v>13.209754000000004</v>
      </c>
      <c r="I14" s="71"/>
      <c r="J14" s="71"/>
    </row>
    <row r="15" spans="2:30" x14ac:dyDescent="0.25">
      <c r="B15" s="58" t="s">
        <v>263</v>
      </c>
      <c r="C15" s="56" t="s">
        <v>65</v>
      </c>
      <c r="D15" s="71">
        <v>6.4856375000000011</v>
      </c>
      <c r="E15" s="71"/>
      <c r="F15" s="71">
        <v>2</v>
      </c>
      <c r="G15" s="71">
        <v>2</v>
      </c>
      <c r="H15" s="71">
        <f>D15-SUM(F15:G15)</f>
        <v>2.4856375000000011</v>
      </c>
      <c r="I15" s="71"/>
      <c r="J15" s="71"/>
    </row>
    <row r="16" spans="2:30" x14ac:dyDescent="0.25">
      <c r="B16" s="63"/>
      <c r="C16" s="252"/>
      <c r="D16" s="72">
        <f>SUM(D9:D15)</f>
        <v>1273.9546568171534</v>
      </c>
      <c r="E16" s="72"/>
      <c r="F16" s="72">
        <f>SUM(F9:F15)</f>
        <v>1013</v>
      </c>
      <c r="G16" s="72">
        <f>SUM(G9:G15)</f>
        <v>14.945957317153443</v>
      </c>
      <c r="H16" s="72">
        <f>SUM(H9:H15)</f>
        <v>28.195391500000007</v>
      </c>
      <c r="I16" s="72">
        <f>SUM(I9:I15)</f>
        <v>0</v>
      </c>
      <c r="J16" s="72"/>
    </row>
    <row r="19" spans="2:2" x14ac:dyDescent="0.25">
      <c r="B19" t="s">
        <v>148</v>
      </c>
    </row>
    <row r="20" spans="2:2" x14ac:dyDescent="0.25">
      <c r="B20" t="s">
        <v>299</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3791E-C831-4DED-8233-DC037D6B7D34}">
  <sheetPr>
    <tabColor theme="3" tint="0.39997558519241921"/>
  </sheetPr>
  <dimension ref="B1:H46"/>
  <sheetViews>
    <sheetView showGridLines="0" zoomScaleNormal="100" workbookViewId="0">
      <selection activeCell="E23" sqref="E23"/>
    </sheetView>
  </sheetViews>
  <sheetFormatPr defaultRowHeight="15" x14ac:dyDescent="0.25"/>
  <cols>
    <col min="1" max="1" width="5.42578125" style="80" customWidth="1"/>
    <col min="2" max="2" width="2.42578125" style="80" customWidth="1"/>
    <col min="3" max="3" width="26.28515625" style="154" customWidth="1"/>
    <col min="4" max="4" width="27" style="81" customWidth="1"/>
    <col min="5" max="5" width="38.140625" style="155" customWidth="1"/>
    <col min="6" max="6" width="8.42578125" style="81" customWidth="1"/>
    <col min="7" max="7" width="35.85546875" style="81" customWidth="1"/>
    <col min="8" max="8" width="2.28515625" style="80" customWidth="1"/>
    <col min="9" max="9" width="2.42578125" style="80" customWidth="1"/>
    <col min="10" max="16384" width="9.140625" style="80"/>
  </cols>
  <sheetData>
    <row r="1" spans="2:8" ht="15.75" thickBot="1" x14ac:dyDescent="0.3"/>
    <row r="2" spans="2:8" x14ac:dyDescent="0.25">
      <c r="B2" s="156"/>
      <c r="C2" s="157"/>
      <c r="D2" s="158"/>
      <c r="E2" s="159"/>
      <c r="F2" s="158"/>
      <c r="G2" s="158"/>
      <c r="H2" s="160"/>
    </row>
    <row r="3" spans="2:8" s="163" customFormat="1" ht="30" customHeight="1" x14ac:dyDescent="0.25">
      <c r="B3" s="161"/>
      <c r="C3" s="57" t="s">
        <v>64</v>
      </c>
      <c r="D3" s="1" t="s">
        <v>228</v>
      </c>
      <c r="E3" s="57" t="s">
        <v>132</v>
      </c>
      <c r="F3" s="1" t="s">
        <v>148</v>
      </c>
      <c r="G3" s="201" t="s">
        <v>4</v>
      </c>
      <c r="H3" s="162"/>
    </row>
    <row r="4" spans="2:8" s="166" customFormat="1" x14ac:dyDescent="0.25">
      <c r="B4" s="164"/>
      <c r="C4" s="59"/>
      <c r="D4" s="62"/>
      <c r="E4" s="104"/>
      <c r="F4" s="62"/>
      <c r="G4" s="62"/>
      <c r="H4" s="165"/>
    </row>
    <row r="5" spans="2:8" x14ac:dyDescent="0.25">
      <c r="B5" s="167"/>
      <c r="C5" s="70" t="s">
        <v>39</v>
      </c>
      <c r="D5" s="56"/>
      <c r="E5" s="105"/>
      <c r="F5" s="56"/>
      <c r="G5" s="56"/>
      <c r="H5" s="168"/>
    </row>
    <row r="6" spans="2:8" x14ac:dyDescent="0.25">
      <c r="B6" s="167"/>
      <c r="C6" s="58" t="s">
        <v>59</v>
      </c>
      <c r="D6" s="102" t="s">
        <v>165</v>
      </c>
      <c r="E6" s="106"/>
      <c r="F6" s="111" t="s">
        <v>189</v>
      </c>
      <c r="G6" s="111"/>
      <c r="H6" s="168"/>
    </row>
    <row r="7" spans="2:8" x14ac:dyDescent="0.25">
      <c r="B7" s="167"/>
      <c r="C7" s="58" t="s">
        <v>0</v>
      </c>
      <c r="D7" s="102" t="s">
        <v>165</v>
      </c>
      <c r="E7" s="106" t="s">
        <v>159</v>
      </c>
      <c r="F7" s="111"/>
      <c r="G7" s="111"/>
      <c r="H7" s="168"/>
    </row>
    <row r="8" spans="2:8" x14ac:dyDescent="0.25">
      <c r="B8" s="167"/>
      <c r="C8" s="58" t="s">
        <v>50</v>
      </c>
      <c r="D8" s="102" t="s">
        <v>165</v>
      </c>
      <c r="E8" s="106" t="s">
        <v>155</v>
      </c>
      <c r="F8" s="111"/>
      <c r="G8" s="111"/>
      <c r="H8" s="168"/>
    </row>
    <row r="9" spans="2:8" x14ac:dyDescent="0.25">
      <c r="B9" s="167"/>
      <c r="C9" s="58" t="s">
        <v>51</v>
      </c>
      <c r="D9" s="102" t="s">
        <v>211</v>
      </c>
      <c r="E9" s="106" t="s">
        <v>197</v>
      </c>
      <c r="F9" s="111" t="s">
        <v>190</v>
      </c>
      <c r="G9" s="111"/>
      <c r="H9" s="168"/>
    </row>
    <row r="10" spans="2:8" x14ac:dyDescent="0.25">
      <c r="B10" s="167"/>
      <c r="C10" s="58" t="s">
        <v>49</v>
      </c>
      <c r="D10" s="102" t="s">
        <v>165</v>
      </c>
      <c r="E10" s="106" t="s">
        <v>155</v>
      </c>
      <c r="F10" s="111" t="s">
        <v>191</v>
      </c>
      <c r="G10" s="111"/>
      <c r="H10" s="168"/>
    </row>
    <row r="11" spans="2:8" x14ac:dyDescent="0.25">
      <c r="B11" s="167"/>
      <c r="C11" s="58" t="s">
        <v>142</v>
      </c>
      <c r="D11" s="102" t="s">
        <v>165</v>
      </c>
      <c r="E11" s="106" t="s">
        <v>154</v>
      </c>
      <c r="F11" s="111"/>
      <c r="G11" s="111"/>
      <c r="H11" s="168"/>
    </row>
    <row r="12" spans="2:8" x14ac:dyDescent="0.25">
      <c r="B12" s="167"/>
      <c r="C12" s="58" t="s">
        <v>11</v>
      </c>
      <c r="D12" s="102" t="s">
        <v>166</v>
      </c>
      <c r="E12" s="106" t="s">
        <v>158</v>
      </c>
      <c r="F12" s="111"/>
      <c r="G12" s="111"/>
      <c r="H12" s="168"/>
    </row>
    <row r="13" spans="2:8" x14ac:dyDescent="0.25">
      <c r="B13" s="167"/>
      <c r="C13" s="58" t="s">
        <v>24</v>
      </c>
      <c r="D13" s="102" t="s">
        <v>165</v>
      </c>
      <c r="E13" s="106" t="s">
        <v>161</v>
      </c>
      <c r="F13" s="111"/>
      <c r="G13" s="111"/>
      <c r="H13" s="168"/>
    </row>
    <row r="14" spans="2:8" x14ac:dyDescent="0.25">
      <c r="B14" s="167"/>
      <c r="C14" s="58" t="s">
        <v>52</v>
      </c>
      <c r="D14" s="102" t="s">
        <v>164</v>
      </c>
      <c r="E14" s="106" t="s">
        <v>160</v>
      </c>
      <c r="F14" s="111" t="s">
        <v>192</v>
      </c>
      <c r="G14" s="111"/>
      <c r="H14" s="168"/>
    </row>
    <row r="15" spans="2:8" x14ac:dyDescent="0.25">
      <c r="B15" s="167"/>
      <c r="C15" s="58" t="s">
        <v>53</v>
      </c>
      <c r="D15" s="102" t="s">
        <v>167</v>
      </c>
      <c r="E15" s="106" t="s">
        <v>157</v>
      </c>
      <c r="F15" s="111"/>
      <c r="G15" s="111"/>
      <c r="H15" s="168"/>
    </row>
    <row r="16" spans="2:8" x14ac:dyDescent="0.25">
      <c r="B16" s="167"/>
      <c r="C16" s="58" t="s">
        <v>54</v>
      </c>
      <c r="D16" s="102" t="s">
        <v>164</v>
      </c>
      <c r="E16" s="106" t="s">
        <v>156</v>
      </c>
      <c r="F16" s="111"/>
      <c r="G16" s="111"/>
      <c r="H16" s="168"/>
    </row>
    <row r="17" spans="2:8" x14ac:dyDescent="0.25">
      <c r="B17" s="167"/>
      <c r="C17" s="58" t="s">
        <v>120</v>
      </c>
      <c r="D17" s="102" t="s">
        <v>211</v>
      </c>
      <c r="E17" s="106" t="s">
        <v>196</v>
      </c>
      <c r="F17" s="102"/>
      <c r="G17" s="111"/>
      <c r="H17" s="168"/>
    </row>
    <row r="18" spans="2:8" x14ac:dyDescent="0.25">
      <c r="B18" s="167"/>
      <c r="C18" s="58" t="s">
        <v>25</v>
      </c>
      <c r="D18" s="102" t="s">
        <v>164</v>
      </c>
      <c r="E18" s="106" t="s">
        <v>163</v>
      </c>
      <c r="F18" s="102"/>
      <c r="G18" s="111"/>
      <c r="H18" s="168"/>
    </row>
    <row r="19" spans="2:8" x14ac:dyDescent="0.25">
      <c r="B19" s="167"/>
      <c r="C19" s="58" t="s">
        <v>143</v>
      </c>
      <c r="D19" s="102" t="s">
        <v>164</v>
      </c>
      <c r="E19" s="106" t="s">
        <v>187</v>
      </c>
      <c r="F19" s="102"/>
      <c r="G19" s="369" t="s">
        <v>213</v>
      </c>
      <c r="H19" s="168"/>
    </row>
    <row r="20" spans="2:8" x14ac:dyDescent="0.25">
      <c r="B20" s="167"/>
      <c r="C20" s="58" t="s">
        <v>46</v>
      </c>
      <c r="D20" s="102" t="s">
        <v>162</v>
      </c>
      <c r="E20" s="106" t="s">
        <v>162</v>
      </c>
      <c r="F20" s="102"/>
      <c r="G20" s="369" t="s">
        <v>213</v>
      </c>
      <c r="H20" s="168"/>
    </row>
    <row r="21" spans="2:8" s="171" customFormat="1" x14ac:dyDescent="0.25">
      <c r="B21" s="169"/>
      <c r="C21" s="63"/>
      <c r="D21" s="103"/>
      <c r="E21" s="107"/>
      <c r="F21" s="103"/>
      <c r="G21" s="370"/>
      <c r="H21" s="170"/>
    </row>
    <row r="22" spans="2:8" s="166" customFormat="1" x14ac:dyDescent="0.25">
      <c r="B22" s="164"/>
      <c r="C22" s="59"/>
      <c r="D22" s="76"/>
      <c r="E22" s="108"/>
      <c r="F22" s="76"/>
      <c r="G22" s="371"/>
      <c r="H22" s="165"/>
    </row>
    <row r="23" spans="2:8" x14ac:dyDescent="0.25">
      <c r="B23" s="167"/>
      <c r="C23" s="70" t="s">
        <v>40</v>
      </c>
      <c r="D23" s="74"/>
      <c r="E23" s="109"/>
      <c r="F23" s="74"/>
      <c r="G23" s="372"/>
      <c r="H23" s="168"/>
    </row>
    <row r="24" spans="2:8" x14ac:dyDescent="0.25">
      <c r="B24" s="167"/>
      <c r="C24" s="58" t="s">
        <v>60</v>
      </c>
      <c r="D24" s="74" t="s">
        <v>211</v>
      </c>
      <c r="E24" s="109"/>
      <c r="F24" s="74"/>
      <c r="G24" s="372"/>
      <c r="H24" s="168"/>
    </row>
    <row r="25" spans="2:8" x14ac:dyDescent="0.25">
      <c r="B25" s="167"/>
      <c r="C25" s="58" t="s">
        <v>0</v>
      </c>
      <c r="D25" s="102" t="s">
        <v>165</v>
      </c>
      <c r="E25" s="106" t="s">
        <v>159</v>
      </c>
      <c r="F25" s="102"/>
      <c r="G25" s="111"/>
      <c r="H25" s="168"/>
    </row>
    <row r="26" spans="2:8" x14ac:dyDescent="0.25">
      <c r="B26" s="167"/>
      <c r="C26" s="58" t="s">
        <v>51</v>
      </c>
      <c r="D26" s="102" t="s">
        <v>211</v>
      </c>
      <c r="E26" s="106"/>
      <c r="F26" s="102"/>
      <c r="G26" s="111"/>
      <c r="H26" s="168"/>
    </row>
    <row r="27" spans="2:8" s="171" customFormat="1" x14ac:dyDescent="0.25">
      <c r="B27" s="169"/>
      <c r="C27" s="63"/>
      <c r="D27" s="75"/>
      <c r="E27" s="110"/>
      <c r="F27" s="75"/>
      <c r="G27" s="373"/>
      <c r="H27" s="170"/>
    </row>
    <row r="28" spans="2:8" s="166" customFormat="1" x14ac:dyDescent="0.25">
      <c r="B28" s="164"/>
      <c r="C28" s="59"/>
      <c r="D28" s="76"/>
      <c r="E28" s="108"/>
      <c r="F28" s="76"/>
      <c r="G28" s="371"/>
      <c r="H28" s="165"/>
    </row>
    <row r="29" spans="2:8" x14ac:dyDescent="0.25">
      <c r="B29" s="167"/>
      <c r="C29" s="70" t="s">
        <v>41</v>
      </c>
      <c r="D29" s="74"/>
      <c r="E29" s="152"/>
      <c r="F29" s="153"/>
      <c r="G29" s="374"/>
      <c r="H29" s="168"/>
    </row>
    <row r="30" spans="2:8" x14ac:dyDescent="0.25">
      <c r="B30" s="167"/>
      <c r="C30" s="58" t="s">
        <v>186</v>
      </c>
      <c r="D30" s="74" t="s">
        <v>211</v>
      </c>
      <c r="E30" s="109"/>
      <c r="F30" s="74"/>
      <c r="G30" s="372"/>
      <c r="H30" s="168"/>
    </row>
    <row r="31" spans="2:8" x14ac:dyDescent="0.25">
      <c r="B31" s="167"/>
      <c r="C31" s="58" t="s">
        <v>168</v>
      </c>
      <c r="D31" s="74"/>
      <c r="E31" s="109" t="s">
        <v>169</v>
      </c>
      <c r="F31" s="74"/>
      <c r="G31" s="372"/>
      <c r="H31" s="168"/>
    </row>
    <row r="32" spans="2:8" x14ac:dyDescent="0.25">
      <c r="B32" s="167"/>
      <c r="C32" s="58" t="s">
        <v>1</v>
      </c>
      <c r="D32" s="74" t="s">
        <v>211</v>
      </c>
      <c r="E32" s="109"/>
      <c r="F32" s="74"/>
      <c r="G32" s="372"/>
      <c r="H32" s="168"/>
    </row>
    <row r="33" spans="2:8" x14ac:dyDescent="0.25">
      <c r="B33" s="167"/>
      <c r="C33" s="58" t="s">
        <v>15</v>
      </c>
      <c r="D33" s="74" t="s">
        <v>211</v>
      </c>
      <c r="E33" s="109"/>
      <c r="F33" s="74"/>
      <c r="G33" s="372"/>
      <c r="H33" s="168"/>
    </row>
    <row r="34" spans="2:8" x14ac:dyDescent="0.25">
      <c r="B34" s="167"/>
      <c r="C34" s="58" t="s">
        <v>263</v>
      </c>
      <c r="D34" s="74"/>
      <c r="E34" s="109"/>
      <c r="F34" s="74"/>
      <c r="G34" s="369" t="s">
        <v>213</v>
      </c>
      <c r="H34" s="168"/>
    </row>
    <row r="35" spans="2:8" s="171" customFormat="1" x14ac:dyDescent="0.25">
      <c r="B35" s="169"/>
      <c r="C35" s="63"/>
      <c r="D35" s="75"/>
      <c r="E35" s="110"/>
      <c r="F35" s="75"/>
      <c r="G35" s="75"/>
      <c r="H35" s="170"/>
    </row>
    <row r="36" spans="2:8" ht="15.75" thickBot="1" x14ac:dyDescent="0.3">
      <c r="B36" s="172"/>
      <c r="C36" s="173"/>
      <c r="D36" s="174"/>
      <c r="E36" s="175"/>
      <c r="F36" s="174"/>
      <c r="G36" s="174"/>
      <c r="H36" s="176"/>
    </row>
    <row r="37" spans="2:8" x14ac:dyDescent="0.25">
      <c r="D37" s="177"/>
      <c r="E37" s="178"/>
      <c r="F37" s="177"/>
      <c r="G37" s="177"/>
    </row>
    <row r="38" spans="2:8" x14ac:dyDescent="0.25">
      <c r="B38" s="179"/>
      <c r="C38" s="154" t="s">
        <v>201</v>
      </c>
    </row>
    <row r="39" spans="2:8" x14ac:dyDescent="0.25">
      <c r="B39" s="179"/>
      <c r="C39" s="154" t="s">
        <v>212</v>
      </c>
    </row>
    <row r="40" spans="2:8" x14ac:dyDescent="0.25">
      <c r="B40" s="179"/>
      <c r="C40" s="154" t="s">
        <v>229</v>
      </c>
    </row>
    <row r="41" spans="2:8" x14ac:dyDescent="0.25">
      <c r="C41" s="154" t="s">
        <v>193</v>
      </c>
      <c r="D41" s="155"/>
    </row>
    <row r="42" spans="2:8" x14ac:dyDescent="0.25">
      <c r="C42" s="155" t="s">
        <v>194</v>
      </c>
      <c r="D42" s="155"/>
    </row>
    <row r="43" spans="2:8" x14ac:dyDescent="0.25">
      <c r="C43" s="154" t="s">
        <v>195</v>
      </c>
      <c r="D43" s="155"/>
    </row>
    <row r="44" spans="2:8" x14ac:dyDescent="0.25">
      <c r="C44" s="154" t="s">
        <v>230</v>
      </c>
      <c r="D44" s="155"/>
    </row>
    <row r="45" spans="2:8" x14ac:dyDescent="0.25">
      <c r="C45" s="81"/>
      <c r="D45" s="155"/>
    </row>
    <row r="46" spans="2:8" x14ac:dyDescent="0.25">
      <c r="C46" s="81"/>
    </row>
  </sheetData>
  <pageMargins left="0.7" right="0.7" top="0.75" bottom="0.75" header="0.3" footer="0.3"/>
  <pageSetup paperSize="9" orientation="portrait" verticalDpi="0" r:id="rId1"/>
  <ignoredErrors>
    <ignoredError sqref="F6:F14" numberStoredAsText="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CD91A-4F2A-4A23-A2DA-C3610F0BA60C}">
  <sheetPr>
    <tabColor theme="7" tint="0.39997558519241921"/>
  </sheetPr>
  <dimension ref="B2:O41"/>
  <sheetViews>
    <sheetView showGridLines="0" zoomScale="80" zoomScaleNormal="80" workbookViewId="0">
      <selection activeCell="M56" sqref="M56"/>
    </sheetView>
  </sheetViews>
  <sheetFormatPr defaultRowHeight="15" x14ac:dyDescent="0.25"/>
  <cols>
    <col min="1" max="2" width="5.42578125" style="80" customWidth="1"/>
    <col min="3" max="3" width="36.85546875" style="154" bestFit="1" customWidth="1"/>
    <col min="4" max="4" width="34.7109375" style="81" customWidth="1"/>
    <col min="5" max="5" width="15.42578125" style="81" customWidth="1"/>
    <col min="6" max="7" width="15.140625" style="81" customWidth="1"/>
    <col min="8" max="10" width="17.5703125" style="81" customWidth="1"/>
    <col min="11" max="11" width="17.5703125" style="198" customWidth="1"/>
    <col min="12" max="12" width="15.42578125" style="81" customWidth="1"/>
    <col min="13" max="14" width="9.140625" style="80"/>
    <col min="15" max="15" width="18.5703125" style="80" customWidth="1"/>
    <col min="16" max="16" width="31.28515625" style="80" bestFit="1" customWidth="1"/>
    <col min="17" max="17" width="18.5703125" style="80" customWidth="1"/>
    <col min="18" max="16384" width="9.140625" style="80"/>
  </cols>
  <sheetData>
    <row r="2" spans="2:15" s="166" customFormat="1" ht="43.5" customHeight="1" thickBot="1" x14ac:dyDescent="0.5">
      <c r="C2" s="352" t="s">
        <v>309</v>
      </c>
      <c r="D2" s="353"/>
      <c r="F2" s="354"/>
      <c r="G2" s="354"/>
      <c r="H2" s="354"/>
      <c r="I2" s="354"/>
      <c r="J2" s="354"/>
      <c r="K2" s="355"/>
      <c r="L2" s="354"/>
    </row>
    <row r="3" spans="2:15" s="138" customFormat="1" ht="15.75" thickBot="1" x14ac:dyDescent="0.3">
      <c r="C3" s="277" t="s">
        <v>275</v>
      </c>
      <c r="D3" s="291">
        <v>44819</v>
      </c>
      <c r="E3" s="80"/>
      <c r="F3" s="80"/>
      <c r="G3" s="80"/>
      <c r="H3" s="80"/>
      <c r="I3" s="80"/>
      <c r="J3" s="80"/>
      <c r="K3" s="80"/>
      <c r="L3" s="80"/>
      <c r="M3" s="80"/>
      <c r="N3" s="80"/>
      <c r="O3" s="80"/>
    </row>
    <row r="4" spans="2:15" s="166" customFormat="1" ht="21.75" customHeight="1" x14ac:dyDescent="0.25">
      <c r="C4" s="356"/>
      <c r="D4" s="357"/>
      <c r="E4" s="354"/>
      <c r="F4" s="354"/>
      <c r="G4" s="354"/>
      <c r="H4" s="354"/>
      <c r="I4" s="354"/>
      <c r="J4" s="354"/>
      <c r="K4" s="355"/>
      <c r="L4" s="354"/>
    </row>
    <row r="5" spans="2:15" x14ac:dyDescent="0.25">
      <c r="C5" s="155"/>
      <c r="K5" s="81"/>
    </row>
    <row r="6" spans="2:15" s="163" customFormat="1" ht="36.75" customHeight="1" x14ac:dyDescent="0.25">
      <c r="B6" s="80"/>
      <c r="C6" s="57" t="s">
        <v>64</v>
      </c>
      <c r="D6" s="1" t="s">
        <v>247</v>
      </c>
      <c r="E6" s="1" t="s">
        <v>305</v>
      </c>
      <c r="F6" s="81"/>
      <c r="G6" s="81"/>
      <c r="H6" s="81"/>
      <c r="I6" s="81"/>
      <c r="J6" s="81"/>
      <c r="K6" s="81"/>
      <c r="L6" s="81"/>
      <c r="M6" s="80"/>
    </row>
    <row r="7" spans="2:15" x14ac:dyDescent="0.25">
      <c r="C7" s="58" t="s">
        <v>59</v>
      </c>
      <c r="D7" s="432" t="s">
        <v>246</v>
      </c>
      <c r="E7" s="71">
        <v>-65</v>
      </c>
    </row>
    <row r="8" spans="2:15" x14ac:dyDescent="0.25">
      <c r="C8" s="58" t="s">
        <v>143</v>
      </c>
      <c r="D8" s="432" t="s">
        <v>246</v>
      </c>
      <c r="E8" s="71">
        <v>-13.055784900000001</v>
      </c>
    </row>
    <row r="9" spans="2:15" x14ac:dyDescent="0.25">
      <c r="C9" s="58" t="s">
        <v>60</v>
      </c>
      <c r="D9" s="432" t="s">
        <v>55</v>
      </c>
      <c r="E9" s="71">
        <v>-8</v>
      </c>
    </row>
    <row r="10" spans="2:15" x14ac:dyDescent="0.25">
      <c r="C10" s="58" t="s">
        <v>0</v>
      </c>
      <c r="D10" s="432" t="s">
        <v>246</v>
      </c>
      <c r="E10" s="71">
        <v>-4.9000000000000004</v>
      </c>
    </row>
    <row r="11" spans="2:15" x14ac:dyDescent="0.25">
      <c r="C11" s="58" t="s">
        <v>1</v>
      </c>
      <c r="D11" s="432" t="s">
        <v>65</v>
      </c>
      <c r="E11" s="71">
        <v>-2.8666919999999863</v>
      </c>
    </row>
    <row r="12" spans="2:15" x14ac:dyDescent="0.25">
      <c r="C12" s="58" t="s">
        <v>15</v>
      </c>
      <c r="D12" s="432" t="s">
        <v>65</v>
      </c>
      <c r="E12" s="71">
        <v>-0.47118065000000087</v>
      </c>
      <c r="K12" s="81"/>
    </row>
    <row r="13" spans="2:15" x14ac:dyDescent="0.25">
      <c r="C13" s="58" t="s">
        <v>263</v>
      </c>
      <c r="D13" s="432" t="s">
        <v>65</v>
      </c>
      <c r="E13" s="71">
        <v>-0.28341550000000026</v>
      </c>
      <c r="K13" s="81"/>
    </row>
    <row r="14" spans="2:15" x14ac:dyDescent="0.25">
      <c r="C14" s="58" t="s">
        <v>120</v>
      </c>
      <c r="D14" s="432" t="s">
        <v>246</v>
      </c>
      <c r="E14" s="71">
        <v>-9.5619999996188199E-4</v>
      </c>
      <c r="K14" s="81"/>
    </row>
    <row r="15" spans="2:15" x14ac:dyDescent="0.25">
      <c r="C15" s="58" t="s">
        <v>24</v>
      </c>
      <c r="D15" s="432" t="s">
        <v>246</v>
      </c>
      <c r="E15" s="71">
        <v>0</v>
      </c>
      <c r="K15" s="81"/>
    </row>
    <row r="16" spans="2:15" x14ac:dyDescent="0.25">
      <c r="C16" s="58" t="s">
        <v>52</v>
      </c>
      <c r="D16" s="432" t="s">
        <v>246</v>
      </c>
      <c r="E16" s="71">
        <v>0</v>
      </c>
    </row>
    <row r="17" spans="2:15" x14ac:dyDescent="0.25">
      <c r="C17" s="58" t="s">
        <v>53</v>
      </c>
      <c r="D17" s="432" t="s">
        <v>246</v>
      </c>
      <c r="E17" s="71">
        <v>0</v>
      </c>
    </row>
    <row r="18" spans="2:15" x14ac:dyDescent="0.25">
      <c r="C18" s="58" t="s">
        <v>54</v>
      </c>
      <c r="D18" s="432" t="s">
        <v>246</v>
      </c>
      <c r="E18" s="71">
        <v>0</v>
      </c>
    </row>
    <row r="19" spans="2:15" x14ac:dyDescent="0.25">
      <c r="C19" s="58" t="s">
        <v>25</v>
      </c>
      <c r="D19" s="432" t="s">
        <v>246</v>
      </c>
      <c r="E19" s="71">
        <v>0</v>
      </c>
    </row>
    <row r="20" spans="2:15" x14ac:dyDescent="0.25">
      <c r="C20" s="58" t="s">
        <v>0</v>
      </c>
      <c r="D20" s="432" t="s">
        <v>55</v>
      </c>
      <c r="E20" s="71">
        <v>0</v>
      </c>
    </row>
    <row r="21" spans="2:15" x14ac:dyDescent="0.25">
      <c r="C21" s="58" t="s">
        <v>168</v>
      </c>
      <c r="D21" s="432" t="s">
        <v>65</v>
      </c>
      <c r="E21" s="71">
        <v>0</v>
      </c>
      <c r="K21" s="81"/>
    </row>
    <row r="22" spans="2:15" x14ac:dyDescent="0.25">
      <c r="C22" s="58" t="s">
        <v>51</v>
      </c>
      <c r="D22" s="432" t="s">
        <v>55</v>
      </c>
      <c r="E22" s="71">
        <v>4.4673682191781028E-2</v>
      </c>
    </row>
    <row r="23" spans="2:15" x14ac:dyDescent="0.25">
      <c r="C23" s="58" t="s">
        <v>49</v>
      </c>
      <c r="D23" s="432" t="s">
        <v>246</v>
      </c>
      <c r="E23" s="71">
        <v>1.001540300000002</v>
      </c>
      <c r="K23" s="81"/>
    </row>
    <row r="24" spans="2:15" x14ac:dyDescent="0.25">
      <c r="C24" s="58" t="s">
        <v>51</v>
      </c>
      <c r="D24" s="432" t="s">
        <v>246</v>
      </c>
      <c r="E24" s="71">
        <v>2.5</v>
      </c>
      <c r="K24" s="81"/>
    </row>
    <row r="25" spans="2:15" x14ac:dyDescent="0.25">
      <c r="C25" s="58" t="s">
        <v>142</v>
      </c>
      <c r="D25" s="432" t="s">
        <v>246</v>
      </c>
      <c r="E25" s="71">
        <v>8.11054845363347</v>
      </c>
    </row>
    <row r="26" spans="2:15" x14ac:dyDescent="0.25">
      <c r="C26" s="58" t="s">
        <v>186</v>
      </c>
      <c r="D26" s="432" t="s">
        <v>65</v>
      </c>
      <c r="E26" s="71">
        <v>10.3408485438</v>
      </c>
    </row>
    <row r="27" spans="2:15" s="166" customFormat="1" x14ac:dyDescent="0.25">
      <c r="B27" s="80"/>
      <c r="C27" s="58" t="s">
        <v>46</v>
      </c>
      <c r="D27" s="432" t="s">
        <v>246</v>
      </c>
      <c r="E27" s="71">
        <v>60.462712790302817</v>
      </c>
      <c r="F27" s="81"/>
      <c r="G27" s="81"/>
      <c r="H27" s="81"/>
      <c r="I27" s="81"/>
      <c r="J27" s="81"/>
      <c r="K27" s="198"/>
      <c r="L27" s="81"/>
      <c r="M27" s="80"/>
    </row>
    <row r="28" spans="2:15" s="81" customFormat="1" x14ac:dyDescent="0.25">
      <c r="B28" s="80"/>
      <c r="C28" s="58" t="s">
        <v>50</v>
      </c>
      <c r="D28" s="432" t="s">
        <v>246</v>
      </c>
      <c r="E28" s="71">
        <v>68.082229999999996</v>
      </c>
      <c r="K28" s="198"/>
      <c r="M28" s="80"/>
      <c r="N28" s="80"/>
      <c r="O28" s="80"/>
    </row>
    <row r="29" spans="2:15" s="81" customFormat="1" x14ac:dyDescent="0.25">
      <c r="B29" s="80"/>
      <c r="C29" s="58" t="s">
        <v>11</v>
      </c>
      <c r="D29" s="432" t="s">
        <v>246</v>
      </c>
      <c r="E29" s="71">
        <v>76.639999999999986</v>
      </c>
      <c r="J29" s="198"/>
      <c r="M29" s="80"/>
      <c r="N29" s="80"/>
      <c r="O29" s="80"/>
    </row>
    <row r="30" spans="2:15" s="81" customFormat="1" x14ac:dyDescent="0.25">
      <c r="B30" s="80"/>
      <c r="C30" s="154"/>
      <c r="J30" s="198"/>
      <c r="M30" s="80"/>
      <c r="N30" s="80"/>
      <c r="O30" s="80"/>
    </row>
    <row r="31" spans="2:15" s="81" customFormat="1" x14ac:dyDescent="0.25">
      <c r="B31" s="80"/>
      <c r="C31" s="154"/>
      <c r="M31" s="80"/>
      <c r="N31" s="80"/>
      <c r="O31" s="80"/>
    </row>
    <row r="32" spans="2:15" s="81" customFormat="1" x14ac:dyDescent="0.25">
      <c r="B32" s="80"/>
      <c r="C32" s="155"/>
      <c r="M32" s="80"/>
      <c r="N32" s="80"/>
      <c r="O32" s="80"/>
    </row>
    <row r="33" spans="2:15" s="81" customFormat="1" x14ac:dyDescent="0.25">
      <c r="B33" s="80"/>
      <c r="C33" s="155"/>
      <c r="M33" s="80"/>
      <c r="N33" s="80"/>
      <c r="O33" s="80"/>
    </row>
    <row r="34" spans="2:15" s="81" customFormat="1" x14ac:dyDescent="0.25">
      <c r="B34" s="80"/>
      <c r="C34" s="155"/>
      <c r="M34" s="80"/>
      <c r="N34" s="80"/>
      <c r="O34" s="80"/>
    </row>
    <row r="35" spans="2:15" s="81" customFormat="1" x14ac:dyDescent="0.25">
      <c r="B35" s="80"/>
      <c r="C35" s="154"/>
      <c r="M35" s="80"/>
      <c r="N35" s="80"/>
      <c r="O35" s="80"/>
    </row>
    <row r="39" spans="2:15" s="81" customFormat="1" x14ac:dyDescent="0.25">
      <c r="B39" s="80"/>
      <c r="C39" s="155"/>
      <c r="K39" s="198"/>
      <c r="M39" s="80"/>
      <c r="N39" s="80"/>
      <c r="O39" s="80"/>
    </row>
    <row r="40" spans="2:15" s="81" customFormat="1" x14ac:dyDescent="0.25">
      <c r="B40" s="80"/>
      <c r="K40" s="198"/>
      <c r="M40" s="80"/>
      <c r="N40" s="80"/>
      <c r="O40" s="80"/>
    </row>
    <row r="41" spans="2:15" s="81" customFormat="1" x14ac:dyDescent="0.25">
      <c r="B41" s="80"/>
      <c r="K41" s="198"/>
      <c r="M41" s="80"/>
      <c r="N41" s="80"/>
      <c r="O41" s="80"/>
    </row>
  </sheetData>
  <sortState ref="C7:E29">
    <sortCondition ref="E7:E29"/>
  </sortState>
  <pageMargins left="0.7" right="0.7" top="0.75" bottom="0.75" header="0.3" footer="0.3"/>
  <pageSetup paperSize="9" orientation="portrait"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61D80-E061-495B-BDB0-2A0EF8BE4E5A}">
  <dimension ref="B1:W32"/>
  <sheetViews>
    <sheetView zoomScale="85" zoomScaleNormal="85" workbookViewId="0">
      <selection activeCell="T63" sqref="T63"/>
    </sheetView>
  </sheetViews>
  <sheetFormatPr defaultColWidth="9.140625" defaultRowHeight="12.75" x14ac:dyDescent="0.2"/>
  <cols>
    <col min="1" max="1" width="9.140625" style="3"/>
    <col min="2" max="2" width="3.28515625" style="3" customWidth="1"/>
    <col min="3" max="3" width="22.28515625" style="2" customWidth="1"/>
    <col min="4" max="4" width="13.28515625" style="2" customWidth="1"/>
    <col min="5" max="5" width="5" style="3" customWidth="1"/>
    <col min="6" max="6" width="3" style="3" customWidth="1"/>
    <col min="7" max="7" width="21.7109375" style="3" customWidth="1"/>
    <col min="8" max="8" width="14.140625" style="2" customWidth="1"/>
    <col min="9" max="9" width="4.7109375" style="3" customWidth="1"/>
    <col min="10" max="10" width="6" style="3" customWidth="1"/>
    <col min="11" max="11" width="15.7109375" style="3" bestFit="1" customWidth="1"/>
    <col min="12" max="12" width="12.7109375" style="2" customWidth="1"/>
    <col min="13" max="13" width="5.85546875" style="3" customWidth="1"/>
    <col min="14" max="14" width="4.140625" style="3" customWidth="1"/>
    <col min="15" max="15" width="21" style="3" bestFit="1" customWidth="1"/>
    <col min="16" max="16" width="12.42578125" style="3" bestFit="1" customWidth="1"/>
    <col min="17" max="17" width="6" style="3" customWidth="1"/>
    <col min="18" max="18" width="3" style="3" customWidth="1"/>
    <col min="19" max="19" width="14.28515625" style="3" bestFit="1" customWidth="1"/>
    <col min="20" max="20" width="13.85546875" style="3" customWidth="1"/>
    <col min="21" max="21" width="3.85546875" style="3" customWidth="1"/>
    <col min="22" max="22" width="9.140625" style="3"/>
    <col min="23" max="23" width="22.28515625" style="3" bestFit="1" customWidth="1"/>
    <col min="24" max="24" width="17.140625" style="3" customWidth="1"/>
    <col min="25" max="16384" width="9.140625" style="3"/>
  </cols>
  <sheetData>
    <row r="1" spans="2:23" ht="13.5" thickBot="1" x14ac:dyDescent="0.25"/>
    <row r="2" spans="2:23" x14ac:dyDescent="0.2">
      <c r="B2" s="9"/>
      <c r="C2" s="11"/>
      <c r="D2" s="11"/>
      <c r="E2" s="12"/>
      <c r="F2" s="10"/>
      <c r="G2" s="10"/>
      <c r="H2" s="11"/>
      <c r="I2" s="12"/>
      <c r="J2" s="10"/>
      <c r="K2" s="10"/>
      <c r="L2" s="11"/>
      <c r="M2" s="12"/>
      <c r="N2" s="10"/>
      <c r="O2" s="10"/>
      <c r="P2" s="10"/>
      <c r="Q2" s="12"/>
      <c r="R2" s="10"/>
      <c r="S2" s="10"/>
      <c r="T2" s="10"/>
      <c r="U2" s="12"/>
    </row>
    <row r="3" spans="2:23" x14ac:dyDescent="0.2">
      <c r="B3" s="13"/>
      <c r="C3" s="14" t="s">
        <v>14</v>
      </c>
      <c r="D3" s="15"/>
      <c r="E3" s="4"/>
      <c r="F3" s="6"/>
      <c r="G3" s="14" t="s">
        <v>11</v>
      </c>
      <c r="H3" s="15"/>
      <c r="I3" s="4"/>
      <c r="J3" s="6"/>
      <c r="K3" s="14" t="s">
        <v>70</v>
      </c>
      <c r="L3" s="15"/>
      <c r="M3" s="4"/>
      <c r="N3" s="6"/>
      <c r="O3" s="14" t="s">
        <v>32</v>
      </c>
      <c r="P3" s="6"/>
      <c r="Q3" s="4"/>
      <c r="R3" s="6"/>
      <c r="S3" s="14" t="s">
        <v>37</v>
      </c>
      <c r="T3" s="6"/>
      <c r="U3" s="4"/>
    </row>
    <row r="4" spans="2:23" x14ac:dyDescent="0.2">
      <c r="B4" s="13"/>
      <c r="C4" s="15"/>
      <c r="D4" s="15"/>
      <c r="E4" s="4"/>
      <c r="F4" s="6"/>
      <c r="G4" s="15"/>
      <c r="H4" s="15"/>
      <c r="I4" s="4"/>
      <c r="J4" s="6"/>
      <c r="K4" s="6"/>
      <c r="L4" s="15"/>
      <c r="M4" s="4"/>
      <c r="N4" s="6"/>
      <c r="O4" s="6"/>
      <c r="P4" s="16"/>
      <c r="Q4" s="4"/>
      <c r="R4" s="6"/>
      <c r="S4" s="6"/>
      <c r="T4" s="6"/>
      <c r="U4" s="4"/>
      <c r="W4" s="3" t="s">
        <v>354</v>
      </c>
    </row>
    <row r="5" spans="2:23" x14ac:dyDescent="0.2">
      <c r="B5" s="13"/>
      <c r="C5" s="15"/>
      <c r="D5" s="15"/>
      <c r="E5" s="4"/>
      <c r="F5" s="6"/>
      <c r="G5" s="15" t="s">
        <v>91</v>
      </c>
      <c r="H5" s="15"/>
      <c r="I5" s="4"/>
      <c r="J5" s="6"/>
      <c r="K5" s="6"/>
      <c r="L5" s="15"/>
      <c r="M5" s="4"/>
      <c r="N5" s="6"/>
      <c r="O5" s="6"/>
      <c r="P5" s="16"/>
      <c r="Q5" s="4"/>
      <c r="R5" s="6"/>
      <c r="S5" s="6"/>
      <c r="T5" s="6"/>
      <c r="U5" s="4"/>
    </row>
    <row r="6" spans="2:23" x14ac:dyDescent="0.2">
      <c r="B6" s="13"/>
      <c r="C6" s="28" t="s">
        <v>91</v>
      </c>
      <c r="D6" s="31">
        <v>44773</v>
      </c>
      <c r="E6" s="4"/>
      <c r="F6" s="6"/>
      <c r="G6" s="15"/>
      <c r="H6" s="15"/>
      <c r="I6" s="4"/>
      <c r="J6" s="6"/>
      <c r="K6" s="6"/>
      <c r="L6" s="15"/>
      <c r="M6" s="4"/>
      <c r="N6" s="6"/>
      <c r="O6" s="19" t="s">
        <v>80</v>
      </c>
      <c r="P6" s="16"/>
      <c r="Q6" s="4"/>
      <c r="R6" s="6"/>
      <c r="S6" s="6" t="s">
        <v>98</v>
      </c>
      <c r="T6" s="20">
        <v>10386274</v>
      </c>
      <c r="U6" s="4"/>
      <c r="W6" s="3" t="s">
        <v>58</v>
      </c>
    </row>
    <row r="7" spans="2:23" x14ac:dyDescent="0.2">
      <c r="B7" s="13"/>
      <c r="C7" s="28" t="s">
        <v>78</v>
      </c>
      <c r="D7" s="32">
        <v>3.18</v>
      </c>
      <c r="E7" s="4"/>
      <c r="F7" s="6"/>
      <c r="G7" s="18">
        <v>44166</v>
      </c>
      <c r="H7" s="46">
        <v>-60000000</v>
      </c>
      <c r="I7" s="4"/>
      <c r="J7" s="6"/>
      <c r="K7" s="6"/>
      <c r="L7" s="15"/>
      <c r="M7" s="4"/>
      <c r="N7" s="6"/>
      <c r="O7" s="21" t="s">
        <v>81</v>
      </c>
      <c r="P7" s="22">
        <v>599769</v>
      </c>
      <c r="Q7" s="4"/>
      <c r="R7" s="6"/>
      <c r="S7" s="6" t="s">
        <v>74</v>
      </c>
      <c r="T7" s="6">
        <v>1.18</v>
      </c>
      <c r="U7" s="4"/>
      <c r="W7" s="3" t="s">
        <v>355</v>
      </c>
    </row>
    <row r="8" spans="2:23" x14ac:dyDescent="0.2">
      <c r="B8" s="13"/>
      <c r="C8" s="28" t="s">
        <v>76</v>
      </c>
      <c r="D8" s="32">
        <v>1.22</v>
      </c>
      <c r="E8" s="4"/>
      <c r="F8" s="6"/>
      <c r="G8" s="18">
        <v>44773</v>
      </c>
      <c r="H8" s="48">
        <v>20000000</v>
      </c>
      <c r="I8" s="4"/>
      <c r="J8" s="6"/>
      <c r="K8" s="23" t="s">
        <v>68</v>
      </c>
      <c r="L8" s="24">
        <v>5205482</v>
      </c>
      <c r="M8" s="4"/>
      <c r="N8" s="6"/>
      <c r="O8" s="25" t="s">
        <v>82</v>
      </c>
      <c r="P8" s="22">
        <v>1493575</v>
      </c>
      <c r="Q8" s="4"/>
      <c r="R8" s="6"/>
      <c r="S8" s="6" t="s">
        <v>3</v>
      </c>
      <c r="T8" s="26">
        <f>T6*T7*10^-6</f>
        <v>12.255803319999998</v>
      </c>
      <c r="U8" s="4"/>
      <c r="W8" s="3" t="s">
        <v>356</v>
      </c>
    </row>
    <row r="9" spans="2:23" x14ac:dyDescent="0.2">
      <c r="B9" s="13"/>
      <c r="C9" s="28"/>
      <c r="D9" s="15"/>
      <c r="E9" s="4"/>
      <c r="F9" s="6"/>
      <c r="G9" s="15"/>
      <c r="H9" s="15"/>
      <c r="I9" s="4"/>
      <c r="J9" s="6"/>
      <c r="K9" s="23" t="s">
        <v>69</v>
      </c>
      <c r="L9" s="27">
        <v>61222609</v>
      </c>
      <c r="M9" s="4"/>
      <c r="N9" s="6"/>
      <c r="O9" s="25" t="s">
        <v>83</v>
      </c>
      <c r="P9" s="22">
        <v>83261</v>
      </c>
      <c r="Q9" s="4"/>
      <c r="R9" s="6"/>
      <c r="S9" s="6"/>
      <c r="T9" s="6"/>
      <c r="U9" s="4"/>
      <c r="W9" s="3" t="s">
        <v>357</v>
      </c>
    </row>
    <row r="10" spans="2:23" x14ac:dyDescent="0.2">
      <c r="B10" s="13"/>
      <c r="C10" s="23" t="s">
        <v>68</v>
      </c>
      <c r="D10" s="27">
        <v>44328120</v>
      </c>
      <c r="E10" s="4"/>
      <c r="F10" s="6"/>
      <c r="G10" s="15" t="s">
        <v>34</v>
      </c>
      <c r="H10" s="29">
        <f>XIRR(H7:H8,G7:G8)</f>
        <v>-0.48346658162772649</v>
      </c>
      <c r="I10" s="4"/>
      <c r="J10" s="6"/>
      <c r="K10" s="28" t="s">
        <v>71</v>
      </c>
      <c r="L10" s="5">
        <v>8.5500000000000007E-2</v>
      </c>
      <c r="M10" s="4"/>
      <c r="N10" s="6"/>
      <c r="O10" s="25" t="s">
        <v>84</v>
      </c>
      <c r="P10" s="22">
        <v>289048</v>
      </c>
      <c r="Q10" s="4"/>
      <c r="R10" s="6"/>
      <c r="S10" s="6"/>
      <c r="T10" s="6"/>
      <c r="U10" s="4"/>
    </row>
    <row r="11" spans="2:23" x14ac:dyDescent="0.2">
      <c r="B11" s="13"/>
      <c r="C11" s="23" t="s">
        <v>69</v>
      </c>
      <c r="D11" s="27">
        <v>823636945</v>
      </c>
      <c r="E11" s="4"/>
      <c r="F11" s="6"/>
      <c r="G11" s="15" t="s">
        <v>77</v>
      </c>
      <c r="H11" s="43">
        <f>-H8/SUM(H7)</f>
        <v>0.33333333333333331</v>
      </c>
      <c r="I11" s="4"/>
      <c r="J11" s="6"/>
      <c r="K11" s="6"/>
      <c r="L11" s="29">
        <f>L8/L9</f>
        <v>8.5025484621212399E-2</v>
      </c>
      <c r="M11" s="4"/>
      <c r="N11" s="6"/>
      <c r="O11" s="30" t="s">
        <v>85</v>
      </c>
      <c r="P11" s="22">
        <v>429797</v>
      </c>
      <c r="Q11" s="4"/>
      <c r="R11" s="6"/>
      <c r="S11" s="6"/>
      <c r="T11" s="6"/>
      <c r="U11" s="4"/>
    </row>
    <row r="12" spans="2:23" x14ac:dyDescent="0.2">
      <c r="B12" s="13"/>
      <c r="C12" s="28" t="s">
        <v>71</v>
      </c>
      <c r="D12" s="5">
        <v>5.3800000000000001E-2</v>
      </c>
      <c r="E12" s="4"/>
      <c r="F12" s="6"/>
      <c r="G12" s="6"/>
      <c r="H12" s="15"/>
      <c r="I12" s="4"/>
      <c r="J12" s="6"/>
      <c r="K12" s="6"/>
      <c r="L12" s="15"/>
      <c r="M12" s="4"/>
      <c r="N12" s="6"/>
      <c r="O12" s="7" t="s">
        <v>79</v>
      </c>
      <c r="P12" s="8">
        <f>SUM(P7:P11)</f>
        <v>2895450</v>
      </c>
      <c r="Q12" s="4"/>
      <c r="R12" s="6"/>
      <c r="S12" s="14" t="s">
        <v>100</v>
      </c>
      <c r="T12" s="6"/>
      <c r="U12" s="4"/>
    </row>
    <row r="13" spans="2:23" x14ac:dyDescent="0.2">
      <c r="B13" s="13"/>
      <c r="C13" s="28"/>
      <c r="D13" s="15"/>
      <c r="E13" s="4"/>
      <c r="F13" s="6"/>
      <c r="G13" s="14" t="s">
        <v>99</v>
      </c>
      <c r="H13" s="15"/>
      <c r="I13" s="4"/>
      <c r="J13" s="6"/>
      <c r="K13" s="6" t="s">
        <v>88</v>
      </c>
      <c r="L13" s="15">
        <v>18.75</v>
      </c>
      <c r="M13" s="4"/>
      <c r="N13" s="6"/>
      <c r="O13" s="6"/>
      <c r="P13" s="16"/>
      <c r="Q13" s="4"/>
      <c r="R13" s="6"/>
      <c r="S13" s="6"/>
      <c r="T13" s="6"/>
      <c r="U13" s="4"/>
    </row>
    <row r="14" spans="2:23" x14ac:dyDescent="0.2">
      <c r="B14" s="13"/>
      <c r="C14" s="15"/>
      <c r="D14" s="15"/>
      <c r="E14" s="4"/>
      <c r="F14" s="6"/>
      <c r="G14" s="6"/>
      <c r="H14" s="15"/>
      <c r="I14" s="4"/>
      <c r="J14" s="6"/>
      <c r="K14" s="6" t="s">
        <v>89</v>
      </c>
      <c r="L14" s="33">
        <v>0.2</v>
      </c>
      <c r="M14" s="4"/>
      <c r="N14" s="6"/>
      <c r="O14" s="6" t="s">
        <v>86</v>
      </c>
      <c r="P14" s="34">
        <v>33267</v>
      </c>
      <c r="Q14" s="4"/>
      <c r="R14" s="6"/>
      <c r="S14" s="6" t="s">
        <v>91</v>
      </c>
      <c r="T14" s="6"/>
      <c r="U14" s="4"/>
    </row>
    <row r="15" spans="2:23" x14ac:dyDescent="0.2">
      <c r="B15" s="13"/>
      <c r="C15" s="15" t="s">
        <v>75</v>
      </c>
      <c r="D15" s="15">
        <v>3.6749999999999998</v>
      </c>
      <c r="E15" s="4"/>
      <c r="F15" s="6"/>
      <c r="G15" s="6" t="s">
        <v>91</v>
      </c>
      <c r="H15" s="15"/>
      <c r="I15" s="4"/>
      <c r="J15" s="6"/>
      <c r="K15" s="6" t="s">
        <v>90</v>
      </c>
      <c r="L15" s="35">
        <f>L8*L13*(1-L14)*10^-6</f>
        <v>78.082229999999996</v>
      </c>
      <c r="M15" s="4"/>
      <c r="N15" s="6"/>
      <c r="O15" s="6" t="s">
        <v>71</v>
      </c>
      <c r="P15" s="36">
        <f>P14/P12</f>
        <v>1.1489405791845828E-2</v>
      </c>
      <c r="Q15" s="4"/>
      <c r="R15" s="6"/>
      <c r="S15" s="6"/>
      <c r="T15" s="6"/>
      <c r="U15" s="4"/>
    </row>
    <row r="16" spans="2:23" x14ac:dyDescent="0.2">
      <c r="B16" s="13"/>
      <c r="C16" s="17" t="s">
        <v>73</v>
      </c>
      <c r="D16" s="17"/>
      <c r="E16" s="4"/>
      <c r="F16" s="6"/>
      <c r="G16" s="6"/>
      <c r="H16" s="15"/>
      <c r="I16" s="4"/>
      <c r="J16" s="6"/>
      <c r="K16" s="6"/>
      <c r="L16" s="15"/>
      <c r="M16" s="4"/>
      <c r="N16" s="6"/>
      <c r="O16" s="6" t="s">
        <v>94</v>
      </c>
      <c r="P16" s="16">
        <v>110.63</v>
      </c>
      <c r="Q16" s="4"/>
      <c r="R16" s="6"/>
      <c r="S16" s="18">
        <v>44075</v>
      </c>
      <c r="T16" s="46">
        <v>-2500000</v>
      </c>
      <c r="U16" s="4"/>
    </row>
    <row r="17" spans="2:21" x14ac:dyDescent="0.2">
      <c r="B17" s="13"/>
      <c r="C17" s="18">
        <v>43968</v>
      </c>
      <c r="D17" s="183">
        <v>-50</v>
      </c>
      <c r="E17" s="4"/>
      <c r="F17" s="6"/>
      <c r="G17" s="18">
        <v>43563</v>
      </c>
      <c r="H17" s="40">
        <v>-8000000</v>
      </c>
      <c r="I17" s="4"/>
      <c r="J17" s="6"/>
      <c r="K17" s="37" t="s">
        <v>91</v>
      </c>
      <c r="L17" s="38">
        <v>44773</v>
      </c>
      <c r="M17" s="4"/>
      <c r="N17" s="6"/>
      <c r="O17" s="6" t="s">
        <v>91</v>
      </c>
      <c r="P17" s="39">
        <v>44773</v>
      </c>
      <c r="Q17" s="4"/>
      <c r="R17" s="6"/>
      <c r="S17" s="18">
        <v>44773</v>
      </c>
      <c r="T17" s="46">
        <v>5000000</v>
      </c>
      <c r="U17" s="4"/>
    </row>
    <row r="18" spans="2:21" x14ac:dyDescent="0.2">
      <c r="B18" s="13"/>
      <c r="C18" s="18">
        <v>44006</v>
      </c>
      <c r="D18" s="182">
        <v>-27.268350856443721</v>
      </c>
      <c r="E18" s="4"/>
      <c r="F18" s="6"/>
      <c r="G18" s="18">
        <v>44773</v>
      </c>
      <c r="H18" s="40">
        <v>1700000</v>
      </c>
      <c r="I18" s="4"/>
      <c r="J18" s="6"/>
      <c r="K18" s="18">
        <v>43570</v>
      </c>
      <c r="L18" s="40">
        <v>-4999998.09</v>
      </c>
      <c r="M18" s="4"/>
      <c r="N18" s="6"/>
      <c r="O18" s="6"/>
      <c r="P18" s="6"/>
      <c r="Q18" s="4"/>
      <c r="R18" s="6"/>
      <c r="S18" s="6"/>
      <c r="T18" s="6"/>
      <c r="U18" s="4"/>
    </row>
    <row r="19" spans="2:21" x14ac:dyDescent="0.2">
      <c r="B19" s="13"/>
      <c r="C19" s="18">
        <v>43837</v>
      </c>
      <c r="D19" s="182">
        <v>-18.109441299619355</v>
      </c>
      <c r="E19" s="4"/>
      <c r="F19" s="6"/>
      <c r="G19" s="6"/>
      <c r="H19" s="15"/>
      <c r="I19" s="4"/>
      <c r="J19" s="6"/>
      <c r="K19" s="18">
        <v>43915</v>
      </c>
      <c r="L19" s="41">
        <v>-5000001.91</v>
      </c>
      <c r="M19" s="4"/>
      <c r="N19" s="6"/>
      <c r="O19" s="42" t="s">
        <v>97</v>
      </c>
      <c r="P19" s="6"/>
      <c r="Q19" s="4"/>
      <c r="R19" s="6"/>
      <c r="S19" s="15" t="s">
        <v>34</v>
      </c>
      <c r="T19" s="29">
        <f>XIRR(T16:T17,S16:S17)</f>
        <v>0.43686311841011038</v>
      </c>
      <c r="U19" s="4"/>
    </row>
    <row r="20" spans="2:21" x14ac:dyDescent="0.2">
      <c r="B20" s="13"/>
      <c r="C20" s="18">
        <v>43990</v>
      </c>
      <c r="D20" s="182">
        <v>-34.851687094159864</v>
      </c>
      <c r="E20" s="4"/>
      <c r="F20" s="6"/>
      <c r="G20" s="15" t="s">
        <v>34</v>
      </c>
      <c r="H20" s="29">
        <f>XIRR(H17:H18,G17:G18)</f>
        <v>-0.3732477836310864</v>
      </c>
      <c r="I20" s="4"/>
      <c r="J20" s="6"/>
      <c r="K20" s="18">
        <f>L17</f>
        <v>44773</v>
      </c>
      <c r="L20" s="40">
        <f>+L15*10^6</f>
        <v>78082230</v>
      </c>
      <c r="M20" s="4"/>
      <c r="N20" s="6"/>
      <c r="O20" s="6" t="s">
        <v>92</v>
      </c>
      <c r="P20" s="44">
        <v>510</v>
      </c>
      <c r="Q20" s="4"/>
      <c r="R20" s="6"/>
      <c r="S20" s="15" t="s">
        <v>77</v>
      </c>
      <c r="T20" s="43">
        <f>-T17/SUM(T16)</f>
        <v>2</v>
      </c>
      <c r="U20" s="4"/>
    </row>
    <row r="21" spans="2:21" x14ac:dyDescent="0.2">
      <c r="B21" s="13"/>
      <c r="C21" s="18">
        <v>44315</v>
      </c>
      <c r="D21" s="182">
        <v>-11.240780424143557</v>
      </c>
      <c r="E21" s="4"/>
      <c r="F21" s="6"/>
      <c r="G21" s="15" t="s">
        <v>77</v>
      </c>
      <c r="H21" s="43">
        <f>-H18/SUM(H17)</f>
        <v>0.21249999999999999</v>
      </c>
      <c r="I21" s="4"/>
      <c r="J21" s="6"/>
      <c r="K21" s="6"/>
      <c r="L21" s="15"/>
      <c r="M21" s="4"/>
      <c r="N21" s="6"/>
      <c r="O21" s="6" t="s">
        <v>93</v>
      </c>
      <c r="P21" s="45">
        <f>P12</f>
        <v>2895450</v>
      </c>
      <c r="Q21" s="4"/>
      <c r="R21" s="6"/>
      <c r="S21" s="6"/>
      <c r="T21" s="6"/>
      <c r="U21" s="4"/>
    </row>
    <row r="22" spans="2:21" x14ac:dyDescent="0.2">
      <c r="B22" s="13"/>
      <c r="C22" s="18">
        <v>44742</v>
      </c>
      <c r="D22" s="182">
        <f>NAV!D14</f>
        <v>125.96278579200001</v>
      </c>
      <c r="E22" s="4"/>
      <c r="F22" s="6"/>
      <c r="G22" s="6"/>
      <c r="H22" s="15"/>
      <c r="I22" s="4"/>
      <c r="J22" s="6"/>
      <c r="K22" s="15" t="s">
        <v>34</v>
      </c>
      <c r="L22" s="29">
        <f>XIRR(L18:L20,K18:K20)</f>
        <v>1.030831229686737</v>
      </c>
      <c r="M22" s="4"/>
      <c r="N22" s="6"/>
      <c r="O22" s="6" t="s">
        <v>95</v>
      </c>
      <c r="P22" s="44">
        <f>P20*10^6/P21</f>
        <v>176.13842407915868</v>
      </c>
      <c r="Q22" s="4"/>
      <c r="R22" s="6"/>
      <c r="S22" s="14" t="s">
        <v>101</v>
      </c>
      <c r="T22" s="6"/>
      <c r="U22" s="4"/>
    </row>
    <row r="23" spans="2:21" x14ac:dyDescent="0.2">
      <c r="B23" s="13"/>
      <c r="C23" s="15"/>
      <c r="D23" s="15"/>
      <c r="E23" s="4"/>
      <c r="F23" s="6"/>
      <c r="G23" s="6"/>
      <c r="H23" s="15"/>
      <c r="I23" s="4"/>
      <c r="J23" s="6"/>
      <c r="K23" s="15" t="s">
        <v>77</v>
      </c>
      <c r="L23" s="43">
        <f>L20/-SUM(L18:L19)</f>
        <v>7.8082229999999999</v>
      </c>
      <c r="M23" s="4"/>
      <c r="N23" s="6"/>
      <c r="O23" s="6" t="s">
        <v>96</v>
      </c>
      <c r="P23" s="47">
        <f>P22/P16</f>
        <v>1.5921397819683512</v>
      </c>
      <c r="Q23" s="4"/>
      <c r="R23" s="6"/>
      <c r="S23" s="6"/>
      <c r="T23" s="6"/>
      <c r="U23" s="4"/>
    </row>
    <row r="24" spans="2:21" x14ac:dyDescent="0.2">
      <c r="B24" s="13"/>
      <c r="C24" s="15" t="s">
        <v>34</v>
      </c>
      <c r="D24" s="29">
        <f>XIRR(D17:D22,C17:C22)</f>
        <v>-5.4969170689582819E-2</v>
      </c>
      <c r="E24" s="4"/>
      <c r="F24" s="6"/>
      <c r="G24" s="6"/>
      <c r="H24" s="15"/>
      <c r="I24" s="4"/>
      <c r="J24" s="6"/>
      <c r="K24" s="6"/>
      <c r="L24" s="15"/>
      <c r="M24" s="4"/>
      <c r="N24" s="6"/>
      <c r="O24" s="6" t="s">
        <v>76</v>
      </c>
      <c r="P24" s="16">
        <v>1.22</v>
      </c>
      <c r="Q24" s="4"/>
      <c r="R24" s="6"/>
      <c r="S24" s="6" t="s">
        <v>91</v>
      </c>
      <c r="T24" s="6"/>
      <c r="U24" s="4"/>
    </row>
    <row r="25" spans="2:21" x14ac:dyDescent="0.2">
      <c r="B25" s="13"/>
      <c r="C25" s="15" t="s">
        <v>77</v>
      </c>
      <c r="D25" s="43">
        <f>-D22/SUM(D17:D21)</f>
        <v>0.89038350591805449</v>
      </c>
      <c r="E25" s="4"/>
      <c r="F25" s="6"/>
      <c r="G25" s="6"/>
      <c r="H25" s="15"/>
      <c r="I25" s="4"/>
      <c r="J25" s="6"/>
      <c r="K25" s="6"/>
      <c r="L25" s="15"/>
      <c r="M25" s="4"/>
      <c r="N25" s="6"/>
      <c r="O25" s="6"/>
      <c r="P25" s="6"/>
      <c r="Q25" s="4"/>
      <c r="R25" s="6"/>
      <c r="S25" s="6"/>
      <c r="T25" s="6"/>
      <c r="U25" s="4"/>
    </row>
    <row r="26" spans="2:21" x14ac:dyDescent="0.2">
      <c r="B26" s="13"/>
      <c r="E26" s="4"/>
      <c r="F26" s="6"/>
      <c r="G26" s="6"/>
      <c r="H26" s="15"/>
      <c r="I26" s="4"/>
      <c r="J26" s="6"/>
      <c r="K26" s="6"/>
      <c r="L26" s="15"/>
      <c r="M26" s="4"/>
      <c r="N26" s="6"/>
      <c r="O26" s="6"/>
      <c r="P26" s="6"/>
      <c r="Q26" s="4"/>
      <c r="R26" s="6"/>
      <c r="S26" s="18">
        <v>44377</v>
      </c>
      <c r="T26" s="46">
        <v>-411765</v>
      </c>
      <c r="U26" s="4"/>
    </row>
    <row r="27" spans="2:21" x14ac:dyDescent="0.2">
      <c r="B27" s="13"/>
      <c r="E27" s="4"/>
      <c r="F27" s="6"/>
      <c r="G27" s="6"/>
      <c r="H27" s="15"/>
      <c r="I27" s="4"/>
      <c r="J27" s="6"/>
      <c r="K27" s="6"/>
      <c r="L27" s="15"/>
      <c r="M27" s="4"/>
      <c r="N27" s="6"/>
      <c r="O27" s="49">
        <v>44550</v>
      </c>
      <c r="P27" s="50">
        <f>-18477242.89/3.68</f>
        <v>-5020989.9157608692</v>
      </c>
      <c r="Q27" s="4"/>
      <c r="R27" s="6"/>
      <c r="S27" s="18">
        <v>44773</v>
      </c>
      <c r="T27" s="46">
        <f>(-((S27-S26)/365*T26*10%))-T26</f>
        <v>456438.68219178083</v>
      </c>
      <c r="U27" s="4"/>
    </row>
    <row r="28" spans="2:21" x14ac:dyDescent="0.2">
      <c r="B28" s="13"/>
      <c r="E28" s="4"/>
      <c r="F28" s="6"/>
      <c r="G28" s="6"/>
      <c r="H28" s="15"/>
      <c r="I28" s="4"/>
      <c r="J28" s="6"/>
      <c r="K28" s="6"/>
      <c r="L28" s="15"/>
      <c r="M28" s="4"/>
      <c r="N28" s="6"/>
      <c r="O28" s="49">
        <f>P17</f>
        <v>44773</v>
      </c>
      <c r="P28" s="50">
        <f>P14*P22*P24</f>
        <v>7148708.283686473</v>
      </c>
      <c r="Q28" s="4"/>
      <c r="R28" s="6"/>
      <c r="S28" s="6"/>
      <c r="T28" s="6"/>
      <c r="U28" s="4"/>
    </row>
    <row r="29" spans="2:21" x14ac:dyDescent="0.2">
      <c r="B29" s="13"/>
      <c r="E29" s="4"/>
      <c r="F29" s="6"/>
      <c r="G29" s="6"/>
      <c r="H29" s="15"/>
      <c r="I29" s="4"/>
      <c r="J29" s="6"/>
      <c r="K29" s="6"/>
      <c r="L29" s="15"/>
      <c r="M29" s="4"/>
      <c r="N29" s="6"/>
      <c r="O29" s="6"/>
      <c r="P29" s="16"/>
      <c r="Q29" s="4"/>
      <c r="R29" s="6"/>
      <c r="S29" s="15" t="s">
        <v>34</v>
      </c>
      <c r="T29" s="29">
        <f>XIRR(T26:T27,S26:S27)</f>
        <v>9.9591022729873635E-2</v>
      </c>
      <c r="U29" s="4"/>
    </row>
    <row r="30" spans="2:21" x14ac:dyDescent="0.2">
      <c r="B30" s="13"/>
      <c r="E30" s="4"/>
      <c r="F30" s="6"/>
      <c r="G30" s="6"/>
      <c r="H30" s="15"/>
      <c r="I30" s="4"/>
      <c r="J30" s="6"/>
      <c r="K30" s="6"/>
      <c r="L30" s="15"/>
      <c r="M30" s="4"/>
      <c r="N30" s="6"/>
      <c r="O30" s="15" t="s">
        <v>34</v>
      </c>
      <c r="P30" s="29">
        <f>XIRR(P27:P28,O27:O28)</f>
        <v>0.78296691179275513</v>
      </c>
      <c r="Q30" s="4"/>
      <c r="R30" s="6"/>
      <c r="S30" s="15" t="s">
        <v>77</v>
      </c>
      <c r="T30" s="43">
        <f>-T27/SUM(T26)</f>
        <v>1.1084931506849316</v>
      </c>
      <c r="U30" s="4"/>
    </row>
    <row r="31" spans="2:21" x14ac:dyDescent="0.2">
      <c r="B31" s="13"/>
      <c r="E31" s="4"/>
      <c r="F31" s="6"/>
      <c r="G31" s="6"/>
      <c r="H31" s="15"/>
      <c r="I31" s="4"/>
      <c r="J31" s="6"/>
      <c r="K31" s="6"/>
      <c r="L31" s="15"/>
      <c r="M31" s="4"/>
      <c r="N31" s="6"/>
      <c r="O31" s="15" t="s">
        <v>77</v>
      </c>
      <c r="P31" s="43">
        <f>P28/-SUM(P27)</f>
        <v>1.4237647164449989</v>
      </c>
      <c r="Q31" s="4"/>
      <c r="R31" s="6"/>
      <c r="S31" s="6"/>
      <c r="T31" s="6"/>
      <c r="U31" s="4"/>
    </row>
    <row r="32" spans="2:21" ht="13.5" thickBot="1" x14ac:dyDescent="0.25">
      <c r="B32" s="51"/>
      <c r="C32" s="53"/>
      <c r="D32" s="53"/>
      <c r="E32" s="54"/>
      <c r="F32" s="52"/>
      <c r="G32" s="52"/>
      <c r="H32" s="53"/>
      <c r="I32" s="54"/>
      <c r="J32" s="52"/>
      <c r="K32" s="52"/>
      <c r="L32" s="53"/>
      <c r="M32" s="54"/>
      <c r="N32" s="52"/>
      <c r="O32" s="52"/>
      <c r="P32" s="55"/>
      <c r="Q32" s="54"/>
      <c r="R32" s="52"/>
      <c r="S32" s="52"/>
      <c r="T32" s="52"/>
      <c r="U32" s="54"/>
    </row>
  </sheetData>
  <hyperlinks>
    <hyperlink ref="D12" r:id="rId1" display="https://www.londonstockexchange.com/news-article/ONT/issue-of-equity-and-total-voting-rights/15523151" xr:uid="{4F3E07BA-8946-4AFA-AA55-3AC64DC0EF55}"/>
  </hyperlinks>
  <pageMargins left="0.7" right="0.7" top="0.75" bottom="0.75" header="0.3" footer="0.3"/>
  <pageSetup paperSize="9" orientation="portrait" verticalDpi="0" r:id="rId2"/>
  <customProperties>
    <customPr name="Guid" r:id="rId3"/>
  </customProperties>
  <ignoredErrors>
    <ignoredError sqref="L23" formulaRange="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44654-FD23-425F-9915-24A9F086B2D9}">
  <dimension ref="D3:H30"/>
  <sheetViews>
    <sheetView zoomScale="70" zoomScaleNormal="70" workbookViewId="0">
      <selection activeCell="E48" sqref="E48"/>
    </sheetView>
  </sheetViews>
  <sheetFormatPr defaultRowHeight="15" x14ac:dyDescent="0.25"/>
  <cols>
    <col min="4" max="4" width="32.85546875" customWidth="1"/>
    <col min="5" max="7" width="62.7109375" customWidth="1"/>
    <col min="8" max="8" width="29" customWidth="1"/>
  </cols>
  <sheetData>
    <row r="3" spans="4:8" ht="15.75" thickBot="1" x14ac:dyDescent="0.3"/>
    <row r="4" spans="4:8" ht="18" thickBot="1" x14ac:dyDescent="0.3">
      <c r="D4" s="433" t="s">
        <v>370</v>
      </c>
      <c r="E4" s="434" t="s">
        <v>403</v>
      </c>
      <c r="F4" s="434" t="s">
        <v>371</v>
      </c>
      <c r="G4" s="520" t="s">
        <v>404</v>
      </c>
      <c r="H4" s="521" t="s">
        <v>405</v>
      </c>
    </row>
    <row r="5" spans="4:8" x14ac:dyDescent="0.25">
      <c r="D5" s="440" t="s">
        <v>372</v>
      </c>
      <c r="E5" s="435" t="s">
        <v>373</v>
      </c>
      <c r="F5" s="435" t="s">
        <v>373</v>
      </c>
      <c r="G5" s="522" t="s">
        <v>373</v>
      </c>
      <c r="H5" s="523" t="s">
        <v>394</v>
      </c>
    </row>
    <row r="6" spans="4:8" x14ac:dyDescent="0.25">
      <c r="D6" s="441"/>
      <c r="E6" s="435" t="s">
        <v>374</v>
      </c>
      <c r="F6" s="435" t="s">
        <v>374</v>
      </c>
      <c r="G6" s="522" t="s">
        <v>374</v>
      </c>
      <c r="H6" s="523" t="s">
        <v>406</v>
      </c>
    </row>
    <row r="7" spans="4:8" x14ac:dyDescent="0.25">
      <c r="D7" s="441"/>
      <c r="E7" s="524" t="s">
        <v>375</v>
      </c>
      <c r="F7" s="435" t="s">
        <v>375</v>
      </c>
      <c r="G7" s="522" t="s">
        <v>375</v>
      </c>
      <c r="H7" s="523" t="s">
        <v>396</v>
      </c>
    </row>
    <row r="8" spans="4:8" x14ac:dyDescent="0.25">
      <c r="D8" s="441"/>
      <c r="E8" s="435" t="s">
        <v>376</v>
      </c>
      <c r="F8" s="435" t="s">
        <v>376</v>
      </c>
      <c r="G8" s="522" t="s">
        <v>376</v>
      </c>
      <c r="H8" s="523">
        <v>4</v>
      </c>
    </row>
    <row r="9" spans="4:8" x14ac:dyDescent="0.25">
      <c r="D9" s="441"/>
      <c r="E9" s="435" t="s">
        <v>377</v>
      </c>
      <c r="F9" s="435" t="s">
        <v>377</v>
      </c>
      <c r="G9" s="522" t="s">
        <v>377</v>
      </c>
      <c r="H9" s="523" t="s">
        <v>396</v>
      </c>
    </row>
    <row r="10" spans="4:8" x14ac:dyDescent="0.25">
      <c r="D10" s="441"/>
      <c r="E10" s="435" t="s">
        <v>378</v>
      </c>
      <c r="F10" s="435" t="s">
        <v>378</v>
      </c>
      <c r="G10" s="522" t="s">
        <v>378</v>
      </c>
      <c r="H10" s="523" t="s">
        <v>396</v>
      </c>
    </row>
    <row r="11" spans="4:8" x14ac:dyDescent="0.25">
      <c r="D11" s="441"/>
      <c r="E11" s="435" t="s">
        <v>379</v>
      </c>
      <c r="F11" s="435" t="s">
        <v>379</v>
      </c>
      <c r="G11" s="522" t="s">
        <v>379</v>
      </c>
      <c r="H11" s="523" t="s">
        <v>395</v>
      </c>
    </row>
    <row r="12" spans="4:8" x14ac:dyDescent="0.25">
      <c r="D12" s="441"/>
      <c r="E12" s="435" t="s">
        <v>380</v>
      </c>
      <c r="F12" s="435" t="s">
        <v>380</v>
      </c>
      <c r="G12" s="522" t="s">
        <v>380</v>
      </c>
      <c r="H12" s="523">
        <v>3</v>
      </c>
    </row>
    <row r="13" spans="4:8" ht="30" x14ac:dyDescent="0.25">
      <c r="D13" s="441"/>
      <c r="E13" s="435" t="s">
        <v>381</v>
      </c>
      <c r="F13" s="435" t="s">
        <v>381</v>
      </c>
      <c r="G13" s="522" t="s">
        <v>381</v>
      </c>
      <c r="H13" s="523">
        <v>2</v>
      </c>
    </row>
    <row r="14" spans="4:8" ht="15.75" thickBot="1" x14ac:dyDescent="0.3">
      <c r="D14" s="442"/>
      <c r="E14" s="525"/>
      <c r="F14" s="436"/>
      <c r="G14" s="526"/>
      <c r="H14" s="527"/>
    </row>
    <row r="15" spans="4:8" x14ac:dyDescent="0.25">
      <c r="D15" s="440" t="s">
        <v>382</v>
      </c>
      <c r="E15" s="435" t="s">
        <v>373</v>
      </c>
      <c r="F15" s="435" t="s">
        <v>373</v>
      </c>
      <c r="G15" s="522" t="s">
        <v>373</v>
      </c>
      <c r="H15" s="523" t="s">
        <v>394</v>
      </c>
    </row>
    <row r="16" spans="4:8" x14ac:dyDescent="0.25">
      <c r="D16" s="441"/>
      <c r="E16" s="435" t="s">
        <v>374</v>
      </c>
      <c r="F16" s="435" t="s">
        <v>374</v>
      </c>
      <c r="G16" s="522" t="s">
        <v>374</v>
      </c>
      <c r="H16" s="523" t="s">
        <v>406</v>
      </c>
    </row>
    <row r="17" spans="4:8" x14ac:dyDescent="0.25">
      <c r="D17" s="441"/>
      <c r="E17" s="435" t="s">
        <v>375</v>
      </c>
      <c r="F17" s="435" t="s">
        <v>375</v>
      </c>
      <c r="G17" s="522" t="s">
        <v>375</v>
      </c>
      <c r="H17" s="523" t="s">
        <v>396</v>
      </c>
    </row>
    <row r="18" spans="4:8" x14ac:dyDescent="0.25">
      <c r="D18" s="441"/>
      <c r="E18" s="435" t="s">
        <v>376</v>
      </c>
      <c r="F18" s="435" t="s">
        <v>376</v>
      </c>
      <c r="G18" s="522" t="s">
        <v>376</v>
      </c>
      <c r="H18" s="523">
        <v>4</v>
      </c>
    </row>
    <row r="19" spans="4:8" x14ac:dyDescent="0.25">
      <c r="D19" s="441"/>
      <c r="E19" s="435" t="s">
        <v>377</v>
      </c>
      <c r="F19" s="435" t="s">
        <v>377</v>
      </c>
      <c r="G19" s="522" t="s">
        <v>377</v>
      </c>
      <c r="H19" s="523" t="s">
        <v>396</v>
      </c>
    </row>
    <row r="20" spans="4:8" x14ac:dyDescent="0.25">
      <c r="D20" s="441"/>
      <c r="E20" s="435" t="s">
        <v>378</v>
      </c>
      <c r="F20" s="435" t="s">
        <v>378</v>
      </c>
      <c r="G20" s="522" t="s">
        <v>378</v>
      </c>
      <c r="H20" s="523" t="s">
        <v>396</v>
      </c>
    </row>
    <row r="21" spans="4:8" x14ac:dyDescent="0.25">
      <c r="D21" s="441"/>
      <c r="E21" s="435" t="s">
        <v>379</v>
      </c>
      <c r="F21" s="435" t="s">
        <v>379</v>
      </c>
      <c r="G21" s="522" t="s">
        <v>379</v>
      </c>
      <c r="H21" s="523" t="s">
        <v>395</v>
      </c>
    </row>
    <row r="22" spans="4:8" x14ac:dyDescent="0.25">
      <c r="D22" s="441"/>
      <c r="E22" s="435" t="s">
        <v>380</v>
      </c>
      <c r="F22" s="435" t="s">
        <v>380</v>
      </c>
      <c r="G22" s="522" t="s">
        <v>380</v>
      </c>
      <c r="H22" s="523">
        <v>3</v>
      </c>
    </row>
    <row r="23" spans="4:8" ht="45" x14ac:dyDescent="0.25">
      <c r="D23" s="441"/>
      <c r="E23" s="435" t="s">
        <v>407</v>
      </c>
      <c r="F23" s="435" t="s">
        <v>383</v>
      </c>
      <c r="G23" s="522" t="s">
        <v>383</v>
      </c>
      <c r="H23" s="523">
        <v>4</v>
      </c>
    </row>
    <row r="24" spans="4:8" ht="30" x14ac:dyDescent="0.25">
      <c r="D24" s="441"/>
      <c r="E24" s="528"/>
      <c r="F24" s="435" t="s">
        <v>384</v>
      </c>
      <c r="G24" s="522" t="s">
        <v>384</v>
      </c>
      <c r="H24" s="523">
        <v>3</v>
      </c>
    </row>
    <row r="25" spans="4:8" ht="47.25" x14ac:dyDescent="0.25">
      <c r="D25" s="441"/>
      <c r="E25" s="528"/>
      <c r="F25" s="529"/>
      <c r="G25" s="522" t="s">
        <v>408</v>
      </c>
      <c r="H25" s="527"/>
    </row>
    <row r="26" spans="4:8" ht="34.5" x14ac:dyDescent="0.25">
      <c r="D26" s="441"/>
      <c r="E26" s="528"/>
      <c r="F26" s="528"/>
      <c r="G26" s="522" t="s">
        <v>409</v>
      </c>
      <c r="H26" s="527"/>
    </row>
    <row r="27" spans="4:8" ht="15.75" thickBot="1" x14ac:dyDescent="0.3">
      <c r="D27" s="442"/>
      <c r="E27" s="436"/>
      <c r="F27" s="436"/>
      <c r="G27" s="530"/>
      <c r="H27" s="527"/>
    </row>
    <row r="28" spans="4:8" ht="45" x14ac:dyDescent="0.25">
      <c r="D28" s="440" t="s">
        <v>385</v>
      </c>
      <c r="E28" s="531" t="s">
        <v>386</v>
      </c>
      <c r="F28" s="435" t="s">
        <v>386</v>
      </c>
      <c r="G28" s="522" t="s">
        <v>386</v>
      </c>
      <c r="H28" s="532">
        <v>2</v>
      </c>
    </row>
    <row r="29" spans="4:8" ht="47.25" x14ac:dyDescent="0.25">
      <c r="D29" s="441"/>
      <c r="E29" s="533"/>
      <c r="F29" s="435" t="s">
        <v>387</v>
      </c>
      <c r="G29" s="522" t="s">
        <v>410</v>
      </c>
      <c r="H29" s="532">
        <v>1</v>
      </c>
    </row>
    <row r="30" spans="4:8" ht="15.75" thickBot="1" x14ac:dyDescent="0.3">
      <c r="D30" s="442"/>
      <c r="E30" s="534"/>
      <c r="F30" s="436"/>
      <c r="G30" s="530"/>
      <c r="H30" s="527"/>
    </row>
  </sheetData>
  <mergeCells count="4">
    <mergeCell ref="D5:D14"/>
    <mergeCell ref="D15:D27"/>
    <mergeCell ref="D28:D30"/>
    <mergeCell ref="E28:E30"/>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FC901-F2EC-4997-9590-27F5916D9A36}">
  <sheetPr>
    <tabColor theme="3" tint="0.39997558519241921"/>
  </sheetPr>
  <dimension ref="A1:P34"/>
  <sheetViews>
    <sheetView showGridLines="0" zoomScale="80" zoomScaleNormal="80" workbookViewId="0">
      <selection activeCell="I11" sqref="I11"/>
    </sheetView>
  </sheetViews>
  <sheetFormatPr defaultRowHeight="15" x14ac:dyDescent="0.25"/>
  <cols>
    <col min="1" max="2" width="9.140625" style="80"/>
    <col min="3" max="3" width="29.7109375" style="80" customWidth="1"/>
    <col min="4" max="4" width="3.7109375" style="80" customWidth="1"/>
    <col min="5" max="8" width="12" style="198" customWidth="1"/>
    <col min="9" max="9" width="31.140625" style="80" customWidth="1"/>
    <col min="10" max="15" width="9.140625" style="80"/>
    <col min="16" max="16" width="24" style="80" bestFit="1" customWidth="1"/>
    <col min="17" max="16384" width="9.140625" style="80"/>
  </cols>
  <sheetData>
    <row r="1" spans="1:16" ht="15.75" thickBot="1" x14ac:dyDescent="0.3">
      <c r="C1" s="154"/>
      <c r="D1" s="154"/>
    </row>
    <row r="2" spans="1:16" x14ac:dyDescent="0.25">
      <c r="B2" s="207"/>
      <c r="C2" s="208"/>
      <c r="D2" s="208"/>
      <c r="E2" s="202"/>
      <c r="F2" s="202"/>
      <c r="G2" s="202"/>
      <c r="H2" s="202"/>
      <c r="I2" s="209"/>
      <c r="J2" s="210"/>
    </row>
    <row r="3" spans="1:16" ht="60" customHeight="1" x14ac:dyDescent="0.25">
      <c r="A3" s="163"/>
      <c r="B3" s="211"/>
      <c r="C3" s="1" t="s">
        <v>64</v>
      </c>
      <c r="D3" s="1"/>
      <c r="E3" s="1" t="s">
        <v>108</v>
      </c>
      <c r="F3" s="1" t="s">
        <v>109</v>
      </c>
      <c r="G3" s="1" t="s">
        <v>110</v>
      </c>
      <c r="H3" s="1" t="s">
        <v>218</v>
      </c>
      <c r="I3" s="1" t="s">
        <v>216</v>
      </c>
      <c r="J3" s="212"/>
      <c r="K3" s="163"/>
    </row>
    <row r="4" spans="1:16" x14ac:dyDescent="0.25">
      <c r="A4" s="166"/>
      <c r="B4" s="213"/>
      <c r="C4" s="199"/>
      <c r="D4" s="199"/>
      <c r="E4" s="189"/>
      <c r="F4" s="189"/>
      <c r="G4" s="189"/>
      <c r="H4" s="189"/>
      <c r="I4" s="188"/>
      <c r="J4" s="214"/>
      <c r="K4" s="166"/>
    </row>
    <row r="5" spans="1:16" x14ac:dyDescent="0.25">
      <c r="B5" s="203"/>
      <c r="C5" s="70" t="s">
        <v>39</v>
      </c>
      <c r="D5" s="70"/>
      <c r="J5" s="204"/>
    </row>
    <row r="6" spans="1:16" x14ac:dyDescent="0.25">
      <c r="B6" s="203"/>
      <c r="C6" s="58" t="s">
        <v>50</v>
      </c>
      <c r="D6" s="58"/>
      <c r="E6" s="380"/>
      <c r="F6" s="380"/>
      <c r="G6" s="380"/>
      <c r="H6" s="381"/>
      <c r="I6" s="375" t="s">
        <v>215</v>
      </c>
      <c r="J6" s="204"/>
      <c r="N6" s="80" t="s">
        <v>217</v>
      </c>
    </row>
    <row r="7" spans="1:16" x14ac:dyDescent="0.25">
      <c r="B7" s="203"/>
      <c r="C7" s="58" t="s">
        <v>49</v>
      </c>
      <c r="D7" s="58"/>
      <c r="E7" s="380"/>
      <c r="F7" s="380"/>
      <c r="G7" s="383"/>
      <c r="H7" s="381"/>
      <c r="I7" s="375"/>
      <c r="J7" s="204"/>
    </row>
    <row r="8" spans="1:16" x14ac:dyDescent="0.25">
      <c r="B8" s="203"/>
      <c r="C8" s="58" t="s">
        <v>53</v>
      </c>
      <c r="D8" s="58"/>
      <c r="E8" s="379"/>
      <c r="F8" s="379"/>
      <c r="G8" s="379"/>
      <c r="H8" s="192"/>
      <c r="I8" s="375"/>
      <c r="J8" s="204"/>
      <c r="N8" s="192"/>
      <c r="P8" s="80" t="s">
        <v>329</v>
      </c>
    </row>
    <row r="9" spans="1:16" x14ac:dyDescent="0.25">
      <c r="B9" s="203"/>
      <c r="C9" s="58" t="s">
        <v>54</v>
      </c>
      <c r="D9" s="58"/>
      <c r="E9" s="380"/>
      <c r="F9" s="380"/>
      <c r="G9" s="380"/>
      <c r="H9" s="381"/>
      <c r="I9" s="375"/>
      <c r="J9" s="204"/>
    </row>
    <row r="10" spans="1:16" x14ac:dyDescent="0.25">
      <c r="B10" s="203"/>
      <c r="C10" s="58" t="s">
        <v>142</v>
      </c>
      <c r="D10" s="58"/>
      <c r="E10" s="380"/>
      <c r="F10" s="380"/>
      <c r="G10" s="379"/>
      <c r="H10" s="381"/>
      <c r="I10" s="375"/>
      <c r="J10" s="204"/>
      <c r="N10" s="191"/>
      <c r="P10" s="80" t="s">
        <v>327</v>
      </c>
    </row>
    <row r="11" spans="1:16" x14ac:dyDescent="0.25">
      <c r="B11" s="203"/>
      <c r="C11" s="58" t="s">
        <v>143</v>
      </c>
      <c r="D11" s="58"/>
      <c r="E11" s="379"/>
      <c r="F11" s="379"/>
      <c r="G11" s="379"/>
      <c r="H11" s="192"/>
      <c r="I11" s="375"/>
      <c r="J11" s="204"/>
    </row>
    <row r="12" spans="1:16" x14ac:dyDescent="0.25">
      <c r="B12" s="203"/>
      <c r="C12" s="58" t="s">
        <v>25</v>
      </c>
      <c r="D12" s="58"/>
      <c r="E12" s="379"/>
      <c r="F12" s="379"/>
      <c r="G12" s="379"/>
      <c r="H12" s="192"/>
      <c r="I12" s="375"/>
      <c r="J12" s="204"/>
      <c r="N12" s="180"/>
      <c r="P12" s="80" t="s">
        <v>331</v>
      </c>
    </row>
    <row r="13" spans="1:16" x14ac:dyDescent="0.25">
      <c r="B13" s="203"/>
      <c r="C13" s="179"/>
      <c r="D13" s="179"/>
      <c r="E13" s="205"/>
      <c r="F13" s="205"/>
      <c r="G13" s="205"/>
      <c r="H13" s="205"/>
      <c r="I13" s="179"/>
      <c r="J13" s="204"/>
    </row>
    <row r="14" spans="1:16" x14ac:dyDescent="0.25">
      <c r="B14" s="203"/>
      <c r="C14" s="58" t="s">
        <v>11</v>
      </c>
      <c r="D14" s="58"/>
      <c r="E14" s="377"/>
      <c r="F14" s="377"/>
      <c r="G14" s="377"/>
      <c r="H14" s="192"/>
      <c r="I14" s="375"/>
      <c r="J14" s="204"/>
      <c r="N14" s="381"/>
      <c r="P14" s="80" t="s">
        <v>330</v>
      </c>
    </row>
    <row r="15" spans="1:16" x14ac:dyDescent="0.25">
      <c r="B15" s="203"/>
      <c r="C15" s="58" t="s">
        <v>0</v>
      </c>
      <c r="D15" s="58"/>
      <c r="E15" s="378"/>
      <c r="F15" s="378"/>
      <c r="G15" s="378"/>
      <c r="H15" s="192"/>
      <c r="I15" s="375"/>
      <c r="J15" s="204"/>
    </row>
    <row r="16" spans="1:16" x14ac:dyDescent="0.25">
      <c r="B16" s="203"/>
      <c r="C16" s="58" t="s">
        <v>120</v>
      </c>
      <c r="D16" s="58"/>
      <c r="E16" s="379"/>
      <c r="F16" s="379"/>
      <c r="G16" s="379"/>
      <c r="H16" s="192"/>
      <c r="I16" s="375"/>
      <c r="J16" s="204"/>
      <c r="N16" s="383"/>
      <c r="P16" s="80" t="s">
        <v>332</v>
      </c>
    </row>
    <row r="17" spans="1:16" x14ac:dyDescent="0.25">
      <c r="B17" s="203"/>
      <c r="C17" s="58" t="s">
        <v>46</v>
      </c>
      <c r="D17" s="58"/>
      <c r="E17" s="379"/>
      <c r="F17" s="379"/>
      <c r="G17" s="379"/>
      <c r="H17" s="192"/>
      <c r="I17" s="375"/>
      <c r="J17" s="204"/>
    </row>
    <row r="18" spans="1:16" x14ac:dyDescent="0.25">
      <c r="B18" s="203"/>
      <c r="C18" s="179"/>
      <c r="D18" s="179"/>
      <c r="E18" s="205"/>
      <c r="F18" s="205"/>
      <c r="G18" s="205"/>
      <c r="H18" s="205"/>
      <c r="I18" s="179"/>
      <c r="J18" s="204"/>
      <c r="N18" s="382"/>
      <c r="P18" s="80" t="s">
        <v>363</v>
      </c>
    </row>
    <row r="19" spans="1:16" x14ac:dyDescent="0.25">
      <c r="A19" s="171"/>
      <c r="B19" s="203"/>
      <c r="C19" s="58" t="s">
        <v>51</v>
      </c>
      <c r="D19" s="58"/>
      <c r="E19" s="376"/>
      <c r="F19" s="376"/>
      <c r="G19" s="376"/>
      <c r="H19" s="376"/>
      <c r="I19" s="375" t="s">
        <v>36</v>
      </c>
      <c r="J19" s="204"/>
      <c r="K19" s="171"/>
    </row>
    <row r="20" spans="1:16" x14ac:dyDescent="0.25">
      <c r="A20" s="166"/>
      <c r="B20" s="203"/>
      <c r="C20" s="58" t="s">
        <v>24</v>
      </c>
      <c r="D20" s="58"/>
      <c r="E20" s="376"/>
      <c r="F20" s="376"/>
      <c r="G20" s="376"/>
      <c r="H20" s="376"/>
      <c r="I20" s="375" t="s">
        <v>214</v>
      </c>
      <c r="J20" s="204"/>
      <c r="K20" s="166"/>
    </row>
    <row r="21" spans="1:16" x14ac:dyDescent="0.25">
      <c r="B21" s="203"/>
      <c r="C21" s="58" t="s">
        <v>52</v>
      </c>
      <c r="D21" s="58"/>
      <c r="E21" s="376"/>
      <c r="F21" s="376"/>
      <c r="G21" s="376"/>
      <c r="H21" s="376"/>
      <c r="I21" s="375" t="s">
        <v>214</v>
      </c>
      <c r="J21" s="204"/>
    </row>
    <row r="22" spans="1:16" x14ac:dyDescent="0.25">
      <c r="B22" s="203"/>
      <c r="C22" s="58" t="s">
        <v>59</v>
      </c>
      <c r="D22" s="58"/>
      <c r="E22" s="376"/>
      <c r="F22" s="376"/>
      <c r="G22" s="376"/>
      <c r="H22" s="376"/>
      <c r="I22" s="375" t="s">
        <v>133</v>
      </c>
      <c r="J22" s="204"/>
    </row>
    <row r="23" spans="1:16" x14ac:dyDescent="0.25">
      <c r="B23" s="203"/>
      <c r="C23" s="179"/>
      <c r="D23" s="179"/>
      <c r="E23" s="205"/>
      <c r="F23" s="205"/>
      <c r="G23" s="205"/>
      <c r="H23" s="205"/>
      <c r="I23" s="179"/>
      <c r="J23" s="204"/>
    </row>
    <row r="24" spans="1:16" x14ac:dyDescent="0.25">
      <c r="B24" s="203"/>
      <c r="C24" s="179"/>
      <c r="D24" s="179"/>
      <c r="E24" s="205"/>
      <c r="F24" s="205"/>
      <c r="G24" s="205"/>
      <c r="H24" s="205"/>
      <c r="I24" s="179"/>
      <c r="J24" s="204"/>
    </row>
    <row r="25" spans="1:16" x14ac:dyDescent="0.25">
      <c r="B25" s="215"/>
      <c r="C25" s="59"/>
      <c r="D25" s="59"/>
      <c r="E25" s="66"/>
      <c r="F25" s="66"/>
      <c r="G25" s="66"/>
      <c r="H25" s="66"/>
      <c r="I25" s="76"/>
      <c r="J25" s="216"/>
    </row>
    <row r="26" spans="1:16" x14ac:dyDescent="0.25">
      <c r="B26" s="213"/>
      <c r="C26" s="70" t="s">
        <v>41</v>
      </c>
      <c r="D26" s="70"/>
      <c r="E26" s="69"/>
      <c r="F26" s="69"/>
      <c r="G26" s="69"/>
      <c r="H26" s="69"/>
      <c r="I26" s="77"/>
      <c r="J26" s="214"/>
    </row>
    <row r="27" spans="1:16" x14ac:dyDescent="0.25">
      <c r="B27" s="203"/>
      <c r="C27" s="58" t="s">
        <v>186</v>
      </c>
      <c r="D27" s="58"/>
      <c r="E27" s="192"/>
      <c r="F27" s="192"/>
      <c r="G27" s="190"/>
      <c r="H27" s="192"/>
      <c r="I27" s="200"/>
      <c r="J27" s="204"/>
    </row>
    <row r="28" spans="1:16" x14ac:dyDescent="0.25">
      <c r="B28" s="203"/>
      <c r="C28" s="58" t="s">
        <v>168</v>
      </c>
      <c r="D28" s="58"/>
      <c r="E28" s="192"/>
      <c r="F28" s="192"/>
      <c r="G28" s="190"/>
      <c r="H28" s="192"/>
      <c r="I28" s="200"/>
      <c r="J28" s="204"/>
    </row>
    <row r="29" spans="1:16" x14ac:dyDescent="0.25">
      <c r="B29" s="203"/>
      <c r="C29" s="58" t="s">
        <v>1</v>
      </c>
      <c r="D29" s="58"/>
      <c r="E29" s="192"/>
      <c r="F29" s="192"/>
      <c r="G29" s="192"/>
      <c r="H29" s="192"/>
      <c r="I29" s="200" t="s">
        <v>231</v>
      </c>
      <c r="J29" s="204"/>
    </row>
    <row r="30" spans="1:16" x14ac:dyDescent="0.25">
      <c r="B30" s="203"/>
      <c r="C30" s="58" t="s">
        <v>15</v>
      </c>
      <c r="D30" s="58"/>
      <c r="E30" s="190"/>
      <c r="F30" s="190"/>
      <c r="G30" s="190"/>
      <c r="H30" s="192"/>
      <c r="I30" s="200"/>
      <c r="J30" s="204"/>
    </row>
    <row r="31" spans="1:16" x14ac:dyDescent="0.25">
      <c r="B31" s="203"/>
      <c r="C31" s="58" t="s">
        <v>263</v>
      </c>
      <c r="D31" s="58"/>
      <c r="E31" s="192"/>
      <c r="F31" s="192"/>
      <c r="G31" s="192"/>
      <c r="H31" s="192"/>
      <c r="I31" s="200"/>
      <c r="J31" s="204"/>
    </row>
    <row r="32" spans="1:16" x14ac:dyDescent="0.25">
      <c r="B32" s="203"/>
      <c r="C32" s="179"/>
      <c r="D32" s="179"/>
      <c r="E32" s="205"/>
      <c r="F32" s="205"/>
      <c r="G32" s="205"/>
      <c r="H32" s="205"/>
      <c r="I32" s="179"/>
      <c r="J32" s="204"/>
    </row>
    <row r="33" spans="2:10" x14ac:dyDescent="0.25">
      <c r="B33" s="215"/>
      <c r="J33" s="216"/>
    </row>
    <row r="34" spans="2:10" ht="15.75" thickBot="1" x14ac:dyDescent="0.3">
      <c r="B34" s="217"/>
      <c r="C34" s="218"/>
      <c r="D34" s="218"/>
      <c r="E34" s="206"/>
      <c r="F34" s="206"/>
      <c r="G34" s="206"/>
      <c r="H34" s="206"/>
      <c r="I34" s="219"/>
      <c r="J34" s="220"/>
    </row>
  </sheetData>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sisl xmlns:xsd="http://www.w3.org/2001/XMLSchema" xmlns:xsi="http://www.w3.org/2001/XMLSchema-instance" xmlns="http://www.boldonjames.com/2008/01/sie/internal/label" sislVersion="0" policy="3328d060-d216-4afe-9302-ccc930dd7d37" origin="userSelected"/>
</file>

<file path=customXml/item2.xml><?xml version="1.0" encoding="utf-8"?>
<WrappedLabelHistory xmlns:xsd="http://www.w3.org/2001/XMLSchema" xmlns:xsi="http://www.w3.org/2001/XMLSchema-instance" xmlns="http://www.boldonjames.com/2016/02/Classifier/internal/wrappedLabelHistory">
  <Value>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IzMzI4ZDA2MC1kMjE2LTRhZmUtOTMwMi1jY2M5MzBkZDdkMzciIG9yaWdpbj0idXNlclNlbGVjdGVkIiAvPjxVc2VyTmFtZT5HNDJcc3VzaGlsLmd1cHRhPC9Vc2VyTmFtZT48RGF0ZVRpbWU+Ni8xOS8yMDIxIDk6MjY6MDggQU08L0RhdGVUaW1lPjxMYWJlbFN0cmluZz5UaGlzIGl0ZW0gaGFzIG5vIGNsYXNzaWZpY2F0aW9uPC9MYWJlbFN0cmluZz48L2l0ZW0+PC9sYWJlbEhpc3Rvcnk+</Value>
</WrappedLabelHistory>
</file>

<file path=customXml/itemProps1.xml><?xml version="1.0" encoding="utf-8"?>
<ds:datastoreItem xmlns:ds="http://schemas.openxmlformats.org/officeDocument/2006/customXml" ds:itemID="{BF327BB3-7419-4C49-92F4-08E7D4586F24}">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BC0C2BB1-9E2C-4ABE-972D-41E09998C012}">
  <ds:schemaRefs>
    <ds:schemaRef ds:uri="http://www.w3.org/2001/XMLSchema"/>
    <ds:schemaRef ds:uri="http://www.boldonjames.com/2016/02/Classifier/internal/wrappedLabelHistory"/>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D</vt:lpstr>
      <vt:lpstr>Summary | 01 </vt:lpstr>
      <vt:lpstr>Summary | 02</vt:lpstr>
      <vt:lpstr>NAV</vt:lpstr>
      <vt:lpstr>%</vt:lpstr>
      <vt:lpstr>CF (Equity, Debt)</vt:lpstr>
      <vt:lpstr>CF (Funds)</vt:lpstr>
      <vt:lpstr>1. IRR Equity1</vt:lpstr>
      <vt:lpstr>1.1(P1)</vt:lpstr>
      <vt:lpstr>2. IRR Debt</vt:lpstr>
      <vt:lpstr>3. IRR Funds</vt:lpstr>
      <vt:lpstr>4.All</vt:lpstr>
      <vt:lpstr>4.1</vt:lpstr>
      <vt:lpstr>4.2</vt:lpstr>
      <vt:lpstr>5. Geo</vt:lpstr>
      <vt:lpstr>4. CF Profile</vt:lpstr>
      <vt:lpstr>5. CF </vt:lpstr>
      <vt:lpstr>Board</vt:lpstr>
      <vt:lpstr>6. AT1</vt:lpstr>
      <vt:lpstr>X1</vt:lpstr>
      <vt:lpstr>X2</vt:lpstr>
      <vt:lpstr>Outlook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2022-10-10T12:34:05Z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6eae3098-50b1-40c1-8c4e-a43e21294157</vt:lpwstr>
  </property>
  <property fmtid="{D5CDD505-2E9C-101B-9397-08002B2CF9AE}" pid="3" name="bjDocumentSecurityLabel">
    <vt:lpwstr>This item has no classification</vt:lpwstr>
  </property>
  <property fmtid="{D5CDD505-2E9C-101B-9397-08002B2CF9AE}" pid="4" name="bjSaver">
    <vt:lpwstr>DA29pMqchs6OqNcXUkV1uVjgxAzN14zu</vt:lpwstr>
  </property>
  <property fmtid="{D5CDD505-2E9C-101B-9397-08002B2CF9AE}" pid="5" name="bjClsUserRVM">
    <vt:lpwstr>[]</vt:lpwstr>
  </property>
  <property fmtid="{D5CDD505-2E9C-101B-9397-08002B2CF9AE}" pid="6" name="bjLabelHistoryID">
    <vt:lpwstr>{BC0C2BB1-9E2C-4ABE-972D-41E09998C012}</vt:lpwstr>
  </property>
</Properties>
</file>